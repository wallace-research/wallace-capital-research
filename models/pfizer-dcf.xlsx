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598F8427-0F2E-40C1-A78A-9D52E746550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9" i="4"/>
  <c r="C22" i="4"/>
  <c r="C24" i="4" s="1"/>
  <c r="C18" i="4"/>
  <c r="C12" i="4"/>
  <c r="C14" i="4" s="1"/>
  <c r="C13" i="4" l="1"/>
  <c r="C28" i="4" s="1"/>
  <c r="M48" i="3" l="1"/>
  <c r="M42" i="3"/>
  <c r="M48" i="2"/>
  <c r="M42" i="2"/>
  <c r="M48" i="1"/>
  <c r="M42" i="1"/>
  <c r="I21" i="3"/>
  <c r="H21" i="3"/>
  <c r="G21" i="3"/>
  <c r="E21" i="3"/>
  <c r="I21" i="2"/>
  <c r="I21" i="1"/>
  <c r="G21" i="1"/>
  <c r="F21" i="1"/>
  <c r="E21" i="1"/>
  <c r="T9" i="3"/>
  <c r="T9" i="2"/>
  <c r="F21" i="3"/>
  <c r="H21" i="2"/>
  <c r="F21" i="2"/>
  <c r="G21" i="2" s="1"/>
  <c r="E21" i="2"/>
  <c r="H21" i="1"/>
  <c r="T9" i="1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Y22" i="3"/>
  <c r="X22" i="3"/>
  <c r="W22" i="3"/>
  <c r="V22" i="3"/>
  <c r="D22" i="3"/>
  <c r="D23" i="3" s="1"/>
  <c r="Y21" i="3"/>
  <c r="X21" i="3"/>
  <c r="W21" i="3"/>
  <c r="V21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E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Y22" i="2"/>
  <c r="X22" i="2"/>
  <c r="W22" i="2"/>
  <c r="V22" i="2"/>
  <c r="D22" i="2"/>
  <c r="D23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V16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16" i="1"/>
  <c r="Y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17" i="1"/>
  <c r="X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W16" i="1"/>
  <c r="Y15" i="1"/>
  <c r="X15" i="1"/>
  <c r="W15" i="1"/>
  <c r="D24" i="2" l="1"/>
  <c r="D28" i="2" s="1"/>
  <c r="Q7" i="2" s="1"/>
  <c r="E22" i="3"/>
  <c r="E24" i="3" s="1"/>
  <c r="E28" i="3" s="1"/>
  <c r="E26" i="3"/>
  <c r="D24" i="3"/>
  <c r="D28" i="3" s="1"/>
  <c r="C32" i="3"/>
  <c r="G40" i="3"/>
  <c r="C30" i="3"/>
  <c r="E25" i="3"/>
  <c r="C32" i="2"/>
  <c r="C30" i="2"/>
  <c r="G40" i="2"/>
  <c r="E23" i="2"/>
  <c r="E24" i="2"/>
  <c r="E25" i="2"/>
  <c r="D22" i="1"/>
  <c r="D27" i="1"/>
  <c r="D26" i="1"/>
  <c r="D25" i="1"/>
  <c r="G36" i="1"/>
  <c r="D30" i="2" l="1"/>
  <c r="D32" i="2" s="1"/>
  <c r="Q7" i="3"/>
  <c r="D30" i="3"/>
  <c r="D32" i="3" s="1"/>
  <c r="E23" i="3"/>
  <c r="F25" i="3"/>
  <c r="F27" i="3"/>
  <c r="F26" i="3"/>
  <c r="F22" i="3"/>
  <c r="Q8" i="3"/>
  <c r="E30" i="3"/>
  <c r="E32" i="3" s="1"/>
  <c r="G41" i="3"/>
  <c r="F25" i="2"/>
  <c r="F27" i="2"/>
  <c r="F26" i="2"/>
  <c r="F22" i="2"/>
  <c r="E28" i="2"/>
  <c r="G41" i="2"/>
  <c r="E27" i="1"/>
  <c r="E25" i="1"/>
  <c r="E26" i="1"/>
  <c r="F26" i="1"/>
  <c r="F27" i="1"/>
  <c r="G27" i="1"/>
  <c r="G25" i="1"/>
  <c r="G26" i="1"/>
  <c r="F25" i="1"/>
  <c r="F24" i="3" l="1"/>
  <c r="F28" i="3" s="1"/>
  <c r="F23" i="3"/>
  <c r="G27" i="3"/>
  <c r="G26" i="3"/>
  <c r="G22" i="3"/>
  <c r="G25" i="3"/>
  <c r="G27" i="2"/>
  <c r="G22" i="2"/>
  <c r="G25" i="2"/>
  <c r="G26" i="2"/>
  <c r="E30" i="2"/>
  <c r="E32" i="2" s="1"/>
  <c r="Q8" i="2"/>
  <c r="F23" i="2"/>
  <c r="F24" i="2"/>
  <c r="F28" i="2" s="1"/>
  <c r="H26" i="1"/>
  <c r="H27" i="1"/>
  <c r="H25" i="1"/>
  <c r="G24" i="3" l="1"/>
  <c r="G28" i="3" s="1"/>
  <c r="G23" i="3"/>
  <c r="H27" i="3"/>
  <c r="H26" i="3"/>
  <c r="H22" i="3"/>
  <c r="H25" i="3"/>
  <c r="Q9" i="3"/>
  <c r="F30" i="3"/>
  <c r="F32" i="3" s="1"/>
  <c r="G24" i="2"/>
  <c r="G28" i="2" s="1"/>
  <c r="G23" i="2"/>
  <c r="Q9" i="2"/>
  <c r="F30" i="2"/>
  <c r="F32" i="2" s="1"/>
  <c r="H25" i="2"/>
  <c r="H22" i="2"/>
  <c r="H27" i="2"/>
  <c r="H26" i="2"/>
  <c r="I26" i="1"/>
  <c r="I27" i="1"/>
  <c r="I25" i="1"/>
  <c r="E22" i="1"/>
  <c r="B38" i="1"/>
  <c r="I27" i="3" l="1"/>
  <c r="I26" i="3"/>
  <c r="I22" i="3"/>
  <c r="I25" i="3"/>
  <c r="H24" i="3"/>
  <c r="H28" i="3" s="1"/>
  <c r="H23" i="3"/>
  <c r="G30" i="3"/>
  <c r="G32" i="3" s="1"/>
  <c r="Q10" i="3"/>
  <c r="I27" i="2"/>
  <c r="I22" i="2"/>
  <c r="I25" i="2"/>
  <c r="I26" i="2"/>
  <c r="H24" i="2"/>
  <c r="H28" i="2" s="1"/>
  <c r="H23" i="2"/>
  <c r="Q10" i="2"/>
  <c r="G30" i="2"/>
  <c r="G32" i="2" s="1"/>
  <c r="F22" i="1"/>
  <c r="D23" i="1"/>
  <c r="V15" i="1"/>
  <c r="M38" i="1"/>
  <c r="B37" i="1"/>
  <c r="G37" i="1"/>
  <c r="G38" i="1"/>
  <c r="E31" i="1"/>
  <c r="F31" i="1"/>
  <c r="G31" i="1"/>
  <c r="H31" i="1"/>
  <c r="I31" i="1"/>
  <c r="D31" i="1"/>
  <c r="M21" i="3" l="1"/>
  <c r="M21" i="2"/>
  <c r="H30" i="3"/>
  <c r="H32" i="3" s="1"/>
  <c r="Q11" i="3"/>
  <c r="I23" i="3"/>
  <c r="I24" i="3"/>
  <c r="I28" i="3" s="1"/>
  <c r="H30" i="2"/>
  <c r="H32" i="2" s="1"/>
  <c r="Q11" i="2"/>
  <c r="I23" i="2"/>
  <c r="I24" i="2"/>
  <c r="I28" i="2" s="1"/>
  <c r="G22" i="1"/>
  <c r="D24" i="1"/>
  <c r="G39" i="1"/>
  <c r="C30" i="1" s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H22" i="1"/>
  <c r="D28" i="1"/>
  <c r="Q7" i="1" s="1"/>
  <c r="G40" i="1"/>
  <c r="G41" i="1" s="1"/>
  <c r="C32" i="1"/>
  <c r="E24" i="1"/>
  <c r="E28" i="1" s="1"/>
  <c r="E23" i="1"/>
  <c r="J30" i="3" l="1"/>
  <c r="B39" i="3"/>
  <c r="B40" i="3" s="1"/>
  <c r="B39" i="2"/>
  <c r="B40" i="2" s="1"/>
  <c r="J30" i="2"/>
  <c r="I22" i="1"/>
  <c r="M21" i="1" s="1"/>
  <c r="D30" i="1"/>
  <c r="D32" i="1" s="1"/>
  <c r="E30" i="1"/>
  <c r="E32" i="1" s="1"/>
  <c r="Q8" i="1"/>
  <c r="F24" i="1"/>
  <c r="F28" i="1" s="1"/>
  <c r="F23" i="1"/>
  <c r="M50" i="3" l="1"/>
  <c r="M49" i="3"/>
  <c r="M47" i="3"/>
  <c r="M44" i="3"/>
  <c r="T7" i="3"/>
  <c r="M43" i="3"/>
  <c r="M41" i="3"/>
  <c r="M50" i="2"/>
  <c r="M49" i="2"/>
  <c r="M47" i="2"/>
  <c r="T7" i="2"/>
  <c r="M44" i="2"/>
  <c r="M43" i="2"/>
  <c r="M41" i="2"/>
  <c r="B41" i="3"/>
  <c r="M37" i="3"/>
  <c r="B41" i="2"/>
  <c r="M37" i="2"/>
  <c r="F30" i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M50" i="1" l="1"/>
  <c r="M47" i="1"/>
  <c r="M43" i="1"/>
  <c r="M41" i="1"/>
  <c r="M49" i="1"/>
  <c r="T7" i="1"/>
  <c r="M44" i="1"/>
  <c r="M37" i="1"/>
  <c r="B41" i="1"/>
</calcChain>
</file>

<file path=xl/sharedStrings.xml><?xml version="1.0" encoding="utf-8"?>
<sst xmlns="http://schemas.openxmlformats.org/spreadsheetml/2006/main" count="343" uniqueCount="126">
  <si>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</si>
  <si>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</si>
  <si>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</si>
  <si>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</si>
  <si>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</si>
  <si>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</si>
  <si>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</si>
  <si>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</si>
  <si>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</si>
  <si>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</si>
  <si>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</si>
  <si>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</si>
  <si>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</si>
  <si>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</si>
  <si>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</si>
  <si>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</si>
  <si>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</si>
  <si>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</si>
  <si>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</si>
  <si>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</si>
  <si>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</si>
  <si>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</si>
  <si>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</si>
  <si>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</si>
  <si>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</si>
  <si>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</si>
  <si>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</si>
  <si>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</si>
  <si>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</si>
  <si>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</si>
  <si>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</si>
  <si>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</si>
  <si>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</si>
  <si>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</si>
  <si>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</si>
  <si>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</si>
  <si>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</si>
  <si>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</si>
  <si>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</si>
  <si>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</si>
  <si>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</si>
  <si>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</si>
  <si>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</si>
  <si>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</si>
  <si>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</si>
  <si>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</si>
  <si>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</si>
  <si>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</si>
  <si>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</si>
  <si>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</si>
  <si>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</si>
  <si>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</si>
  <si>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</si>
  <si>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</si>
  <si>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</si>
  <si>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</si>
  <si>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</si>
  <si>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</si>
  <si>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</si>
  <si>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</si>
  <si>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</si>
  <si>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</si>
  <si>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</si>
  <si>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</si>
  <si>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</si>
  <si>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</si>
  <si>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</si>
  <si>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</si>
  <si>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</si>
  <si>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</si>
  <si>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</si>
  <si>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</si>
  <si>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</si>
  <si>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</si>
  <si>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</si>
  <si>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</si>
  <si>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</si>
  <si>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</si>
  <si>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(as of June 2026)</t>
  </si>
  <si>
    <t>8.0x</t>
  </si>
  <si>
    <t>(10% of Revenue)</t>
  </si>
  <si>
    <t>(4% of Revenue)</t>
  </si>
  <si>
    <t>(3% of Revenue)</t>
  </si>
  <si>
    <t>2,505,080,000 (4% of Revenue)</t>
  </si>
  <si>
    <t>Pfizer Inc</t>
  </si>
  <si>
    <t>Pfizer Indexed</t>
  </si>
  <si>
    <t>*base-case assumptions</t>
  </si>
  <si>
    <t>*bear-case assumptions</t>
  </si>
  <si>
    <t>*bull-case assumptions</t>
  </si>
  <si>
    <t>7.0x</t>
  </si>
  <si>
    <t>(9% of Revenue)</t>
  </si>
  <si>
    <t>(5% of Revenue)</t>
  </si>
  <si>
    <t>(11% of Revenue)</t>
  </si>
  <si>
    <t>9.0x</t>
  </si>
  <si>
    <t>3,131,350,000 (5% of Revenue)</t>
  </si>
  <si>
    <t>1,878,810,000 (3% of Revenue)</t>
  </si>
  <si>
    <t>Intrinsic Value vs Current Price</t>
  </si>
  <si>
    <t>(Assumes modest growth)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</si>
  <si>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</si>
  <si>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</si>
  <si>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</si>
  <si>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</si>
  <si>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</si>
  <si>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</si>
  <si>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</si>
  <si>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</si>
  <si>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</si>
  <si>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</si>
  <si>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</si>
  <si>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</si>
  <si>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</si>
  <si>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</si>
  <si>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</si>
  <si>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</si>
  <si>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</si>
  <si>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</si>
  <si>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</si>
  <si>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</si>
  <si>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</si>
  <si>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</si>
  <si>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</si>
  <si>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</si>
  <si>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PFE</t>
  </si>
  <si>
    <t>(Revenue * 0.2)</t>
  </si>
  <si>
    <t>(Revenue * 0.17)</t>
  </si>
  <si>
    <t>(Revenue * 0.23)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</si>
</sst>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12525400000</c:v>
                </c:pt>
                <c:pt idx="1">
                  <c:v>12775908000</c:v>
                </c:pt>
                <c:pt idx="2">
                  <c:v>13159185240</c:v>
                </c:pt>
                <c:pt idx="3">
                  <c:v>13553960797.200001</c:v>
                </c:pt>
                <c:pt idx="4">
                  <c:v>13960579621.115999</c:v>
                </c:pt>
                <c:pt idx="5">
                  <c:v>14239791213.538321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24.407205370677975</c:v>
                </c:pt>
                <c:pt idx="1">
                  <c:v>0.59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PFE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Pfizer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109.32073544433096</c:v>
                </c:pt>
                <c:pt idx="2">
                  <c:v>118.99897854954035</c:v>
                </c:pt>
                <c:pt idx="3">
                  <c:v>109.62717058222677</c:v>
                </c:pt>
                <c:pt idx="4">
                  <c:v>111.69560776302352</c:v>
                </c:pt>
                <c:pt idx="5">
                  <c:v>138.58529111338103</c:v>
                </c:pt>
                <c:pt idx="6">
                  <c:v>149.92339121552607</c:v>
                </c:pt>
                <c:pt idx="7">
                  <c:v>138.7385086823289</c:v>
                </c:pt>
                <c:pt idx="8">
                  <c:v>121.85903983656794</c:v>
                </c:pt>
                <c:pt idx="9">
                  <c:v>134.78038815117469</c:v>
                </c:pt>
                <c:pt idx="10">
                  <c:v>125.30643513789583</c:v>
                </c:pt>
                <c:pt idx="11">
                  <c:v>137.66598569969358</c:v>
                </c:pt>
                <c:pt idx="12">
                  <c:v>133.58018386108276</c:v>
                </c:pt>
                <c:pt idx="13">
                  <c:v>128.98365679264558</c:v>
                </c:pt>
                <c:pt idx="14">
                  <c:v>119.56077630234934</c:v>
                </c:pt>
                <c:pt idx="15">
                  <c:v>111.74668028600614</c:v>
                </c:pt>
                <c:pt idx="16">
                  <c:v>121.11848825331973</c:v>
                </c:pt>
                <c:pt idx="17">
                  <c:v>125.66394279877426</c:v>
                </c:pt>
                <c:pt idx="18">
                  <c:v>132.35444330949952</c:v>
                </c:pt>
                <c:pt idx="19">
                  <c:v>111.82328907048009</c:v>
                </c:pt>
                <c:pt idx="20">
                  <c:v>106.61389172625128</c:v>
                </c:pt>
                <c:pt idx="21">
                  <c:v>103.14096016343208</c:v>
                </c:pt>
                <c:pt idx="22">
                  <c:v>99.310520939734431</c:v>
                </c:pt>
                <c:pt idx="23">
                  <c:v>96.016343207354453</c:v>
                </c:pt>
                <c:pt idx="24">
                  <c:v>93.667007150153225</c:v>
                </c:pt>
                <c:pt idx="25">
                  <c:v>95.50561797752809</c:v>
                </c:pt>
                <c:pt idx="26">
                  <c:v>91.368743615934633</c:v>
                </c:pt>
                <c:pt idx="27">
                  <c:v>84.703779366700729</c:v>
                </c:pt>
                <c:pt idx="28">
                  <c:v>76.889683350357515</c:v>
                </c:pt>
                <c:pt idx="29">
                  <c:v>73.825331971399393</c:v>
                </c:pt>
                <c:pt idx="30">
                  <c:v>73.518896833503575</c:v>
                </c:pt>
                <c:pt idx="31">
                  <c:v>68.769152196118483</c:v>
                </c:pt>
                <c:pt idx="32">
                  <c:v>67.900919305413694</c:v>
                </c:pt>
                <c:pt idx="33">
                  <c:v>70.863125638406544</c:v>
                </c:pt>
                <c:pt idx="34">
                  <c:v>64.862104187946883</c:v>
                </c:pt>
                <c:pt idx="35">
                  <c:v>73.186925434116461</c:v>
                </c:pt>
                <c:pt idx="36">
                  <c:v>71.450459652706854</c:v>
                </c:pt>
                <c:pt idx="37">
                  <c:v>78.575076608784471</c:v>
                </c:pt>
                <c:pt idx="38">
                  <c:v>74.080694586312575</c:v>
                </c:pt>
                <c:pt idx="39">
                  <c:v>72.982635342185915</c:v>
                </c:pt>
                <c:pt idx="40">
                  <c:v>71.731358529111347</c:v>
                </c:pt>
                <c:pt idx="41">
                  <c:v>65.50051072522983</c:v>
                </c:pt>
                <c:pt idx="42">
                  <c:v>67.977528089887656</c:v>
                </c:pt>
                <c:pt idx="43">
                  <c:v>67.722165474974474</c:v>
                </c:pt>
                <c:pt idx="44">
                  <c:v>67.492339121552618</c:v>
                </c:pt>
                <c:pt idx="45">
                  <c:v>64.376915219611845</c:v>
                </c:pt>
                <c:pt idx="46">
                  <c:v>58.529111338100115</c:v>
                </c:pt>
                <c:pt idx="47">
                  <c:v>59.984678243105215</c:v>
                </c:pt>
                <c:pt idx="48">
                  <c:v>64.811031664964247</c:v>
                </c:pt>
                <c:pt idx="49">
                  <c:v>63.304392236976511</c:v>
                </c:pt>
                <c:pt idx="50">
                  <c:v>63.227783452502564</c:v>
                </c:pt>
                <c:pt idx="51">
                  <c:v>69.892747701736482</c:v>
                </c:pt>
                <c:pt idx="52">
                  <c:v>62.946884576098064</c:v>
                </c:pt>
                <c:pt idx="53">
                  <c:v>65.730337078651687</c:v>
                </c:pt>
                <c:pt idx="54">
                  <c:v>64.070480081716042</c:v>
                </c:pt>
                <c:pt idx="55">
                  <c:v>65.50051072522983</c:v>
                </c:pt>
                <c:pt idx="56">
                  <c:v>70.607763023493362</c:v>
                </c:pt>
                <c:pt idx="57">
                  <c:v>72.318692543411657</c:v>
                </c:pt>
                <c:pt idx="58">
                  <c:v>67.236976506639436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9462939700</c:v>
                </c:pt>
                <c:pt idx="1">
                  <c:v>9652198494</c:v>
                </c:pt>
                <c:pt idx="2">
                  <c:v>9748720478.9399986</c:v>
                </c:pt>
                <c:pt idx="3">
                  <c:v>9943694888.5188007</c:v>
                </c:pt>
                <c:pt idx="4">
                  <c:v>10142568786.289175</c:v>
                </c:pt>
                <c:pt idx="5">
                  <c:v>10243994474.152067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C-4B56-945C-0B5C52F6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E7-4DA5-8339-81AB7AA210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13.413749464636881</c:v>
                </c:pt>
                <c:pt idx="1">
                  <c:v>11.59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7-4DA5-8339-81AB7AA21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PFE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Pfizer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109.32073544433096</c:v>
                </c:pt>
                <c:pt idx="2">
                  <c:v>118.99897854954035</c:v>
                </c:pt>
                <c:pt idx="3">
                  <c:v>109.62717058222677</c:v>
                </c:pt>
                <c:pt idx="4">
                  <c:v>111.69560776302352</c:v>
                </c:pt>
                <c:pt idx="5">
                  <c:v>138.58529111338103</c:v>
                </c:pt>
                <c:pt idx="6">
                  <c:v>149.92339121552607</c:v>
                </c:pt>
                <c:pt idx="7">
                  <c:v>138.7385086823289</c:v>
                </c:pt>
                <c:pt idx="8">
                  <c:v>121.85903983656794</c:v>
                </c:pt>
                <c:pt idx="9">
                  <c:v>134.78038815117469</c:v>
                </c:pt>
                <c:pt idx="10">
                  <c:v>125.30643513789583</c:v>
                </c:pt>
                <c:pt idx="11">
                  <c:v>137.66598569969358</c:v>
                </c:pt>
                <c:pt idx="12">
                  <c:v>133.58018386108276</c:v>
                </c:pt>
                <c:pt idx="13">
                  <c:v>128.98365679264558</c:v>
                </c:pt>
                <c:pt idx="14">
                  <c:v>119.56077630234934</c:v>
                </c:pt>
                <c:pt idx="15">
                  <c:v>111.74668028600614</c:v>
                </c:pt>
                <c:pt idx="16">
                  <c:v>121.11848825331973</c:v>
                </c:pt>
                <c:pt idx="17">
                  <c:v>125.66394279877426</c:v>
                </c:pt>
                <c:pt idx="18">
                  <c:v>132.35444330949952</c:v>
                </c:pt>
                <c:pt idx="19">
                  <c:v>111.82328907048009</c:v>
                </c:pt>
                <c:pt idx="20">
                  <c:v>106.61389172625128</c:v>
                </c:pt>
                <c:pt idx="21">
                  <c:v>103.14096016343208</c:v>
                </c:pt>
                <c:pt idx="22">
                  <c:v>99.310520939734431</c:v>
                </c:pt>
                <c:pt idx="23">
                  <c:v>96.016343207354453</c:v>
                </c:pt>
                <c:pt idx="24">
                  <c:v>93.667007150153225</c:v>
                </c:pt>
                <c:pt idx="25">
                  <c:v>95.50561797752809</c:v>
                </c:pt>
                <c:pt idx="26">
                  <c:v>91.368743615934633</c:v>
                </c:pt>
                <c:pt idx="27">
                  <c:v>84.703779366700729</c:v>
                </c:pt>
                <c:pt idx="28">
                  <c:v>76.889683350357515</c:v>
                </c:pt>
                <c:pt idx="29">
                  <c:v>73.825331971399393</c:v>
                </c:pt>
                <c:pt idx="30">
                  <c:v>73.518896833503575</c:v>
                </c:pt>
                <c:pt idx="31">
                  <c:v>68.769152196118483</c:v>
                </c:pt>
                <c:pt idx="32">
                  <c:v>67.900919305413694</c:v>
                </c:pt>
                <c:pt idx="33">
                  <c:v>70.863125638406544</c:v>
                </c:pt>
                <c:pt idx="34">
                  <c:v>64.862104187946883</c:v>
                </c:pt>
                <c:pt idx="35">
                  <c:v>73.186925434116461</c:v>
                </c:pt>
                <c:pt idx="36">
                  <c:v>71.450459652706854</c:v>
                </c:pt>
                <c:pt idx="37">
                  <c:v>78.575076608784471</c:v>
                </c:pt>
                <c:pt idx="38">
                  <c:v>74.080694586312575</c:v>
                </c:pt>
                <c:pt idx="39">
                  <c:v>72.982635342185915</c:v>
                </c:pt>
                <c:pt idx="40">
                  <c:v>71.731358529111347</c:v>
                </c:pt>
                <c:pt idx="41">
                  <c:v>65.50051072522983</c:v>
                </c:pt>
                <c:pt idx="42">
                  <c:v>67.977528089887656</c:v>
                </c:pt>
                <c:pt idx="43">
                  <c:v>67.722165474974474</c:v>
                </c:pt>
                <c:pt idx="44">
                  <c:v>67.492339121552618</c:v>
                </c:pt>
                <c:pt idx="45">
                  <c:v>64.376915219611845</c:v>
                </c:pt>
                <c:pt idx="46">
                  <c:v>58.529111338100115</c:v>
                </c:pt>
                <c:pt idx="47">
                  <c:v>59.984678243105215</c:v>
                </c:pt>
                <c:pt idx="48">
                  <c:v>64.811031664964247</c:v>
                </c:pt>
                <c:pt idx="49">
                  <c:v>63.304392236976511</c:v>
                </c:pt>
                <c:pt idx="50">
                  <c:v>63.227783452502564</c:v>
                </c:pt>
                <c:pt idx="51">
                  <c:v>69.892747701736482</c:v>
                </c:pt>
                <c:pt idx="52">
                  <c:v>62.946884576098064</c:v>
                </c:pt>
                <c:pt idx="53">
                  <c:v>65.730337078651687</c:v>
                </c:pt>
                <c:pt idx="54">
                  <c:v>64.070480081716042</c:v>
                </c:pt>
                <c:pt idx="55">
                  <c:v>65.50051072522983</c:v>
                </c:pt>
                <c:pt idx="56">
                  <c:v>70.607763023493362</c:v>
                </c:pt>
                <c:pt idx="57">
                  <c:v>72.318692543411657</c:v>
                </c:pt>
                <c:pt idx="58">
                  <c:v>67.236976506639436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D-4432-A0BB-1F30CC95F581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D-4432-A0BB-1F30CC95F581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0D-4432-A0BB-1F30CC95F581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0D-4432-A0BB-1F30CC95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15663012700</c:v>
                </c:pt>
                <c:pt idx="1">
                  <c:v>16446163335</c:v>
                </c:pt>
                <c:pt idx="2">
                  <c:v>17432933135.099998</c:v>
                </c:pt>
                <c:pt idx="3">
                  <c:v>18653238454.557003</c:v>
                </c:pt>
                <c:pt idx="4">
                  <c:v>20145497530.921566</c:v>
                </c:pt>
                <c:pt idx="5">
                  <c:v>21152772407.467636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27C-B61F-12EF8D32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3-4CC3-900F-D91442EF36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73.018982836050554</c:v>
                </c:pt>
                <c:pt idx="1">
                  <c:v>48.02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3-4CC3-900F-D91442EF3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PFE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Pfizer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109.32073544433096</c:v>
                </c:pt>
                <c:pt idx="2">
                  <c:v>118.99897854954035</c:v>
                </c:pt>
                <c:pt idx="3">
                  <c:v>109.62717058222677</c:v>
                </c:pt>
                <c:pt idx="4">
                  <c:v>111.69560776302352</c:v>
                </c:pt>
                <c:pt idx="5">
                  <c:v>138.58529111338103</c:v>
                </c:pt>
                <c:pt idx="6">
                  <c:v>149.92339121552607</c:v>
                </c:pt>
                <c:pt idx="7">
                  <c:v>138.7385086823289</c:v>
                </c:pt>
                <c:pt idx="8">
                  <c:v>121.85903983656794</c:v>
                </c:pt>
                <c:pt idx="9">
                  <c:v>134.78038815117469</c:v>
                </c:pt>
                <c:pt idx="10">
                  <c:v>125.30643513789583</c:v>
                </c:pt>
                <c:pt idx="11">
                  <c:v>137.66598569969358</c:v>
                </c:pt>
                <c:pt idx="12">
                  <c:v>133.58018386108276</c:v>
                </c:pt>
                <c:pt idx="13">
                  <c:v>128.98365679264558</c:v>
                </c:pt>
                <c:pt idx="14">
                  <c:v>119.56077630234934</c:v>
                </c:pt>
                <c:pt idx="15">
                  <c:v>111.74668028600614</c:v>
                </c:pt>
                <c:pt idx="16">
                  <c:v>121.11848825331973</c:v>
                </c:pt>
                <c:pt idx="17">
                  <c:v>125.66394279877426</c:v>
                </c:pt>
                <c:pt idx="18">
                  <c:v>132.35444330949952</c:v>
                </c:pt>
                <c:pt idx="19">
                  <c:v>111.82328907048009</c:v>
                </c:pt>
                <c:pt idx="20">
                  <c:v>106.61389172625128</c:v>
                </c:pt>
                <c:pt idx="21">
                  <c:v>103.14096016343208</c:v>
                </c:pt>
                <c:pt idx="22">
                  <c:v>99.310520939734431</c:v>
                </c:pt>
                <c:pt idx="23">
                  <c:v>96.016343207354453</c:v>
                </c:pt>
                <c:pt idx="24">
                  <c:v>93.667007150153225</c:v>
                </c:pt>
                <c:pt idx="25">
                  <c:v>95.50561797752809</c:v>
                </c:pt>
                <c:pt idx="26">
                  <c:v>91.368743615934633</c:v>
                </c:pt>
                <c:pt idx="27">
                  <c:v>84.703779366700729</c:v>
                </c:pt>
                <c:pt idx="28">
                  <c:v>76.889683350357515</c:v>
                </c:pt>
                <c:pt idx="29">
                  <c:v>73.825331971399393</c:v>
                </c:pt>
                <c:pt idx="30">
                  <c:v>73.518896833503575</c:v>
                </c:pt>
                <c:pt idx="31">
                  <c:v>68.769152196118483</c:v>
                </c:pt>
                <c:pt idx="32">
                  <c:v>67.900919305413694</c:v>
                </c:pt>
                <c:pt idx="33">
                  <c:v>70.863125638406544</c:v>
                </c:pt>
                <c:pt idx="34">
                  <c:v>64.862104187946883</c:v>
                </c:pt>
                <c:pt idx="35">
                  <c:v>73.186925434116461</c:v>
                </c:pt>
                <c:pt idx="36">
                  <c:v>71.450459652706854</c:v>
                </c:pt>
                <c:pt idx="37">
                  <c:v>78.575076608784471</c:v>
                </c:pt>
                <c:pt idx="38">
                  <c:v>74.080694586312575</c:v>
                </c:pt>
                <c:pt idx="39">
                  <c:v>72.982635342185915</c:v>
                </c:pt>
                <c:pt idx="40">
                  <c:v>71.731358529111347</c:v>
                </c:pt>
                <c:pt idx="41">
                  <c:v>65.50051072522983</c:v>
                </c:pt>
                <c:pt idx="42">
                  <c:v>67.977528089887656</c:v>
                </c:pt>
                <c:pt idx="43">
                  <c:v>67.722165474974474</c:v>
                </c:pt>
                <c:pt idx="44">
                  <c:v>67.492339121552618</c:v>
                </c:pt>
                <c:pt idx="45">
                  <c:v>64.376915219611845</c:v>
                </c:pt>
                <c:pt idx="46">
                  <c:v>58.529111338100115</c:v>
                </c:pt>
                <c:pt idx="47">
                  <c:v>59.984678243105215</c:v>
                </c:pt>
                <c:pt idx="48">
                  <c:v>64.811031664964247</c:v>
                </c:pt>
                <c:pt idx="49">
                  <c:v>63.304392236976511</c:v>
                </c:pt>
                <c:pt idx="50">
                  <c:v>63.227783452502564</c:v>
                </c:pt>
                <c:pt idx="51">
                  <c:v>69.892747701736482</c:v>
                </c:pt>
                <c:pt idx="52">
                  <c:v>62.946884576098064</c:v>
                </c:pt>
                <c:pt idx="53">
                  <c:v>65.730337078651687</c:v>
                </c:pt>
                <c:pt idx="54">
                  <c:v>64.070480081716042</c:v>
                </c:pt>
                <c:pt idx="55">
                  <c:v>65.50051072522983</c:v>
                </c:pt>
                <c:pt idx="56">
                  <c:v>70.607763023493362</c:v>
                </c:pt>
                <c:pt idx="57">
                  <c:v>72.318692543411657</c:v>
                </c:pt>
                <c:pt idx="58">
                  <c:v>67.236976506639436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8-4253-AF38-A3AF752305E6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8-4253-AF38-A3AF752305E6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8-4253-AF38-A3AF752305E6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8-4253-AF38-A3AF752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7FFF8-80D3-44DF-92FD-68D6D93F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0A244-F80F-415F-A891-0B291D0CF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E0E02-0EFD-41A0-B8C7-C6D6C8446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587DC-FB5B-4372-ADD9-3A92603A9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2D0AA-FEB4-465C-B8A8-99C9A0EEF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D5D90-BA45-4343-920F-5441E5E72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B9E3-2258-43A1-BDF1-1409E5103457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100</v>
      </c>
    </row>
    <row r="3" spans="2:3" x14ac:dyDescent="0.25">
      <c r="B3" s="60" t="s">
        <v>101</v>
      </c>
      <c r="C3" s="61" t="s">
        <v>122</v>
      </c>
    </row>
    <row r="4" spans="2:3" x14ac:dyDescent="0.25">
      <c r="B4" s="62" t="s">
        <v>102</v>
      </c>
      <c r="C4" s="63">
        <v>0.28999999999999998</v>
      </c>
    </row>
    <row r="5" spans="2:3" x14ac:dyDescent="0.25">
      <c r="B5" s="62" t="s">
        <v>33</v>
      </c>
      <c r="C5" s="64">
        <v>142725000000</v>
      </c>
    </row>
    <row r="6" spans="2:3" x14ac:dyDescent="0.25">
      <c r="B6" s="62" t="s">
        <v>103</v>
      </c>
      <c r="C6" s="64">
        <v>64460000000</v>
      </c>
    </row>
    <row r="7" spans="2:3" x14ac:dyDescent="0.25">
      <c r="B7" s="62" t="s">
        <v>104</v>
      </c>
      <c r="C7" s="64">
        <v>2700000000</v>
      </c>
    </row>
    <row r="8" spans="2:3" x14ac:dyDescent="0.25">
      <c r="B8" s="62" t="s">
        <v>105</v>
      </c>
      <c r="C8" s="65">
        <v>0.15</v>
      </c>
    </row>
    <row r="9" spans="2:3" x14ac:dyDescent="0.25">
      <c r="B9" s="42" t="s">
        <v>106</v>
      </c>
      <c r="C9" s="66">
        <v>4.58E-2</v>
      </c>
    </row>
    <row r="11" spans="2:3" x14ac:dyDescent="0.25">
      <c r="B11" s="3" t="s">
        <v>107</v>
      </c>
    </row>
    <row r="12" spans="2:3" x14ac:dyDescent="0.25">
      <c r="B12" t="s">
        <v>108</v>
      </c>
      <c r="C12" s="67">
        <f>C5+C6</f>
        <v>207185000000</v>
      </c>
    </row>
    <row r="13" spans="2:3" x14ac:dyDescent="0.25">
      <c r="B13" t="s">
        <v>109</v>
      </c>
      <c r="C13" s="68">
        <f>C5/C12</f>
        <v>0.68887709052296253</v>
      </c>
    </row>
    <row r="14" spans="2:3" x14ac:dyDescent="0.25">
      <c r="B14" t="s">
        <v>110</v>
      </c>
      <c r="C14" s="68">
        <f>C6/C12</f>
        <v>0.31112290947703741</v>
      </c>
    </row>
    <row r="16" spans="2:3" ht="18" x14ac:dyDescent="0.35">
      <c r="B16" s="3" t="s">
        <v>111</v>
      </c>
    </row>
    <row r="17" spans="2:3" x14ac:dyDescent="0.25">
      <c r="B17" t="s">
        <v>112</v>
      </c>
      <c r="C17" t="s">
        <v>113</v>
      </c>
    </row>
    <row r="18" spans="2:3" x14ac:dyDescent="0.25">
      <c r="B18" t="s">
        <v>114</v>
      </c>
      <c r="C18" s="21">
        <f>9%-C9</f>
        <v>4.4199999999999996E-2</v>
      </c>
    </row>
    <row r="19" spans="2:3" x14ac:dyDescent="0.25">
      <c r="B19" t="s">
        <v>115</v>
      </c>
      <c r="C19" s="21">
        <f>C9+(0.29*C18)</f>
        <v>5.8617999999999996E-2</v>
      </c>
    </row>
    <row r="21" spans="2:3" ht="18" x14ac:dyDescent="0.35">
      <c r="B21" s="3" t="s">
        <v>116</v>
      </c>
    </row>
    <row r="22" spans="2:3" x14ac:dyDescent="0.25">
      <c r="B22" t="s">
        <v>117</v>
      </c>
      <c r="C22" s="68">
        <f>C7/C6</f>
        <v>4.1886441203847345E-2</v>
      </c>
    </row>
    <row r="23" spans="2:3" x14ac:dyDescent="0.25">
      <c r="B23" t="s">
        <v>118</v>
      </c>
      <c r="C23" t="s">
        <v>119</v>
      </c>
    </row>
    <row r="24" spans="2:3" x14ac:dyDescent="0.25">
      <c r="B24" t="s">
        <v>115</v>
      </c>
      <c r="C24" s="68">
        <f>C22*(1-C8)</f>
        <v>3.5603475023270242E-2</v>
      </c>
    </row>
    <row r="26" spans="2:3" x14ac:dyDescent="0.25">
      <c r="B26" s="3" t="s">
        <v>120</v>
      </c>
    </row>
    <row r="27" spans="2:3" ht="18" x14ac:dyDescent="0.35">
      <c r="B27" t="s">
        <v>112</v>
      </c>
      <c r="C27" t="s">
        <v>121</v>
      </c>
    </row>
    <row r="28" spans="2:3" x14ac:dyDescent="0.25">
      <c r="B28" t="s">
        <v>115</v>
      </c>
      <c r="C28" s="21">
        <f>(C13*C19)+(C14*C24)</f>
        <v>5.1457654029007885E-2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0.15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5.1457654029007885E-2</v>
      </c>
      <c r="C7" s="41"/>
      <c r="P7">
        <v>2026</v>
      </c>
      <c r="Q7" s="26">
        <f>D28</f>
        <v>12525400000</v>
      </c>
      <c r="R7" s="26"/>
      <c r="S7" t="s">
        <v>41</v>
      </c>
      <c r="T7" s="16">
        <f>B40</f>
        <v>24.407205370677975</v>
      </c>
    </row>
    <row r="8" spans="1:26" x14ac:dyDescent="0.25">
      <c r="A8" s="40" t="s">
        <v>4</v>
      </c>
      <c r="B8" s="32">
        <v>0.01</v>
      </c>
      <c r="C8" s="41"/>
      <c r="P8">
        <v>2027</v>
      </c>
      <c r="Q8" s="26">
        <f>E28</f>
        <v>12775908000</v>
      </c>
      <c r="R8" s="26"/>
      <c r="S8" t="s">
        <v>73</v>
      </c>
      <c r="T8" s="16">
        <v>0.59</v>
      </c>
    </row>
    <row r="9" spans="1:26" x14ac:dyDescent="0.25">
      <c r="A9" s="40" t="s">
        <v>5</v>
      </c>
      <c r="B9" s="33" t="s">
        <v>79</v>
      </c>
      <c r="C9" s="41"/>
      <c r="P9">
        <v>2028</v>
      </c>
      <c r="Q9" s="26">
        <f>F28</f>
        <v>13159185240</v>
      </c>
      <c r="R9" s="26"/>
      <c r="S9" t="s">
        <v>8</v>
      </c>
      <c r="T9" s="16">
        <f>B12</f>
        <v>25</v>
      </c>
    </row>
    <row r="10" spans="1:26" x14ac:dyDescent="0.25">
      <c r="A10" s="40" t="s">
        <v>6</v>
      </c>
      <c r="B10" s="34">
        <v>46195</v>
      </c>
      <c r="C10" s="41"/>
      <c r="P10">
        <v>2029</v>
      </c>
      <c r="Q10" s="26">
        <f>G28</f>
        <v>13553960797.200001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13960579621.115999</v>
      </c>
      <c r="R11" s="26"/>
    </row>
    <row r="12" spans="1:26" x14ac:dyDescent="0.25">
      <c r="A12" s="40" t="s">
        <v>8</v>
      </c>
      <c r="B12" s="35">
        <v>25</v>
      </c>
      <c r="C12" s="41" t="s">
        <v>78</v>
      </c>
      <c r="P12">
        <v>2031</v>
      </c>
      <c r="Q12" s="26">
        <f>I28</f>
        <v>14239791213.538321</v>
      </c>
      <c r="R12" s="26"/>
    </row>
    <row r="13" spans="1:26" x14ac:dyDescent="0.25">
      <c r="A13" s="40" t="s">
        <v>9</v>
      </c>
      <c r="B13" s="36">
        <v>5709000000</v>
      </c>
      <c r="C13" s="41"/>
    </row>
    <row r="14" spans="1:26" x14ac:dyDescent="0.25">
      <c r="A14" s="40" t="s">
        <v>10</v>
      </c>
      <c r="B14" s="35">
        <v>64460000000</v>
      </c>
      <c r="C14" s="41"/>
      <c r="P14" s="6" t="s">
        <v>16</v>
      </c>
      <c r="Q14" s="6" t="s">
        <v>84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14984000000</v>
      </c>
      <c r="C15" s="41"/>
      <c r="P15" s="55">
        <v>44348</v>
      </c>
      <c r="Q15" s="56">
        <v>39.159999999999997</v>
      </c>
      <c r="R15" s="6">
        <v>4352.34</v>
      </c>
      <c r="S15" s="6">
        <v>14639.33</v>
      </c>
      <c r="T15" s="6">
        <v>34433.839999999997</v>
      </c>
      <c r="U15" s="55">
        <v>44348</v>
      </c>
      <c r="V15" s="57">
        <f t="shared" ref="V15:V46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83</v>
      </c>
      <c r="C16" s="41"/>
      <c r="P16" s="55">
        <v>44378</v>
      </c>
      <c r="Q16" s="6">
        <v>42.81</v>
      </c>
      <c r="R16" s="6">
        <v>4395.26</v>
      </c>
      <c r="S16" s="6">
        <v>14672.68</v>
      </c>
      <c r="T16" s="6">
        <v>35061.550000000003</v>
      </c>
      <c r="U16" s="55">
        <v>44378</v>
      </c>
      <c r="V16" s="58">
        <f t="shared" si="0"/>
        <v>109.32073544433096</v>
      </c>
      <c r="W16" s="58">
        <f>(R16/$R$15)*100</f>
        <v>100.98613619340402</v>
      </c>
      <c r="X16" s="58">
        <f>(S16/$S$15)*100</f>
        <v>100.22781097222347</v>
      </c>
      <c r="Y16" s="58">
        <f>(T16/$T$15)*100</f>
        <v>101.82294510284071</v>
      </c>
      <c r="Z16" t="s">
        <v>74</v>
      </c>
    </row>
    <row r="17" spans="1:25" x14ac:dyDescent="0.25">
      <c r="A17" s="42" t="s">
        <v>86</v>
      </c>
      <c r="B17" s="43"/>
      <c r="C17" s="44"/>
      <c r="P17" s="55">
        <v>44409</v>
      </c>
      <c r="Q17" s="6">
        <v>46.6</v>
      </c>
      <c r="R17" s="6">
        <v>4509.37</v>
      </c>
      <c r="S17" s="6">
        <v>14714.66</v>
      </c>
      <c r="T17" s="6">
        <v>35120.080000000002</v>
      </c>
      <c r="U17" s="55">
        <v>44409</v>
      </c>
      <c r="V17" s="58">
        <f t="shared" si="0"/>
        <v>118.99897854954035</v>
      </c>
      <c r="W17" s="58">
        <f>(R17/$R$15)*100</f>
        <v>103.60794423229802</v>
      </c>
      <c r="X17" s="58">
        <f>(S17/$S$15)*100</f>
        <v>100.5145727297629</v>
      </c>
      <c r="Y17" s="58">
        <f>(T17/$T$15)*100</f>
        <v>101.9929232406261</v>
      </c>
    </row>
    <row r="18" spans="1:25" x14ac:dyDescent="0.25">
      <c r="P18" s="55">
        <v>44440</v>
      </c>
      <c r="Q18" s="6">
        <v>42.93</v>
      </c>
      <c r="R18" s="6">
        <v>4455.4799999999996</v>
      </c>
      <c r="S18" s="6">
        <v>15047.7</v>
      </c>
      <c r="T18" s="6">
        <v>34326.46</v>
      </c>
      <c r="U18" s="55">
        <v>44440</v>
      </c>
      <c r="V18" s="58">
        <f t="shared" si="0"/>
        <v>109.62717058222677</v>
      </c>
      <c r="W18" s="58">
        <f t="shared" ref="W18:W75" si="1">(R18/$R$15)*100</f>
        <v>102.36975971546339</v>
      </c>
      <c r="X18" s="58">
        <f t="shared" ref="X18:X75" si="2">(S18/$S$15)*100</f>
        <v>102.78954023169094</v>
      </c>
      <c r="Y18" s="58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5">
        <v>44470</v>
      </c>
      <c r="Q19" s="6">
        <v>43.74</v>
      </c>
      <c r="R19" s="6">
        <v>4544.8999999999996</v>
      </c>
      <c r="S19" s="6">
        <v>15498.39</v>
      </c>
      <c r="T19" s="6">
        <v>35677.019999999997</v>
      </c>
      <c r="U19" s="55">
        <v>44470</v>
      </c>
      <c r="V19" s="58">
        <f t="shared" si="0"/>
        <v>111.69560776302352</v>
      </c>
      <c r="W19" s="58">
        <f t="shared" si="1"/>
        <v>104.42428670554229</v>
      </c>
      <c r="X19" s="58">
        <f t="shared" si="2"/>
        <v>105.86816473158265</v>
      </c>
      <c r="Y19" s="58">
        <f t="shared" si="3"/>
        <v>103.61034377809737</v>
      </c>
    </row>
    <row r="20" spans="1:25" x14ac:dyDescent="0.25">
      <c r="A20" t="s">
        <v>16</v>
      </c>
      <c r="C20" s="7">
        <v>46195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346912758633.43591</v>
      </c>
      <c r="P20" s="55">
        <v>44501</v>
      </c>
      <c r="Q20" s="6">
        <v>54.27</v>
      </c>
      <c r="R20" s="6">
        <v>4594.62</v>
      </c>
      <c r="S20" s="6">
        <v>15085.47</v>
      </c>
      <c r="T20" s="6">
        <v>34889.339999999997</v>
      </c>
      <c r="U20" s="55">
        <v>44501</v>
      </c>
      <c r="V20" s="58">
        <f t="shared" si="0"/>
        <v>138.58529111338103</v>
      </c>
      <c r="W20" s="58">
        <f t="shared" si="1"/>
        <v>105.56666069286867</v>
      </c>
      <c r="X20" s="58">
        <f t="shared" si="2"/>
        <v>103.04754384251191</v>
      </c>
      <c r="Y20" s="58">
        <f t="shared" si="3"/>
        <v>101.32282661474873</v>
      </c>
    </row>
    <row r="21" spans="1:25" x14ac:dyDescent="0.25">
      <c r="A21" t="s">
        <v>18</v>
      </c>
      <c r="B21" t="s">
        <v>97</v>
      </c>
      <c r="D21" s="5">
        <v>62627000000</v>
      </c>
      <c r="E21" s="5">
        <f>D21*1.02</f>
        <v>63879540000</v>
      </c>
      <c r="F21" s="5">
        <f>E21*1.03</f>
        <v>65795926200</v>
      </c>
      <c r="G21" s="5">
        <f>F21*1.03</f>
        <v>67769803986</v>
      </c>
      <c r="H21" s="5">
        <f>G21*1.03</f>
        <v>69802898105.580002</v>
      </c>
      <c r="I21" s="5">
        <f>H21*1.02</f>
        <v>71198956067.691605</v>
      </c>
      <c r="L21" t="s">
        <v>19</v>
      </c>
      <c r="M21" s="13">
        <f>(I22+I25)*8</f>
        <v>170877494562.45987</v>
      </c>
      <c r="P21" s="55">
        <v>44531</v>
      </c>
      <c r="Q21" s="6">
        <v>58.71</v>
      </c>
      <c r="R21" s="6">
        <v>4766.18</v>
      </c>
      <c r="S21" s="6">
        <v>15653.37</v>
      </c>
      <c r="T21" s="6">
        <v>35950.559999999998</v>
      </c>
      <c r="U21" s="55">
        <v>44531</v>
      </c>
      <c r="V21" s="58">
        <f t="shared" si="0"/>
        <v>149.92339121552607</v>
      </c>
      <c r="W21" s="58">
        <f t="shared" si="1"/>
        <v>109.50844832894488</v>
      </c>
      <c r="X21" s="58">
        <f t="shared" si="2"/>
        <v>106.92681973833503</v>
      </c>
      <c r="Y21" s="58">
        <f t="shared" si="3"/>
        <v>104.40473673572276</v>
      </c>
    </row>
    <row r="22" spans="1:25" x14ac:dyDescent="0.25">
      <c r="A22" t="s">
        <v>77</v>
      </c>
      <c r="B22" t="s">
        <v>123</v>
      </c>
      <c r="C22" s="25">
        <v>0.2</v>
      </c>
      <c r="D22" s="5">
        <f>D21*$C$22</f>
        <v>12525400000</v>
      </c>
      <c r="E22" s="5">
        <f t="shared" ref="E22:I22" si="4">E21*$C$22</f>
        <v>12775908000</v>
      </c>
      <c r="F22" s="5">
        <f t="shared" si="4"/>
        <v>13159185240</v>
      </c>
      <c r="G22" s="5">
        <f t="shared" si="4"/>
        <v>13553960797.200001</v>
      </c>
      <c r="H22" s="5">
        <f t="shared" si="4"/>
        <v>13960579621.116001</v>
      </c>
      <c r="I22" s="5">
        <f t="shared" si="4"/>
        <v>14239791213.538322</v>
      </c>
      <c r="L22" t="s">
        <v>20</v>
      </c>
      <c r="M22" s="13">
        <f>(M20+M21)/2</f>
        <v>258895126597.94788</v>
      </c>
      <c r="P22" s="55">
        <v>44562</v>
      </c>
      <c r="Q22" s="6">
        <v>54.33</v>
      </c>
      <c r="R22" s="6">
        <v>4500.53</v>
      </c>
      <c r="S22" s="6">
        <v>13770.57</v>
      </c>
      <c r="T22" s="6">
        <v>34725.47</v>
      </c>
      <c r="U22" s="55">
        <v>44562</v>
      </c>
      <c r="V22" s="58">
        <f t="shared" si="0"/>
        <v>138.7385086823289</v>
      </c>
      <c r="W22" s="58">
        <f t="shared" si="1"/>
        <v>103.40483510019895</v>
      </c>
      <c r="X22" s="58">
        <f t="shared" si="2"/>
        <v>94.065575405431801</v>
      </c>
      <c r="Y22" s="58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1878810000</v>
      </c>
      <c r="E23" s="30">
        <f t="shared" ref="E23:I23" si="5">E22*$B$6</f>
        <v>1916386200</v>
      </c>
      <c r="F23" s="5">
        <f t="shared" si="5"/>
        <v>1973877786</v>
      </c>
      <c r="G23" s="30">
        <f t="shared" si="5"/>
        <v>2033094119.5799999</v>
      </c>
      <c r="H23" s="30">
        <f t="shared" si="5"/>
        <v>2094086943.1674001</v>
      </c>
      <c r="I23" s="5">
        <f t="shared" si="5"/>
        <v>2135968682.0307484</v>
      </c>
      <c r="P23" s="55">
        <v>44593</v>
      </c>
      <c r="Q23" s="6">
        <v>47.72</v>
      </c>
      <c r="R23" s="6">
        <v>4384.6499999999996</v>
      </c>
      <c r="S23" s="6">
        <v>13313.44</v>
      </c>
      <c r="T23" s="6">
        <v>34058.75</v>
      </c>
      <c r="U23" s="55">
        <v>44593</v>
      </c>
      <c r="V23" s="58">
        <f t="shared" si="0"/>
        <v>121.85903983656794</v>
      </c>
      <c r="W23" s="58">
        <f t="shared" si="1"/>
        <v>100.74235928259282</v>
      </c>
      <c r="X23" s="58">
        <f t="shared" si="2"/>
        <v>90.942959821248664</v>
      </c>
      <c r="Y23" s="58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10646590000</v>
      </c>
      <c r="E24" s="5">
        <f t="shared" ref="E24:I24" si="6">E22*(1-$B$6)</f>
        <v>10859521800</v>
      </c>
      <c r="F24" s="5">
        <f t="shared" si="6"/>
        <v>11185307454</v>
      </c>
      <c r="G24" s="5">
        <f t="shared" si="6"/>
        <v>11520866677.620001</v>
      </c>
      <c r="H24" s="5">
        <f t="shared" si="6"/>
        <v>11866492677.948601</v>
      </c>
      <c r="I24" s="5">
        <f t="shared" si="6"/>
        <v>12103822531.507574</v>
      </c>
      <c r="P24" s="55">
        <v>44621</v>
      </c>
      <c r="Q24" s="6">
        <v>52.78</v>
      </c>
      <c r="R24" s="6">
        <v>4543.0600000000004</v>
      </c>
      <c r="S24" s="6">
        <v>14169.3</v>
      </c>
      <c r="T24" s="6">
        <v>34861.24</v>
      </c>
      <c r="U24" s="55">
        <v>44621</v>
      </c>
      <c r="V24" s="58">
        <f t="shared" si="0"/>
        <v>134.78038815117469</v>
      </c>
      <c r="W24" s="58">
        <f t="shared" si="1"/>
        <v>104.38201059659862</v>
      </c>
      <c r="X24" s="58">
        <f t="shared" si="2"/>
        <v>96.789265628959782</v>
      </c>
      <c r="Y24" s="58">
        <f t="shared" si="3"/>
        <v>101.24122084554033</v>
      </c>
    </row>
    <row r="25" spans="1:25" x14ac:dyDescent="0.25">
      <c r="A25" s="4" t="s">
        <v>25</v>
      </c>
      <c r="B25" s="8" t="s">
        <v>80</v>
      </c>
      <c r="C25" s="25">
        <v>0.1</v>
      </c>
      <c r="D25" s="12">
        <f>D21*$C$25</f>
        <v>6262700000</v>
      </c>
      <c r="E25" s="12">
        <f t="shared" ref="E25:I25" si="7">E21*$C$25</f>
        <v>6387954000</v>
      </c>
      <c r="F25" s="12">
        <f t="shared" si="7"/>
        <v>6579592620</v>
      </c>
      <c r="G25" s="12">
        <f t="shared" si="7"/>
        <v>6776980398.6000004</v>
      </c>
      <c r="H25" s="12">
        <f t="shared" si="7"/>
        <v>6980289810.5580006</v>
      </c>
      <c r="I25" s="12">
        <f t="shared" si="7"/>
        <v>7119895606.7691612</v>
      </c>
      <c r="P25" s="55">
        <v>44652</v>
      </c>
      <c r="Q25" s="6">
        <v>49.07</v>
      </c>
      <c r="R25" s="6">
        <v>4271.78</v>
      </c>
      <c r="S25" s="6">
        <v>12839.29</v>
      </c>
      <c r="T25" s="6">
        <v>33811.4</v>
      </c>
      <c r="U25" s="55">
        <v>44652</v>
      </c>
      <c r="V25" s="58">
        <f t="shared" si="0"/>
        <v>125.30643513789583</v>
      </c>
      <c r="W25" s="58">
        <f t="shared" si="1"/>
        <v>98.149041664943454</v>
      </c>
      <c r="X25" s="58">
        <f t="shared" si="2"/>
        <v>87.704082085723883</v>
      </c>
      <c r="Y25" s="58">
        <f t="shared" si="3"/>
        <v>98.192359609035776</v>
      </c>
    </row>
    <row r="26" spans="1:25" x14ac:dyDescent="0.25">
      <c r="A26" t="s">
        <v>26</v>
      </c>
      <c r="B26" t="s">
        <v>81</v>
      </c>
      <c r="C26" s="25">
        <v>0.04</v>
      </c>
      <c r="D26" s="10">
        <f>D21*$C$26</f>
        <v>2505080000</v>
      </c>
      <c r="E26" s="10">
        <f t="shared" ref="E26:I26" si="8">E21*$C$26</f>
        <v>2555181600</v>
      </c>
      <c r="F26" s="10">
        <f t="shared" si="8"/>
        <v>2631837048</v>
      </c>
      <c r="G26" s="10">
        <f t="shared" si="8"/>
        <v>2710792159.4400001</v>
      </c>
      <c r="H26" s="10">
        <f t="shared" si="8"/>
        <v>2792115924.2232003</v>
      </c>
      <c r="I26" s="10">
        <f t="shared" si="8"/>
        <v>2847958242.707664</v>
      </c>
      <c r="P26" s="55">
        <v>44682</v>
      </c>
      <c r="Q26" s="6">
        <v>53.91</v>
      </c>
      <c r="R26" s="6">
        <v>4158.24</v>
      </c>
      <c r="S26" s="6">
        <v>11354.62</v>
      </c>
      <c r="T26" s="6">
        <v>33212.959999999999</v>
      </c>
      <c r="U26" s="55">
        <v>44682</v>
      </c>
      <c r="V26" s="58">
        <f t="shared" si="0"/>
        <v>137.66598569969358</v>
      </c>
      <c r="W26" s="58">
        <f t="shared" si="1"/>
        <v>95.540330029363503</v>
      </c>
      <c r="X26" s="58">
        <f t="shared" si="2"/>
        <v>77.562429428122741</v>
      </c>
      <c r="Y26" s="58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0.03</v>
      </c>
      <c r="D27" s="10">
        <f>D21*$C$27</f>
        <v>1878810000</v>
      </c>
      <c r="E27" s="10">
        <f t="shared" ref="E27:I27" si="9">E21*$C$27</f>
        <v>1916386200</v>
      </c>
      <c r="F27" s="10">
        <f t="shared" si="9"/>
        <v>1973877786</v>
      </c>
      <c r="G27" s="10">
        <f t="shared" si="9"/>
        <v>2033094119.5799999</v>
      </c>
      <c r="H27" s="10">
        <f t="shared" si="9"/>
        <v>2094086943.1673999</v>
      </c>
      <c r="I27" s="10">
        <f t="shared" si="9"/>
        <v>2135968682.0307481</v>
      </c>
      <c r="P27" s="55">
        <v>44713</v>
      </c>
      <c r="Q27" s="58">
        <v>52.31</v>
      </c>
      <c r="R27" s="6">
        <v>3911.74</v>
      </c>
      <c r="S27" s="6">
        <v>11127.85</v>
      </c>
      <c r="T27" s="6">
        <v>31097.26</v>
      </c>
      <c r="U27" s="55">
        <v>44713</v>
      </c>
      <c r="V27" s="58">
        <f t="shared" si="0"/>
        <v>133.58018386108276</v>
      </c>
      <c r="W27" s="58">
        <f t="shared" si="1"/>
        <v>89.876709999678326</v>
      </c>
      <c r="X27" s="58">
        <f t="shared" si="2"/>
        <v>76.01338312614034</v>
      </c>
      <c r="Y27" s="58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12525400000</v>
      </c>
      <c r="E28" s="12">
        <f t="shared" ref="E28:I28" si="10">E24+E25-E26-E27</f>
        <v>12775908000</v>
      </c>
      <c r="F28" s="12">
        <f t="shared" si="10"/>
        <v>13159185240</v>
      </c>
      <c r="G28" s="12">
        <f t="shared" si="10"/>
        <v>13553960797.200001</v>
      </c>
      <c r="H28" s="12">
        <f t="shared" si="10"/>
        <v>13960579621.115999</v>
      </c>
      <c r="I28" s="12">
        <f t="shared" si="10"/>
        <v>14239791213.538321</v>
      </c>
      <c r="P28" s="55">
        <v>44743</v>
      </c>
      <c r="Q28" s="6">
        <v>50.51</v>
      </c>
      <c r="R28" s="6">
        <v>4130.29</v>
      </c>
      <c r="S28" s="6">
        <v>12390.69</v>
      </c>
      <c r="T28" s="6">
        <v>32845.129999999997</v>
      </c>
      <c r="U28" s="55">
        <v>44743</v>
      </c>
      <c r="V28" s="58">
        <f t="shared" si="0"/>
        <v>128.98365679264558</v>
      </c>
      <c r="W28" s="58">
        <f t="shared" si="1"/>
        <v>94.898146744050322</v>
      </c>
      <c r="X28" s="58">
        <f t="shared" si="2"/>
        <v>84.63973419548573</v>
      </c>
      <c r="Y28" s="58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5">
        <v>44774</v>
      </c>
      <c r="Q29" s="6">
        <v>46.82</v>
      </c>
      <c r="R29" s="6">
        <v>3924.26</v>
      </c>
      <c r="S29" s="6">
        <v>12141.71</v>
      </c>
      <c r="T29" s="6">
        <v>31318.44</v>
      </c>
      <c r="U29" s="55">
        <v>44774</v>
      </c>
      <c r="V29" s="58">
        <f t="shared" si="0"/>
        <v>119.56077630234934</v>
      </c>
      <c r="W29" s="58">
        <f t="shared" si="1"/>
        <v>90.164371349664791</v>
      </c>
      <c r="X29" s="58">
        <f t="shared" si="2"/>
        <v>82.938973300007575</v>
      </c>
      <c r="Y29" s="58">
        <f t="shared" si="3"/>
        <v>90.95250486149672</v>
      </c>
    </row>
    <row r="30" spans="1:25" x14ac:dyDescent="0.25">
      <c r="A30" t="s">
        <v>36</v>
      </c>
      <c r="C30" s="13">
        <f>-G39</f>
        <v>-192201000000</v>
      </c>
      <c r="D30" s="5">
        <f>D28</f>
        <v>12525400000</v>
      </c>
      <c r="E30" s="5">
        <f t="shared" ref="E30:I30" si="11">E28</f>
        <v>12775908000</v>
      </c>
      <c r="F30" s="5">
        <f t="shared" si="11"/>
        <v>13159185240</v>
      </c>
      <c r="G30" s="5">
        <f t="shared" si="11"/>
        <v>13553960797.200001</v>
      </c>
      <c r="H30" s="5">
        <f t="shared" si="11"/>
        <v>13960579621.115999</v>
      </c>
      <c r="I30" s="5">
        <f t="shared" si="11"/>
        <v>14239791213.538321</v>
      </c>
      <c r="J30" s="13">
        <f>I28+M22</f>
        <v>273134917811.48621</v>
      </c>
      <c r="K30" t="s">
        <v>38</v>
      </c>
      <c r="P30" s="55">
        <v>44805</v>
      </c>
      <c r="Q30" s="6">
        <v>43.76</v>
      </c>
      <c r="R30" s="6">
        <v>3585.62</v>
      </c>
      <c r="S30" s="6">
        <v>10867.93</v>
      </c>
      <c r="T30" s="6">
        <v>30822.42</v>
      </c>
      <c r="U30" s="55">
        <v>44805</v>
      </c>
      <c r="V30" s="58">
        <f t="shared" si="0"/>
        <v>111.74668028600614</v>
      </c>
      <c r="W30" s="58">
        <f t="shared" si="1"/>
        <v>82.383729212331744</v>
      </c>
      <c r="X30" s="58">
        <f t="shared" si="2"/>
        <v>74.237892034676463</v>
      </c>
      <c r="Y30" s="58">
        <f t="shared" si="3"/>
        <v>89.512003308373394</v>
      </c>
    </row>
    <row r="31" spans="1:25" x14ac:dyDescent="0.25">
      <c r="A31" t="s">
        <v>37</v>
      </c>
      <c r="D31" s="6">
        <f>1/(1+$B$7)^D29</f>
        <v>0.97522338472076764</v>
      </c>
      <c r="E31" s="6">
        <f t="shared" ref="E31:I31" si="12">1/(1+$B$7)^E29</f>
        <v>0.92749658627133136</v>
      </c>
      <c r="F31" s="6">
        <f t="shared" si="12"/>
        <v>0.88210550631052176</v>
      </c>
      <c r="G31" s="6">
        <f t="shared" si="12"/>
        <v>0.83893583629397017</v>
      </c>
      <c r="H31" s="6">
        <f t="shared" si="12"/>
        <v>0.79787886186315726</v>
      </c>
      <c r="I31" s="6">
        <f t="shared" si="12"/>
        <v>0.77811012426334203</v>
      </c>
      <c r="J31" t="s">
        <v>39</v>
      </c>
      <c r="P31" s="55">
        <v>44835</v>
      </c>
      <c r="Q31" s="6">
        <v>47.43</v>
      </c>
      <c r="R31" s="6">
        <v>3901.06</v>
      </c>
      <c r="S31" s="6">
        <v>11102.45</v>
      </c>
      <c r="T31" s="6">
        <v>32861.800000000003</v>
      </c>
      <c r="U31" s="55">
        <v>44835</v>
      </c>
      <c r="V31" s="58">
        <f t="shared" si="0"/>
        <v>121.11848825331973</v>
      </c>
      <c r="W31" s="58">
        <f t="shared" si="1"/>
        <v>89.631324758635571</v>
      </c>
      <c r="X31" s="58">
        <f t="shared" si="2"/>
        <v>75.839877917910187</v>
      </c>
      <c r="Y31" s="58">
        <f t="shared" si="3"/>
        <v>95.434607351372975</v>
      </c>
    </row>
    <row r="32" spans="1:25" x14ac:dyDescent="0.25">
      <c r="A32" t="s">
        <v>40</v>
      </c>
      <c r="C32" s="13">
        <f>-G39</f>
        <v>-192201000000</v>
      </c>
      <c r="D32" s="5">
        <f>D30*D31</f>
        <v>12215062982.981503</v>
      </c>
      <c r="E32" s="5">
        <f t="shared" ref="E32:I32" si="13">E30*E31</f>
        <v>11849611056.516592</v>
      </c>
      <c r="F32" s="5">
        <f t="shared" si="13"/>
        <v>11607789758.764145</v>
      </c>
      <c r="G32" s="5">
        <f t="shared" si="13"/>
        <v>11370903436.494669</v>
      </c>
      <c r="H32" s="5">
        <f t="shared" si="13"/>
        <v>11138851379.046021</v>
      </c>
      <c r="I32" s="5">
        <f t="shared" si="13"/>
        <v>11080125710.650349</v>
      </c>
      <c r="J32" s="14">
        <f>M22</f>
        <v>258895126597.94788</v>
      </c>
      <c r="P32" s="55">
        <v>44866</v>
      </c>
      <c r="Q32" s="6">
        <v>49.21</v>
      </c>
      <c r="R32" s="6">
        <v>4026.12</v>
      </c>
      <c r="S32" s="6">
        <v>11226.36</v>
      </c>
      <c r="T32" s="6">
        <v>34429.879999999997</v>
      </c>
      <c r="U32" s="55">
        <v>44866</v>
      </c>
      <c r="V32" s="58">
        <f t="shared" si="0"/>
        <v>125.66394279877426</v>
      </c>
      <c r="W32" s="58">
        <f t="shared" si="1"/>
        <v>92.504721598036909</v>
      </c>
      <c r="X32" s="58">
        <f t="shared" si="2"/>
        <v>76.686296435697543</v>
      </c>
      <c r="Y32" s="58">
        <f t="shared" si="3"/>
        <v>99.988499685193403</v>
      </c>
    </row>
    <row r="33" spans="1:25" x14ac:dyDescent="0.25">
      <c r="A33" t="s">
        <v>56</v>
      </c>
      <c r="C33" s="29">
        <v>-192201</v>
      </c>
      <c r="D33" s="45">
        <v>12215</v>
      </c>
      <c r="E33" s="24">
        <v>11850</v>
      </c>
      <c r="F33" s="24">
        <v>11608</v>
      </c>
      <c r="G33" s="24">
        <v>11371</v>
      </c>
      <c r="H33" s="24">
        <v>11139</v>
      </c>
      <c r="I33" s="24">
        <v>11080</v>
      </c>
      <c r="J33" s="24">
        <v>258895</v>
      </c>
      <c r="P33" s="55">
        <v>44896</v>
      </c>
      <c r="Q33" s="6">
        <v>51.83</v>
      </c>
      <c r="R33" s="6">
        <v>3839.5</v>
      </c>
      <c r="S33" s="6">
        <v>10466.48</v>
      </c>
      <c r="T33" s="6">
        <v>33203.93</v>
      </c>
      <c r="U33" s="55">
        <v>44896</v>
      </c>
      <c r="V33" s="58">
        <f t="shared" si="0"/>
        <v>132.35444330949952</v>
      </c>
      <c r="W33" s="58">
        <f t="shared" si="1"/>
        <v>88.216913200715013</v>
      </c>
      <c r="X33" s="58">
        <f t="shared" si="2"/>
        <v>71.495621725857674</v>
      </c>
      <c r="Y33" s="58">
        <f t="shared" si="3"/>
        <v>96.428193892984353</v>
      </c>
    </row>
    <row r="34" spans="1:25" x14ac:dyDescent="0.25">
      <c r="P34" s="55">
        <v>44927</v>
      </c>
      <c r="Q34" s="6">
        <v>43.79</v>
      </c>
      <c r="R34" s="6">
        <v>4070.56</v>
      </c>
      <c r="S34" s="6">
        <v>11140.43</v>
      </c>
      <c r="T34" s="6">
        <v>33375.49</v>
      </c>
      <c r="U34" s="55">
        <v>44927</v>
      </c>
      <c r="V34" s="58">
        <f t="shared" si="0"/>
        <v>111.82328907048009</v>
      </c>
      <c r="W34" s="58">
        <f t="shared" si="1"/>
        <v>93.525781533611791</v>
      </c>
      <c r="X34" s="58">
        <f t="shared" si="2"/>
        <v>76.099316020610232</v>
      </c>
      <c r="Y34" s="58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5">
        <v>44958</v>
      </c>
      <c r="Q35" s="6">
        <v>41.75</v>
      </c>
      <c r="R35" s="6">
        <v>4045.64</v>
      </c>
      <c r="S35" s="6">
        <v>11689.01</v>
      </c>
      <c r="T35" s="6">
        <v>32816.92</v>
      </c>
      <c r="U35" s="55">
        <v>44958</v>
      </c>
      <c r="V35" s="58">
        <f t="shared" si="0"/>
        <v>106.61389172625128</v>
      </c>
      <c r="W35" s="58">
        <f t="shared" si="1"/>
        <v>92.953215971178722</v>
      </c>
      <c r="X35" s="58">
        <f t="shared" si="2"/>
        <v>79.846618663559056</v>
      </c>
      <c r="Y35" s="58">
        <f t="shared" si="3"/>
        <v>95.304270450231527</v>
      </c>
    </row>
    <row r="36" spans="1:25" x14ac:dyDescent="0.25">
      <c r="A36" s="13" t="s">
        <v>42</v>
      </c>
      <c r="B36" s="17">
        <f>SUM(D32:I32)</f>
        <v>69262344324.453278</v>
      </c>
      <c r="C36" t="s">
        <v>45</v>
      </c>
      <c r="F36" t="s">
        <v>33</v>
      </c>
      <c r="G36" s="15">
        <f>B13*B12</f>
        <v>142725000000</v>
      </c>
      <c r="H36" t="s">
        <v>34</v>
      </c>
      <c r="L36" s="3" t="s">
        <v>51</v>
      </c>
      <c r="P36" s="55">
        <v>44986</v>
      </c>
      <c r="Q36" s="6">
        <v>40.39</v>
      </c>
      <c r="R36" s="6">
        <v>3970.99</v>
      </c>
      <c r="S36" s="6">
        <v>11823.96</v>
      </c>
      <c r="T36" s="6">
        <v>33274.15</v>
      </c>
      <c r="U36" s="55">
        <v>44986</v>
      </c>
      <c r="V36" s="58">
        <f t="shared" si="0"/>
        <v>103.14096016343208</v>
      </c>
      <c r="W36" s="58">
        <f t="shared" si="1"/>
        <v>91.238046659957632</v>
      </c>
      <c r="X36" s="58">
        <f t="shared" si="2"/>
        <v>80.768450468703136</v>
      </c>
      <c r="Y36" s="58">
        <f t="shared" si="3"/>
        <v>96.63212119240842</v>
      </c>
    </row>
    <row r="37" spans="1:25" x14ac:dyDescent="0.25">
      <c r="A37" t="s">
        <v>11</v>
      </c>
      <c r="B37" s="19">
        <f>B15</f>
        <v>14984000000</v>
      </c>
      <c r="F37" t="s">
        <v>10</v>
      </c>
      <c r="G37" s="14">
        <f>B14</f>
        <v>64460000000</v>
      </c>
      <c r="L37" t="s">
        <v>52</v>
      </c>
      <c r="M37" s="21">
        <f>(B40/B12)-1</f>
        <v>-2.3711785172880973E-2</v>
      </c>
      <c r="P37" s="55">
        <v>45017</v>
      </c>
      <c r="Q37" s="6">
        <v>38.89</v>
      </c>
      <c r="R37" s="6">
        <v>4133.5200000000004</v>
      </c>
      <c r="S37" s="6">
        <v>12072.46</v>
      </c>
      <c r="T37" s="6">
        <v>33808.959999999999</v>
      </c>
      <c r="U37" s="55">
        <v>45017</v>
      </c>
      <c r="V37" s="58">
        <f t="shared" si="0"/>
        <v>99.310520939734431</v>
      </c>
      <c r="W37" s="58">
        <f t="shared" si="1"/>
        <v>94.972359696163451</v>
      </c>
      <c r="X37" s="58">
        <f t="shared" si="2"/>
        <v>82.46593252560055</v>
      </c>
      <c r="Y37" s="58">
        <f t="shared" si="3"/>
        <v>98.185273556478165</v>
      </c>
    </row>
    <row r="38" spans="1:25" x14ac:dyDescent="0.25">
      <c r="A38" t="s">
        <v>10</v>
      </c>
      <c r="B38" s="19">
        <f>B14</f>
        <v>64460000000</v>
      </c>
      <c r="C38" s="3"/>
      <c r="F38" t="s">
        <v>11</v>
      </c>
      <c r="G38" s="14">
        <f>B15</f>
        <v>14984000000</v>
      </c>
      <c r="L38" t="s">
        <v>53</v>
      </c>
      <c r="M38" s="23">
        <f>IRR(C33:J33)</f>
        <v>9.1390057339335806E-2</v>
      </c>
      <c r="N38" t="s">
        <v>57</v>
      </c>
      <c r="P38" s="55">
        <v>45047</v>
      </c>
      <c r="Q38" s="6">
        <v>37.6</v>
      </c>
      <c r="R38" s="6">
        <v>4282.37</v>
      </c>
      <c r="S38" s="6">
        <v>13240.77</v>
      </c>
      <c r="T38" s="6">
        <v>33093.339999999997</v>
      </c>
      <c r="U38" s="55">
        <v>45047</v>
      </c>
      <c r="V38" s="58">
        <f t="shared" si="0"/>
        <v>96.016343207354453</v>
      </c>
      <c r="W38" s="58">
        <f t="shared" si="1"/>
        <v>98.392359052831353</v>
      </c>
      <c r="X38" s="58">
        <f t="shared" si="2"/>
        <v>90.446557321953946</v>
      </c>
      <c r="Y38" s="58">
        <f t="shared" si="3"/>
        <v>96.107027273170814</v>
      </c>
    </row>
    <row r="39" spans="1:25" x14ac:dyDescent="0.25">
      <c r="A39" t="s">
        <v>44</v>
      </c>
      <c r="B39" s="17">
        <f>(((B36+B37)-B38)+(M22))/2</f>
        <v>139340735461.20056</v>
      </c>
      <c r="C39" t="s">
        <v>75</v>
      </c>
      <c r="F39" t="s">
        <v>30</v>
      </c>
      <c r="G39" s="13">
        <f>G36+G37-G38</f>
        <v>192201000000</v>
      </c>
      <c r="H39" t="s">
        <v>32</v>
      </c>
      <c r="P39" s="55">
        <v>45078</v>
      </c>
      <c r="Q39" s="6">
        <v>36.68</v>
      </c>
      <c r="R39" s="6">
        <v>4450.38</v>
      </c>
      <c r="S39" s="6">
        <v>13492.52</v>
      </c>
      <c r="T39" s="6">
        <v>33727.43</v>
      </c>
      <c r="U39" s="55">
        <v>45078</v>
      </c>
      <c r="V39" s="58">
        <f t="shared" si="0"/>
        <v>93.667007150153225</v>
      </c>
      <c r="W39" s="58">
        <f t="shared" si="1"/>
        <v>102.25258137002164</v>
      </c>
      <c r="X39" s="58">
        <f t="shared" si="2"/>
        <v>92.166239848408367</v>
      </c>
      <c r="Y39" s="58">
        <f t="shared" si="3"/>
        <v>97.9485006609777</v>
      </c>
    </row>
    <row r="40" spans="1:25" x14ac:dyDescent="0.25">
      <c r="A40" t="s">
        <v>72</v>
      </c>
      <c r="B40" s="20">
        <f>B39/B13</f>
        <v>24.407205370677975</v>
      </c>
      <c r="C40" t="s">
        <v>76</v>
      </c>
      <c r="F40" t="s">
        <v>48</v>
      </c>
      <c r="G40" s="16">
        <f>G39/B13</f>
        <v>33.666316342616923</v>
      </c>
      <c r="H40" t="s">
        <v>49</v>
      </c>
      <c r="L40" s="46" t="s">
        <v>96</v>
      </c>
      <c r="M40" s="47"/>
      <c r="P40" s="55">
        <v>45108</v>
      </c>
      <c r="Q40" s="6">
        <v>37.4</v>
      </c>
      <c r="R40" s="6">
        <v>4582.2299999999996</v>
      </c>
      <c r="S40" s="6">
        <v>14032.81</v>
      </c>
      <c r="T40" s="6">
        <v>35065.620000000003</v>
      </c>
      <c r="U40" s="55">
        <v>45108</v>
      </c>
      <c r="V40" s="58">
        <f t="shared" si="0"/>
        <v>95.50561797752809</v>
      </c>
      <c r="W40" s="58">
        <f t="shared" si="1"/>
        <v>105.28198624188367</v>
      </c>
      <c r="X40" s="58">
        <f t="shared" si="2"/>
        <v>95.856914216702535</v>
      </c>
      <c r="Y40" s="58">
        <f t="shared" si="3"/>
        <v>101.83476487083638</v>
      </c>
    </row>
    <row r="41" spans="1:25" x14ac:dyDescent="0.25">
      <c r="A41" t="s">
        <v>46</v>
      </c>
      <c r="B41" s="22">
        <f>(B40/B12)-1</f>
        <v>-2.3711785172880973E-2</v>
      </c>
      <c r="C41" t="s">
        <v>47</v>
      </c>
      <c r="F41" t="s">
        <v>46</v>
      </c>
      <c r="G41" s="21">
        <f>(G40/B12)-1</f>
        <v>0.34665265370467702</v>
      </c>
      <c r="H41" t="s">
        <v>50</v>
      </c>
      <c r="L41" s="48" t="s">
        <v>41</v>
      </c>
      <c r="M41" s="49">
        <f>B40</f>
        <v>24.407205370677975</v>
      </c>
      <c r="P41" s="55">
        <v>45139</v>
      </c>
      <c r="Q41" s="6">
        <v>35.78</v>
      </c>
      <c r="R41" s="6">
        <v>4515.7700000000004</v>
      </c>
      <c r="S41" s="6">
        <v>13590.65</v>
      </c>
      <c r="T41" s="6">
        <v>34837.71</v>
      </c>
      <c r="U41" s="55">
        <v>45139</v>
      </c>
      <c r="V41" s="58">
        <f t="shared" si="0"/>
        <v>91.368743615934633</v>
      </c>
      <c r="W41" s="58">
        <f t="shared" si="1"/>
        <v>103.75499156775436</v>
      </c>
      <c r="X41" s="58">
        <f t="shared" si="2"/>
        <v>92.836557410755816</v>
      </c>
      <c r="Y41" s="58">
        <f t="shared" si="3"/>
        <v>101.1728869042779</v>
      </c>
    </row>
    <row r="42" spans="1:25" x14ac:dyDescent="0.25">
      <c r="L42" s="48" t="s">
        <v>8</v>
      </c>
      <c r="M42" s="49">
        <f>B12</f>
        <v>25</v>
      </c>
      <c r="P42" s="55">
        <v>45170</v>
      </c>
      <c r="Q42" s="6">
        <v>33.17</v>
      </c>
      <c r="R42" s="6">
        <v>4320.0600000000004</v>
      </c>
      <c r="S42" s="6">
        <v>13211.81</v>
      </c>
      <c r="T42" s="6">
        <v>33507.5</v>
      </c>
      <c r="U42" s="55">
        <v>45170</v>
      </c>
      <c r="V42" s="58">
        <f t="shared" si="0"/>
        <v>84.703779366700729</v>
      </c>
      <c r="W42" s="58">
        <f t="shared" si="1"/>
        <v>99.258330001792146</v>
      </c>
      <c r="X42" s="58">
        <f t="shared" si="2"/>
        <v>90.248734060916718</v>
      </c>
      <c r="Y42" s="58">
        <f t="shared" si="3"/>
        <v>97.309797571226454</v>
      </c>
    </row>
    <row r="43" spans="1:25" x14ac:dyDescent="0.25">
      <c r="L43" s="48" t="s">
        <v>98</v>
      </c>
      <c r="M43" s="49">
        <f>(B40-B12)</f>
        <v>-0.5927946293220252</v>
      </c>
      <c r="P43" s="55">
        <v>45200</v>
      </c>
      <c r="Q43" s="6">
        <v>30.11</v>
      </c>
      <c r="R43" s="6">
        <v>4117.37</v>
      </c>
      <c r="S43" s="6">
        <v>12643.01</v>
      </c>
      <c r="T43" s="6">
        <v>34061.32</v>
      </c>
      <c r="U43" s="55">
        <v>45200</v>
      </c>
      <c r="V43" s="58">
        <f t="shared" si="0"/>
        <v>76.889683350357515</v>
      </c>
      <c r="W43" s="58">
        <f t="shared" si="1"/>
        <v>94.601294935597863</v>
      </c>
      <c r="X43" s="58">
        <f t="shared" si="2"/>
        <v>86.363310342754758</v>
      </c>
      <c r="Y43" s="58">
        <f t="shared" si="3"/>
        <v>98.918157254607692</v>
      </c>
    </row>
    <row r="44" spans="1:25" x14ac:dyDescent="0.25">
      <c r="L44" s="48" t="s">
        <v>99</v>
      </c>
      <c r="M44" s="53">
        <f>((B40-B12)/(B12))</f>
        <v>-2.3711785172881007E-2</v>
      </c>
      <c r="P44" s="55">
        <v>45231</v>
      </c>
      <c r="Q44" s="6">
        <v>28.91</v>
      </c>
      <c r="R44" s="6">
        <v>4559.34</v>
      </c>
      <c r="S44" s="6">
        <v>14250.85</v>
      </c>
      <c r="T44" s="6">
        <v>36245.5</v>
      </c>
      <c r="U44" s="55">
        <v>45231</v>
      </c>
      <c r="V44" s="58">
        <f t="shared" si="0"/>
        <v>73.825331971399393</v>
      </c>
      <c r="W44" s="58">
        <f t="shared" si="1"/>
        <v>104.75606225616565</v>
      </c>
      <c r="X44" s="58">
        <f t="shared" si="2"/>
        <v>97.346326641997962</v>
      </c>
      <c r="Y44" s="58">
        <f t="shared" si="3"/>
        <v>105.26127785922222</v>
      </c>
    </row>
    <row r="45" spans="1:25" x14ac:dyDescent="0.25">
      <c r="L45" s="51"/>
      <c r="M45" s="50"/>
      <c r="P45" s="55">
        <v>45261</v>
      </c>
      <c r="Q45" s="6">
        <v>28.79</v>
      </c>
      <c r="R45" s="6">
        <v>4769.83</v>
      </c>
      <c r="S45" s="6">
        <v>14992.97</v>
      </c>
      <c r="T45" s="6">
        <v>37689.54</v>
      </c>
      <c r="U45" s="55">
        <v>45261</v>
      </c>
      <c r="V45" s="58">
        <f t="shared" si="0"/>
        <v>73.518896833503575</v>
      </c>
      <c r="W45" s="58">
        <f t="shared" si="1"/>
        <v>109.59231126244732</v>
      </c>
      <c r="X45" s="58">
        <f t="shared" si="2"/>
        <v>102.41568432435091</v>
      </c>
      <c r="Y45" s="58">
        <f t="shared" si="3"/>
        <v>109.45494316056532</v>
      </c>
    </row>
    <row r="46" spans="1:25" x14ac:dyDescent="0.25">
      <c r="L46" s="51" t="s">
        <v>54</v>
      </c>
      <c r="M46" s="49"/>
      <c r="P46" s="55">
        <v>45292</v>
      </c>
      <c r="Q46" s="6">
        <v>26.93</v>
      </c>
      <c r="R46" s="6">
        <v>4958.6099999999997</v>
      </c>
      <c r="S46" s="6">
        <v>15628.95</v>
      </c>
      <c r="T46" s="6">
        <v>38109.43</v>
      </c>
      <c r="U46" s="55">
        <v>45292</v>
      </c>
      <c r="V46" s="58">
        <f t="shared" si="0"/>
        <v>68.769152196118483</v>
      </c>
      <c r="W46" s="58">
        <f t="shared" si="1"/>
        <v>113.92974813548574</v>
      </c>
      <c r="X46" s="58">
        <f t="shared" si="2"/>
        <v>106.76000882554051</v>
      </c>
      <c r="Y46" s="58">
        <f t="shared" si="3"/>
        <v>110.67435406565171</v>
      </c>
    </row>
    <row r="47" spans="1:25" x14ac:dyDescent="0.25">
      <c r="L47" s="48" t="s">
        <v>41</v>
      </c>
      <c r="M47" s="49">
        <f>B40</f>
        <v>24.407205370677975</v>
      </c>
      <c r="P47" s="55">
        <v>45323</v>
      </c>
      <c r="Q47" s="6">
        <v>26.59</v>
      </c>
      <c r="R47" s="6">
        <v>5137.08</v>
      </c>
      <c r="S47" s="6">
        <v>16274.94</v>
      </c>
      <c r="T47" s="6">
        <v>39087.379999999997</v>
      </c>
      <c r="U47" s="55">
        <v>45323</v>
      </c>
      <c r="V47" s="58">
        <f t="shared" ref="V47:V75" si="14">(Q47/$Q$15)*100</f>
        <v>67.900919305413694</v>
      </c>
      <c r="W47" s="58">
        <f t="shared" si="1"/>
        <v>118.03030094156246</v>
      </c>
      <c r="X47" s="58">
        <f t="shared" si="2"/>
        <v>111.17271077296571</v>
      </c>
      <c r="Y47" s="58">
        <f t="shared" si="3"/>
        <v>113.51443812249811</v>
      </c>
    </row>
    <row r="48" spans="1:25" x14ac:dyDescent="0.25">
      <c r="L48" s="48" t="s">
        <v>31</v>
      </c>
      <c r="M48" s="49">
        <f>G40</f>
        <v>33.666316342616923</v>
      </c>
      <c r="P48" s="55">
        <v>45352</v>
      </c>
      <c r="Q48" s="6">
        <v>27.75</v>
      </c>
      <c r="R48" s="6">
        <v>5234.18</v>
      </c>
      <c r="S48" s="6">
        <v>16428.82</v>
      </c>
      <c r="T48" s="6">
        <v>39807.370000000003</v>
      </c>
      <c r="U48" s="55">
        <v>45352</v>
      </c>
      <c r="V48" s="58">
        <f t="shared" si="14"/>
        <v>70.863125638406544</v>
      </c>
      <c r="W48" s="58">
        <f t="shared" si="1"/>
        <v>120.26128473418898</v>
      </c>
      <c r="X48" s="58">
        <f t="shared" si="2"/>
        <v>112.22385177463723</v>
      </c>
      <c r="Y48" s="58">
        <f t="shared" si="3"/>
        <v>115.60537540977134</v>
      </c>
    </row>
    <row r="49" spans="12:25" x14ac:dyDescent="0.25">
      <c r="L49" s="48" t="s">
        <v>98</v>
      </c>
      <c r="M49" s="49">
        <f>-(G40-B40)</f>
        <v>-9.2591109719389486</v>
      </c>
      <c r="P49" s="55">
        <v>45383</v>
      </c>
      <c r="Q49" s="6">
        <v>25.4</v>
      </c>
      <c r="R49" s="6">
        <v>4967.2299999999996</v>
      </c>
      <c r="S49" s="6">
        <v>15282.01</v>
      </c>
      <c r="T49" s="6">
        <v>37986.400000000001</v>
      </c>
      <c r="U49" s="55">
        <v>45383</v>
      </c>
      <c r="V49" s="58">
        <f t="shared" si="14"/>
        <v>64.862104187946883</v>
      </c>
      <c r="W49" s="58">
        <f t="shared" si="1"/>
        <v>114.12780251542847</v>
      </c>
      <c r="X49" s="58">
        <f t="shared" si="2"/>
        <v>104.39009162304561</v>
      </c>
      <c r="Y49" s="58">
        <f t="shared" si="3"/>
        <v>110.31706019427403</v>
      </c>
    </row>
    <row r="50" spans="12:25" x14ac:dyDescent="0.25">
      <c r="L50" s="52" t="s">
        <v>99</v>
      </c>
      <c r="M50" s="54">
        <f>((B40-G40)/(G40))</f>
        <v>-0.27502596000436758</v>
      </c>
      <c r="P50" s="55">
        <v>45413</v>
      </c>
      <c r="Q50" s="6">
        <v>28.66</v>
      </c>
      <c r="R50" s="6">
        <v>5277.51</v>
      </c>
      <c r="S50" s="6">
        <v>16735.02</v>
      </c>
      <c r="T50" s="6">
        <v>38686.32</v>
      </c>
      <c r="U50" s="55">
        <v>45413</v>
      </c>
      <c r="V50" s="58">
        <f t="shared" si="14"/>
        <v>73.186925434116461</v>
      </c>
      <c r="W50" s="58">
        <f t="shared" si="1"/>
        <v>121.25684114752065</v>
      </c>
      <c r="X50" s="58">
        <f t="shared" si="2"/>
        <v>114.31547755259292</v>
      </c>
      <c r="Y50" s="58">
        <f t="shared" si="3"/>
        <v>112.34971179514106</v>
      </c>
    </row>
    <row r="51" spans="12:25" x14ac:dyDescent="0.25">
      <c r="P51" s="55">
        <v>45444</v>
      </c>
      <c r="Q51" s="6">
        <v>27.98</v>
      </c>
      <c r="R51" s="6">
        <v>5464.62</v>
      </c>
      <c r="S51" s="6">
        <v>17689.36</v>
      </c>
      <c r="T51" s="6">
        <v>39150.33</v>
      </c>
      <c r="U51" s="55">
        <v>45444</v>
      </c>
      <c r="V51" s="58">
        <f t="shared" si="14"/>
        <v>71.450459652706854</v>
      </c>
      <c r="W51" s="58">
        <f t="shared" si="1"/>
        <v>125.55590785646342</v>
      </c>
      <c r="X51" s="58">
        <f t="shared" si="2"/>
        <v>120.83449174244996</v>
      </c>
      <c r="Y51" s="58">
        <f t="shared" si="3"/>
        <v>113.69725247024441</v>
      </c>
    </row>
    <row r="52" spans="12:25" x14ac:dyDescent="0.25">
      <c r="P52" s="55">
        <v>45474</v>
      </c>
      <c r="Q52" s="6">
        <v>30.77</v>
      </c>
      <c r="R52" s="6">
        <v>5459.1</v>
      </c>
      <c r="S52" s="6">
        <v>17357.88</v>
      </c>
      <c r="T52" s="6">
        <v>40287.53</v>
      </c>
      <c r="U52" s="55">
        <v>45474</v>
      </c>
      <c r="V52" s="58">
        <f t="shared" si="14"/>
        <v>78.575076608784471</v>
      </c>
      <c r="W52" s="58">
        <f t="shared" si="1"/>
        <v>125.42907952963233</v>
      </c>
      <c r="X52" s="58">
        <f t="shared" si="2"/>
        <v>118.5701804659093</v>
      </c>
      <c r="Y52" s="58">
        <f t="shared" si="3"/>
        <v>116.99981762127025</v>
      </c>
    </row>
    <row r="53" spans="12:25" x14ac:dyDescent="0.25">
      <c r="P53" s="55">
        <v>45505</v>
      </c>
      <c r="Q53" s="6">
        <v>29.01</v>
      </c>
      <c r="R53" s="6">
        <v>5648.4</v>
      </c>
      <c r="S53" s="6">
        <v>17877.79</v>
      </c>
      <c r="T53" s="6">
        <v>41175.08</v>
      </c>
      <c r="U53" s="55">
        <v>45505</v>
      </c>
      <c r="V53" s="58">
        <f t="shared" si="14"/>
        <v>74.080694586312575</v>
      </c>
      <c r="W53" s="58">
        <f t="shared" si="1"/>
        <v>129.77846399867656</v>
      </c>
      <c r="X53" s="58">
        <f t="shared" si="2"/>
        <v>122.12164081279677</v>
      </c>
      <c r="Y53" s="58">
        <f t="shared" si="3"/>
        <v>119.57736923909737</v>
      </c>
    </row>
    <row r="54" spans="12:25" x14ac:dyDescent="0.25">
      <c r="P54" s="55">
        <v>45536</v>
      </c>
      <c r="Q54" s="6">
        <v>28.58</v>
      </c>
      <c r="R54" s="6">
        <v>5751.07</v>
      </c>
      <c r="S54" s="6">
        <v>18137.849999999999</v>
      </c>
      <c r="T54" s="6">
        <v>42313</v>
      </c>
      <c r="U54" s="55">
        <v>45536</v>
      </c>
      <c r="V54" s="58">
        <f t="shared" si="14"/>
        <v>72.982635342185915</v>
      </c>
      <c r="W54" s="58">
        <f t="shared" si="1"/>
        <v>132.13742492544242</v>
      </c>
      <c r="X54" s="58">
        <f t="shared" si="2"/>
        <v>123.89808823218003</v>
      </c>
      <c r="Y54" s="58">
        <f t="shared" si="3"/>
        <v>122.88202535645169</v>
      </c>
    </row>
    <row r="55" spans="12:25" x14ac:dyDescent="0.25">
      <c r="P55" s="55">
        <v>45566</v>
      </c>
      <c r="Q55" s="6">
        <v>28.09</v>
      </c>
      <c r="R55" s="6">
        <v>5728.8</v>
      </c>
      <c r="S55" s="6">
        <v>18518.61</v>
      </c>
      <c r="T55" s="6">
        <v>42052.19</v>
      </c>
      <c r="U55" s="55">
        <v>45566</v>
      </c>
      <c r="V55" s="58">
        <f t="shared" si="14"/>
        <v>71.731358529111347</v>
      </c>
      <c r="W55" s="58">
        <f t="shared" si="1"/>
        <v>131.62574615034671</v>
      </c>
      <c r="X55" s="58">
        <f t="shared" si="2"/>
        <v>126.49902693634203</v>
      </c>
      <c r="Y55" s="58">
        <f t="shared" si="3"/>
        <v>122.12460184516164</v>
      </c>
    </row>
    <row r="56" spans="12:25" x14ac:dyDescent="0.25">
      <c r="P56" s="55">
        <v>45597</v>
      </c>
      <c r="Q56" s="6">
        <v>25.65</v>
      </c>
      <c r="R56" s="6">
        <v>5969.34</v>
      </c>
      <c r="S56" s="6">
        <v>19003.650000000001</v>
      </c>
      <c r="T56" s="6">
        <v>44296.51</v>
      </c>
      <c r="U56" s="55">
        <v>45597</v>
      </c>
      <c r="V56" s="58">
        <f t="shared" si="14"/>
        <v>65.50051072522983</v>
      </c>
      <c r="W56" s="58">
        <f t="shared" si="1"/>
        <v>137.15242834888818</v>
      </c>
      <c r="X56" s="58">
        <f t="shared" si="2"/>
        <v>129.81229332216708</v>
      </c>
      <c r="Y56" s="58">
        <f t="shared" si="3"/>
        <v>128.64237622060162</v>
      </c>
    </row>
    <row r="57" spans="12:25" x14ac:dyDescent="0.25">
      <c r="P57" s="55">
        <v>45627</v>
      </c>
      <c r="Q57" s="6">
        <v>26.62</v>
      </c>
      <c r="R57" s="6">
        <v>5942.47</v>
      </c>
      <c r="S57" s="6">
        <v>19722.03</v>
      </c>
      <c r="T57" s="6">
        <v>42840.26</v>
      </c>
      <c r="U57" s="55">
        <v>45627</v>
      </c>
      <c r="V57" s="58">
        <f t="shared" si="14"/>
        <v>67.977528089887656</v>
      </c>
      <c r="W57" s="58">
        <f t="shared" si="1"/>
        <v>136.53505930143325</v>
      </c>
      <c r="X57" s="58">
        <f t="shared" si="2"/>
        <v>134.71948511304822</v>
      </c>
      <c r="Y57" s="58">
        <f t="shared" si="3"/>
        <v>124.41325161527151</v>
      </c>
    </row>
    <row r="58" spans="12:25" x14ac:dyDescent="0.25">
      <c r="P58" s="55">
        <v>45658</v>
      </c>
      <c r="Q58" s="6">
        <v>26.52</v>
      </c>
      <c r="R58" s="6">
        <v>6040.53</v>
      </c>
      <c r="S58" s="6">
        <v>19627.439999999999</v>
      </c>
      <c r="T58" s="6">
        <v>44424.25</v>
      </c>
      <c r="U58" s="55">
        <v>45658</v>
      </c>
      <c r="V58" s="58">
        <f t="shared" si="14"/>
        <v>67.722165474974474</v>
      </c>
      <c r="W58" s="58">
        <f t="shared" si="1"/>
        <v>138.78810019437819</v>
      </c>
      <c r="X58" s="58">
        <f t="shared" si="2"/>
        <v>134.07334898523359</v>
      </c>
      <c r="Y58" s="58">
        <f t="shared" si="3"/>
        <v>129.01334849671139</v>
      </c>
    </row>
    <row r="59" spans="12:25" x14ac:dyDescent="0.25">
      <c r="P59" s="55">
        <v>45689</v>
      </c>
      <c r="Q59" s="6">
        <v>26.43</v>
      </c>
      <c r="R59" s="6">
        <v>5954.5</v>
      </c>
      <c r="S59" s="6">
        <v>19524.009999999998</v>
      </c>
      <c r="T59" s="6">
        <v>43840.91</v>
      </c>
      <c r="U59" s="55">
        <v>45689</v>
      </c>
      <c r="V59" s="58">
        <f t="shared" si="14"/>
        <v>67.492339121552618</v>
      </c>
      <c r="W59" s="58">
        <f t="shared" si="1"/>
        <v>136.81146233979882</v>
      </c>
      <c r="X59" s="58">
        <f t="shared" si="2"/>
        <v>133.36682758022397</v>
      </c>
      <c r="Y59" s="58">
        <f t="shared" si="3"/>
        <v>127.31925919386281</v>
      </c>
    </row>
    <row r="60" spans="12:25" x14ac:dyDescent="0.25">
      <c r="P60" s="55">
        <v>45717</v>
      </c>
      <c r="Q60" s="6">
        <v>25.21</v>
      </c>
      <c r="R60" s="6">
        <v>5074.08</v>
      </c>
      <c r="S60" s="6">
        <v>15587.79</v>
      </c>
      <c r="T60" s="6">
        <v>38314.86</v>
      </c>
      <c r="U60" s="55">
        <v>45717</v>
      </c>
      <c r="V60" s="58">
        <f t="shared" si="14"/>
        <v>64.376915219611845</v>
      </c>
      <c r="W60" s="58">
        <f t="shared" si="1"/>
        <v>116.58280373316423</v>
      </c>
      <c r="X60" s="58">
        <f t="shared" si="2"/>
        <v>106.47884841724316</v>
      </c>
      <c r="Y60" s="58">
        <f t="shared" si="3"/>
        <v>111.27094741684344</v>
      </c>
    </row>
    <row r="61" spans="12:25" x14ac:dyDescent="0.25">
      <c r="P61" s="55">
        <v>45748</v>
      </c>
      <c r="Q61" s="6">
        <v>22.92</v>
      </c>
      <c r="R61" s="6">
        <v>5282.7</v>
      </c>
      <c r="S61" s="6">
        <v>16286.45</v>
      </c>
      <c r="T61" s="6">
        <v>39142.230000000003</v>
      </c>
      <c r="U61" s="55">
        <v>45748</v>
      </c>
      <c r="V61" s="58">
        <f t="shared" si="14"/>
        <v>58.529111338100115</v>
      </c>
      <c r="W61" s="58">
        <f t="shared" si="1"/>
        <v>121.37608734611725</v>
      </c>
      <c r="X61" s="58">
        <f t="shared" si="2"/>
        <v>111.25133458976606</v>
      </c>
      <c r="Y61" s="58">
        <f t="shared" si="3"/>
        <v>113.6737290990491</v>
      </c>
    </row>
    <row r="62" spans="12:25" x14ac:dyDescent="0.25">
      <c r="P62" s="55">
        <v>45778</v>
      </c>
      <c r="Q62" s="6">
        <v>23.49</v>
      </c>
      <c r="R62" s="6">
        <v>5802.82</v>
      </c>
      <c r="S62" s="6">
        <v>19113.77</v>
      </c>
      <c r="T62" s="6">
        <v>41603.07</v>
      </c>
      <c r="U62" s="55">
        <v>45778</v>
      </c>
      <c r="V62" s="58">
        <f t="shared" si="14"/>
        <v>59.984678243105215</v>
      </c>
      <c r="W62" s="58">
        <f t="shared" si="1"/>
        <v>133.32644048948382</v>
      </c>
      <c r="X62" s="58">
        <f t="shared" si="2"/>
        <v>130.56451353989561</v>
      </c>
      <c r="Y62" s="58">
        <f t="shared" si="3"/>
        <v>120.82030351537907</v>
      </c>
    </row>
    <row r="63" spans="12:25" x14ac:dyDescent="0.25">
      <c r="P63" s="55">
        <v>45809</v>
      </c>
      <c r="Q63" s="6">
        <v>25.38</v>
      </c>
      <c r="R63" s="6">
        <v>6279.35</v>
      </c>
      <c r="S63" s="6">
        <v>19447.41</v>
      </c>
      <c r="T63" s="6">
        <v>42206.82</v>
      </c>
      <c r="U63" s="55">
        <v>45809</v>
      </c>
      <c r="V63" s="58">
        <f t="shared" si="14"/>
        <v>64.811031664964247</v>
      </c>
      <c r="W63" s="58">
        <f t="shared" si="1"/>
        <v>144.27526342151577</v>
      </c>
      <c r="X63" s="58">
        <f t="shared" si="2"/>
        <v>132.84357959004956</v>
      </c>
      <c r="Y63" s="58">
        <f t="shared" si="3"/>
        <v>122.57366590540005</v>
      </c>
    </row>
    <row r="64" spans="12:25" x14ac:dyDescent="0.25">
      <c r="P64" s="55">
        <v>45839</v>
      </c>
      <c r="Q64" s="6">
        <v>24.79</v>
      </c>
      <c r="R64" s="6">
        <v>6238.01</v>
      </c>
      <c r="S64" s="6">
        <v>20650.13</v>
      </c>
      <c r="T64" s="6">
        <v>44901.919999999998</v>
      </c>
      <c r="U64" s="55">
        <v>45839</v>
      </c>
      <c r="V64" s="58">
        <f t="shared" si="14"/>
        <v>63.304392236976511</v>
      </c>
      <c r="W64" s="58">
        <f t="shared" si="1"/>
        <v>143.32542953905255</v>
      </c>
      <c r="X64" s="58">
        <f t="shared" si="2"/>
        <v>141.05925612715885</v>
      </c>
      <c r="Y64" s="58">
        <f t="shared" si="3"/>
        <v>130.40055944965766</v>
      </c>
    </row>
    <row r="65" spans="16:25" x14ac:dyDescent="0.25">
      <c r="P65" s="55">
        <v>45870</v>
      </c>
      <c r="Q65" s="6">
        <v>24.76</v>
      </c>
      <c r="R65" s="6">
        <v>6460.26</v>
      </c>
      <c r="S65" s="6">
        <v>21496.54</v>
      </c>
      <c r="T65" s="6">
        <v>45544.88</v>
      </c>
      <c r="U65" s="55">
        <v>45870</v>
      </c>
      <c r="V65" s="58">
        <f t="shared" si="14"/>
        <v>63.227783452502564</v>
      </c>
      <c r="W65" s="58">
        <f t="shared" si="1"/>
        <v>148.43187802423523</v>
      </c>
      <c r="X65" s="58">
        <f t="shared" si="2"/>
        <v>146.84100980031192</v>
      </c>
      <c r="Y65" s="58">
        <f t="shared" si="3"/>
        <v>132.26779238098337</v>
      </c>
    </row>
    <row r="66" spans="16:25" x14ac:dyDescent="0.25">
      <c r="P66" s="55">
        <v>45901</v>
      </c>
      <c r="Q66" s="6">
        <v>27.37</v>
      </c>
      <c r="R66" s="6">
        <v>6715.79</v>
      </c>
      <c r="S66" s="6">
        <v>22780.51</v>
      </c>
      <c r="T66" s="6">
        <v>46758.28</v>
      </c>
      <c r="U66" s="55">
        <v>45901</v>
      </c>
      <c r="V66" s="58">
        <f t="shared" si="14"/>
        <v>69.892747701736482</v>
      </c>
      <c r="W66" s="58">
        <f t="shared" si="1"/>
        <v>154.30297265379082</v>
      </c>
      <c r="X66" s="58">
        <f t="shared" si="2"/>
        <v>155.61169807634639</v>
      </c>
      <c r="Y66" s="58">
        <f t="shared" si="3"/>
        <v>135.7916514684392</v>
      </c>
    </row>
    <row r="67" spans="16:25" x14ac:dyDescent="0.25">
      <c r="P67" s="55">
        <v>45931</v>
      </c>
      <c r="Q67" s="6">
        <v>24.65</v>
      </c>
      <c r="R67" s="6">
        <v>6840.2</v>
      </c>
      <c r="S67" s="6">
        <v>23204.87</v>
      </c>
      <c r="T67" s="6">
        <v>47207.12</v>
      </c>
      <c r="U67" s="55">
        <v>45931</v>
      </c>
      <c r="V67" s="58">
        <f t="shared" si="14"/>
        <v>62.946884576098064</v>
      </c>
      <c r="W67" s="58">
        <f t="shared" si="1"/>
        <v>157.16143499818486</v>
      </c>
      <c r="X67" s="58">
        <f t="shared" si="2"/>
        <v>158.5104646182578</v>
      </c>
      <c r="Y67" s="58">
        <f t="shared" si="3"/>
        <v>137.09513664464959</v>
      </c>
    </row>
    <row r="68" spans="16:25" x14ac:dyDescent="0.25">
      <c r="P68" s="55">
        <v>45962</v>
      </c>
      <c r="Q68" s="6">
        <v>25.74</v>
      </c>
      <c r="R68" s="6">
        <v>6849.09</v>
      </c>
      <c r="S68" s="6">
        <v>23365.69</v>
      </c>
      <c r="T68" s="6">
        <v>46245.41</v>
      </c>
      <c r="U68" s="55">
        <v>45962</v>
      </c>
      <c r="V68" s="58">
        <f t="shared" si="14"/>
        <v>65.730337078651687</v>
      </c>
      <c r="W68" s="58">
        <f t="shared" si="1"/>
        <v>157.3656929375922</v>
      </c>
      <c r="X68" s="58">
        <f t="shared" si="2"/>
        <v>159.60901216107567</v>
      </c>
      <c r="Y68" s="58">
        <f t="shared" si="3"/>
        <v>134.30221549498984</v>
      </c>
    </row>
    <row r="69" spans="16:25" x14ac:dyDescent="0.25">
      <c r="P69" s="55">
        <v>45992</v>
      </c>
      <c r="Q69" s="6">
        <v>25.09</v>
      </c>
      <c r="R69" s="6">
        <v>6929.94</v>
      </c>
      <c r="S69" s="6">
        <v>23593.1</v>
      </c>
      <c r="T69" s="6">
        <v>48134.89</v>
      </c>
      <c r="U69" s="55">
        <v>45992</v>
      </c>
      <c r="V69" s="58">
        <f t="shared" si="14"/>
        <v>64.070480081716042</v>
      </c>
      <c r="W69" s="58">
        <f t="shared" si="1"/>
        <v>159.22331435503659</v>
      </c>
      <c r="X69" s="58">
        <f t="shared" si="2"/>
        <v>161.16243024783236</v>
      </c>
      <c r="Y69" s="58">
        <f t="shared" si="3"/>
        <v>139.78949196488105</v>
      </c>
    </row>
    <row r="70" spans="16:25" x14ac:dyDescent="0.25">
      <c r="P70" s="55">
        <v>46023</v>
      </c>
      <c r="Q70" s="6">
        <v>25.65</v>
      </c>
      <c r="R70" s="6">
        <v>6939.03</v>
      </c>
      <c r="S70" s="6">
        <v>23461.82</v>
      </c>
      <c r="T70" s="6">
        <v>49098.71</v>
      </c>
      <c r="U70" s="55">
        <v>46023</v>
      </c>
      <c r="V70" s="58">
        <f t="shared" si="14"/>
        <v>65.50051072522983</v>
      </c>
      <c r="W70" s="58">
        <f t="shared" si="1"/>
        <v>159.4321675236769</v>
      </c>
      <c r="X70" s="58">
        <f t="shared" si="2"/>
        <v>160.26566789600344</v>
      </c>
      <c r="Y70" s="58">
        <f t="shared" si="3"/>
        <v>142.58854080753122</v>
      </c>
    </row>
    <row r="71" spans="16:25" x14ac:dyDescent="0.25">
      <c r="P71" s="55">
        <v>46054</v>
      </c>
      <c r="Q71" s="6">
        <v>27.65</v>
      </c>
      <c r="R71" s="6">
        <v>6909.51</v>
      </c>
      <c r="S71" s="6">
        <v>22668.21</v>
      </c>
      <c r="T71" s="6">
        <v>48977.919999999998</v>
      </c>
      <c r="U71" s="55">
        <v>46054</v>
      </c>
      <c r="V71" s="58">
        <f t="shared" si="14"/>
        <v>70.607763023493362</v>
      </c>
      <c r="W71" s="58">
        <f t="shared" si="1"/>
        <v>158.75391168888459</v>
      </c>
      <c r="X71" s="58">
        <f t="shared" si="2"/>
        <v>154.84458646673036</v>
      </c>
      <c r="Y71" s="58">
        <f t="shared" si="3"/>
        <v>142.23775216473098</v>
      </c>
    </row>
    <row r="72" spans="16:25" x14ac:dyDescent="0.25">
      <c r="P72" s="55">
        <v>46082</v>
      </c>
      <c r="Q72" s="6">
        <v>28.32</v>
      </c>
      <c r="R72" s="6">
        <v>6368.85</v>
      </c>
      <c r="S72" s="6">
        <v>20948.36</v>
      </c>
      <c r="T72" s="6">
        <v>45577.47</v>
      </c>
      <c r="U72" s="55">
        <v>46082</v>
      </c>
      <c r="V72" s="58">
        <f t="shared" si="14"/>
        <v>72.318692543411657</v>
      </c>
      <c r="W72" s="58">
        <f t="shared" si="1"/>
        <v>146.3316285032879</v>
      </c>
      <c r="X72" s="58">
        <f t="shared" si="2"/>
        <v>143.09643952284702</v>
      </c>
      <c r="Y72" s="58">
        <f t="shared" si="3"/>
        <v>132.36243764854575</v>
      </c>
    </row>
    <row r="73" spans="16:25" x14ac:dyDescent="0.25">
      <c r="P73" s="55">
        <v>46113</v>
      </c>
      <c r="Q73" s="6">
        <v>26.33</v>
      </c>
      <c r="R73" s="6">
        <v>7123.06</v>
      </c>
      <c r="S73" s="6">
        <v>24468.48</v>
      </c>
      <c r="T73" s="6">
        <v>49447.43</v>
      </c>
      <c r="U73" s="55">
        <v>46113</v>
      </c>
      <c r="V73" s="58">
        <f t="shared" si="14"/>
        <v>67.236976506639436</v>
      </c>
      <c r="W73" s="58">
        <f t="shared" si="1"/>
        <v>163.66046770243133</v>
      </c>
      <c r="X73" s="58">
        <f t="shared" si="2"/>
        <v>167.14207549115977</v>
      </c>
      <c r="Y73" s="58">
        <f t="shared" si="3"/>
        <v>143.60126549928793</v>
      </c>
    </row>
    <row r="74" spans="16:25" x14ac:dyDescent="0.25">
      <c r="P74" s="55">
        <v>46143</v>
      </c>
      <c r="Q74" s="6">
        <v>25.9</v>
      </c>
      <c r="R74" s="6">
        <v>7473.47</v>
      </c>
      <c r="S74" s="6">
        <v>26343.97</v>
      </c>
      <c r="T74" s="6">
        <v>50579.7</v>
      </c>
      <c r="U74" s="55">
        <v>46143</v>
      </c>
      <c r="V74" s="58">
        <f t="shared" si="14"/>
        <v>66.138917262512777</v>
      </c>
      <c r="W74" s="58">
        <f t="shared" si="1"/>
        <v>171.71153908012701</v>
      </c>
      <c r="X74" s="58">
        <f t="shared" si="2"/>
        <v>179.95338584484401</v>
      </c>
      <c r="Y74" s="58">
        <f t="shared" si="3"/>
        <v>146.88951333920352</v>
      </c>
    </row>
    <row r="75" spans="16:25" x14ac:dyDescent="0.25">
      <c r="P75" s="55">
        <v>46174</v>
      </c>
      <c r="Q75" s="59">
        <v>25.09</v>
      </c>
      <c r="R75" s="6">
        <v>7425.29</v>
      </c>
      <c r="S75" s="6">
        <v>25883.49</v>
      </c>
      <c r="T75" s="6">
        <v>51200.15</v>
      </c>
      <c r="U75" s="55">
        <v>46174</v>
      </c>
      <c r="V75" s="58">
        <f t="shared" si="14"/>
        <v>64.070480081716042</v>
      </c>
      <c r="W75" s="58">
        <f t="shared" si="1"/>
        <v>170.60454835789483</v>
      </c>
      <c r="X75" s="58">
        <f t="shared" si="2"/>
        <v>176.80788669973288</v>
      </c>
      <c r="Y75" s="58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8C2F-279C-4EB5-A35A-78A5A56CEA7A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0.17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6.1499999999999999E-2</v>
      </c>
      <c r="C7" s="41"/>
      <c r="P7">
        <v>2026</v>
      </c>
      <c r="Q7" s="26">
        <f>D28</f>
        <v>9462939700</v>
      </c>
      <c r="R7" s="26"/>
      <c r="S7" t="s">
        <v>41</v>
      </c>
      <c r="T7" s="16">
        <f>B40</f>
        <v>13.413749464636881</v>
      </c>
    </row>
    <row r="8" spans="1:26" x14ac:dyDescent="0.25">
      <c r="A8" s="40" t="s">
        <v>4</v>
      </c>
      <c r="B8" s="32">
        <v>5.0000000000000001E-3</v>
      </c>
      <c r="C8" s="41"/>
      <c r="P8">
        <v>2027</v>
      </c>
      <c r="Q8" s="26">
        <f>E28</f>
        <v>9652198494</v>
      </c>
      <c r="R8" s="26"/>
      <c r="S8" t="s">
        <v>73</v>
      </c>
      <c r="T8" s="16">
        <v>11.59</v>
      </c>
    </row>
    <row r="9" spans="1:26" x14ac:dyDescent="0.25">
      <c r="A9" s="40" t="s">
        <v>5</v>
      </c>
      <c r="B9" s="33" t="s">
        <v>89</v>
      </c>
      <c r="C9" s="41"/>
      <c r="P9">
        <v>2028</v>
      </c>
      <c r="Q9" s="26">
        <f>F28</f>
        <v>9748720478.9399986</v>
      </c>
      <c r="R9" s="26"/>
      <c r="S9" t="s">
        <v>8</v>
      </c>
      <c r="T9" s="16">
        <f>B12</f>
        <v>25</v>
      </c>
    </row>
    <row r="10" spans="1:26" x14ac:dyDescent="0.25">
      <c r="A10" s="40" t="s">
        <v>6</v>
      </c>
      <c r="B10" s="34">
        <v>46195</v>
      </c>
      <c r="C10" s="41"/>
      <c r="P10">
        <v>2029</v>
      </c>
      <c r="Q10" s="26">
        <f>G28</f>
        <v>9943694888.5188007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10142568786.289175</v>
      </c>
      <c r="R11" s="26"/>
    </row>
    <row r="12" spans="1:26" x14ac:dyDescent="0.25">
      <c r="A12" s="40" t="s">
        <v>8</v>
      </c>
      <c r="B12" s="35">
        <v>25</v>
      </c>
      <c r="C12" s="41" t="s">
        <v>78</v>
      </c>
      <c r="P12">
        <v>2031</v>
      </c>
      <c r="Q12" s="26">
        <f>I28</f>
        <v>10243994474.152067</v>
      </c>
      <c r="R12" s="26"/>
    </row>
    <row r="13" spans="1:26" x14ac:dyDescent="0.25">
      <c r="A13" s="40" t="s">
        <v>9</v>
      </c>
      <c r="B13" s="36">
        <v>5709000000</v>
      </c>
      <c r="C13" s="41"/>
    </row>
    <row r="14" spans="1:26" x14ac:dyDescent="0.25">
      <c r="A14" s="40" t="s">
        <v>10</v>
      </c>
      <c r="B14" s="35">
        <v>64460000000</v>
      </c>
      <c r="C14" s="41"/>
      <c r="P14" s="6" t="s">
        <v>16</v>
      </c>
      <c r="Q14" s="6" t="s">
        <v>84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14984000000</v>
      </c>
      <c r="C15" s="41"/>
      <c r="P15" s="55">
        <v>44348</v>
      </c>
      <c r="Q15" s="56">
        <v>39.159999999999997</v>
      </c>
      <c r="R15" s="6">
        <v>4352.34</v>
      </c>
      <c r="S15" s="6">
        <v>14639.33</v>
      </c>
      <c r="T15" s="6">
        <v>34433.839999999997</v>
      </c>
      <c r="U15" s="55">
        <v>44348</v>
      </c>
      <c r="V15" s="57">
        <f t="shared" ref="V15:V75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94</v>
      </c>
      <c r="C16" s="41"/>
      <c r="P16" s="55">
        <v>44378</v>
      </c>
      <c r="Q16" s="6">
        <v>42.81</v>
      </c>
      <c r="R16" s="6">
        <v>4395.26</v>
      </c>
      <c r="S16" s="6">
        <v>14672.68</v>
      </c>
      <c r="T16" s="6">
        <v>35061.550000000003</v>
      </c>
      <c r="U16" s="55">
        <v>44378</v>
      </c>
      <c r="V16" s="58">
        <f t="shared" si="0"/>
        <v>109.32073544433096</v>
      </c>
      <c r="W16" s="58">
        <f>(R16/$R$15)*100</f>
        <v>100.98613619340402</v>
      </c>
      <c r="X16" s="58">
        <f>(S16/$S$15)*100</f>
        <v>100.22781097222347</v>
      </c>
      <c r="Y16" s="58">
        <f>(T16/$T$15)*100</f>
        <v>101.82294510284071</v>
      </c>
      <c r="Z16" t="s">
        <v>74</v>
      </c>
    </row>
    <row r="17" spans="1:25" x14ac:dyDescent="0.25">
      <c r="A17" s="42" t="s">
        <v>87</v>
      </c>
      <c r="B17" s="43"/>
      <c r="C17" s="44"/>
      <c r="P17" s="55">
        <v>44409</v>
      </c>
      <c r="Q17" s="6">
        <v>46.6</v>
      </c>
      <c r="R17" s="6">
        <v>4509.37</v>
      </c>
      <c r="S17" s="6">
        <v>14714.66</v>
      </c>
      <c r="T17" s="6">
        <v>35120.080000000002</v>
      </c>
      <c r="U17" s="55">
        <v>44409</v>
      </c>
      <c r="V17" s="58">
        <f t="shared" si="0"/>
        <v>118.99897854954035</v>
      </c>
      <c r="W17" s="58">
        <f>(R17/$R$15)*100</f>
        <v>103.60794423229802</v>
      </c>
      <c r="X17" s="58">
        <f>(S17/$S$15)*100</f>
        <v>100.5145727297629</v>
      </c>
      <c r="Y17" s="58">
        <f>(T17/$T$15)*100</f>
        <v>101.9929232406261</v>
      </c>
    </row>
    <row r="18" spans="1:25" x14ac:dyDescent="0.25">
      <c r="P18" s="55">
        <v>44440</v>
      </c>
      <c r="Q18" s="6">
        <v>42.93</v>
      </c>
      <c r="R18" s="6">
        <v>4455.4799999999996</v>
      </c>
      <c r="S18" s="6">
        <v>15047.7</v>
      </c>
      <c r="T18" s="6">
        <v>34326.46</v>
      </c>
      <c r="U18" s="55">
        <v>44440</v>
      </c>
      <c r="V18" s="58">
        <f t="shared" si="0"/>
        <v>109.62717058222677</v>
      </c>
      <c r="W18" s="58">
        <f t="shared" ref="W18:W75" si="1">(R18/$R$15)*100</f>
        <v>102.36975971546339</v>
      </c>
      <c r="X18" s="58">
        <f t="shared" ref="X18:X75" si="2">(S18/$S$15)*100</f>
        <v>102.78954023169094</v>
      </c>
      <c r="Y18" s="58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5">
        <v>44470</v>
      </c>
      <c r="Q19" s="6">
        <v>43.74</v>
      </c>
      <c r="R19" s="6">
        <v>4544.8999999999996</v>
      </c>
      <c r="S19" s="6">
        <v>15498.39</v>
      </c>
      <c r="T19" s="6">
        <v>35677.019999999997</v>
      </c>
      <c r="U19" s="55">
        <v>44470</v>
      </c>
      <c r="V19" s="58">
        <f t="shared" si="0"/>
        <v>111.69560776302352</v>
      </c>
      <c r="W19" s="58">
        <f t="shared" si="1"/>
        <v>104.42428670554229</v>
      </c>
      <c r="X19" s="58">
        <f t="shared" si="2"/>
        <v>105.86816473158265</v>
      </c>
      <c r="Y19" s="58">
        <f t="shared" si="3"/>
        <v>103.61034377809737</v>
      </c>
    </row>
    <row r="20" spans="1:25" x14ac:dyDescent="0.25">
      <c r="A20" t="s">
        <v>16</v>
      </c>
      <c r="C20" s="7">
        <v>46195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182216184894.20932</v>
      </c>
      <c r="P20" s="55">
        <v>44501</v>
      </c>
      <c r="Q20" s="6">
        <v>54.27</v>
      </c>
      <c r="R20" s="6">
        <v>4594.62</v>
      </c>
      <c r="S20" s="6">
        <v>15085.47</v>
      </c>
      <c r="T20" s="6">
        <v>34889.339999999997</v>
      </c>
      <c r="U20" s="55">
        <v>44501</v>
      </c>
      <c r="V20" s="58">
        <f t="shared" si="0"/>
        <v>138.58529111338103</v>
      </c>
      <c r="W20" s="58">
        <f t="shared" si="1"/>
        <v>105.56666069286867</v>
      </c>
      <c r="X20" s="58">
        <f t="shared" si="2"/>
        <v>103.04754384251191</v>
      </c>
      <c r="Y20" s="58">
        <f t="shared" si="3"/>
        <v>101.32282661474873</v>
      </c>
    </row>
    <row r="21" spans="1:25" x14ac:dyDescent="0.25">
      <c r="A21" t="s">
        <v>18</v>
      </c>
      <c r="D21" s="5">
        <v>62627000000</v>
      </c>
      <c r="E21" s="5">
        <f>D21*1.02</f>
        <v>63879540000</v>
      </c>
      <c r="F21" s="5">
        <f>E21*1.01</f>
        <v>64518335400</v>
      </c>
      <c r="G21" s="5">
        <f>F21*1.02</f>
        <v>65808702108</v>
      </c>
      <c r="H21" s="5">
        <f>G21*1.02</f>
        <v>67124876150.160004</v>
      </c>
      <c r="I21" s="5">
        <f>H21*1.01</f>
        <v>67796124911.661606</v>
      </c>
      <c r="L21" t="s">
        <v>19</v>
      </c>
      <c r="M21" s="13">
        <f>(I22+I25)*7</f>
        <v>123388947339.22412</v>
      </c>
      <c r="P21" s="55">
        <v>44531</v>
      </c>
      <c r="Q21" s="6">
        <v>58.71</v>
      </c>
      <c r="R21" s="6">
        <v>4766.18</v>
      </c>
      <c r="S21" s="6">
        <v>15653.37</v>
      </c>
      <c r="T21" s="6">
        <v>35950.559999999998</v>
      </c>
      <c r="U21" s="55">
        <v>44531</v>
      </c>
      <c r="V21" s="58">
        <f t="shared" si="0"/>
        <v>149.92339121552607</v>
      </c>
      <c r="W21" s="58">
        <f t="shared" si="1"/>
        <v>109.50844832894488</v>
      </c>
      <c r="X21" s="58">
        <f t="shared" si="2"/>
        <v>106.92681973833503</v>
      </c>
      <c r="Y21" s="58">
        <f t="shared" si="3"/>
        <v>104.40473673572276</v>
      </c>
    </row>
    <row r="22" spans="1:25" x14ac:dyDescent="0.25">
      <c r="A22" t="s">
        <v>77</v>
      </c>
      <c r="B22" t="s">
        <v>124</v>
      </c>
      <c r="C22" s="25">
        <v>0.17</v>
      </c>
      <c r="D22" s="5">
        <f>D21*$C$22</f>
        <v>10646590000</v>
      </c>
      <c r="E22" s="5">
        <f t="shared" ref="E22:I22" si="4">E21*$C$22</f>
        <v>10859521800</v>
      </c>
      <c r="F22" s="5">
        <f t="shared" si="4"/>
        <v>10968117018</v>
      </c>
      <c r="G22" s="5">
        <f t="shared" si="4"/>
        <v>11187479358.360001</v>
      </c>
      <c r="H22" s="5">
        <f t="shared" si="4"/>
        <v>11411228945.527201</v>
      </c>
      <c r="I22" s="5">
        <f t="shared" si="4"/>
        <v>11525341234.982473</v>
      </c>
      <c r="L22" t="s">
        <v>20</v>
      </c>
      <c r="M22" s="13">
        <f>(M20+M21)/2</f>
        <v>152802566116.71674</v>
      </c>
      <c r="P22" s="55">
        <v>44562</v>
      </c>
      <c r="Q22" s="6">
        <v>54.33</v>
      </c>
      <c r="R22" s="6">
        <v>4500.53</v>
      </c>
      <c r="S22" s="6">
        <v>13770.57</v>
      </c>
      <c r="T22" s="6">
        <v>34725.47</v>
      </c>
      <c r="U22" s="55">
        <v>44562</v>
      </c>
      <c r="V22" s="58">
        <f t="shared" si="0"/>
        <v>138.7385086823289</v>
      </c>
      <c r="W22" s="58">
        <f t="shared" si="1"/>
        <v>103.40483510019895</v>
      </c>
      <c r="X22" s="58">
        <f t="shared" si="2"/>
        <v>94.065575405431801</v>
      </c>
      <c r="Y22" s="58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1809920300.0000002</v>
      </c>
      <c r="E23" s="30">
        <f t="shared" ref="E23:I23" si="5">E22*$B$6</f>
        <v>1846118706.0000002</v>
      </c>
      <c r="F23" s="5">
        <f t="shared" si="5"/>
        <v>1864579893.0600002</v>
      </c>
      <c r="G23" s="30">
        <f t="shared" si="5"/>
        <v>1901871490.9212003</v>
      </c>
      <c r="H23" s="30">
        <f t="shared" si="5"/>
        <v>1939908920.7396243</v>
      </c>
      <c r="I23" s="5">
        <f t="shared" si="5"/>
        <v>1959308009.9470205</v>
      </c>
      <c r="P23" s="55">
        <v>44593</v>
      </c>
      <c r="Q23" s="6">
        <v>47.72</v>
      </c>
      <c r="R23" s="6">
        <v>4384.6499999999996</v>
      </c>
      <c r="S23" s="6">
        <v>13313.44</v>
      </c>
      <c r="T23" s="6">
        <v>34058.75</v>
      </c>
      <c r="U23" s="55">
        <v>44593</v>
      </c>
      <c r="V23" s="58">
        <f t="shared" si="0"/>
        <v>121.85903983656794</v>
      </c>
      <c r="W23" s="58">
        <f t="shared" si="1"/>
        <v>100.74235928259282</v>
      </c>
      <c r="X23" s="58">
        <f t="shared" si="2"/>
        <v>90.942959821248664</v>
      </c>
      <c r="Y23" s="58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8836669700</v>
      </c>
      <c r="E24" s="5">
        <f t="shared" ref="E24:I24" si="6">E22*(1-$B$6)</f>
        <v>9013403094</v>
      </c>
      <c r="F24" s="5">
        <f t="shared" si="6"/>
        <v>9103537124.9399986</v>
      </c>
      <c r="G24" s="5">
        <f t="shared" si="6"/>
        <v>9285607867.4388008</v>
      </c>
      <c r="H24" s="5">
        <f t="shared" si="6"/>
        <v>9471320024.7875767</v>
      </c>
      <c r="I24" s="5">
        <f t="shared" si="6"/>
        <v>9566033225.0354519</v>
      </c>
      <c r="P24" s="55">
        <v>44621</v>
      </c>
      <c r="Q24" s="6">
        <v>52.78</v>
      </c>
      <c r="R24" s="6">
        <v>4543.0600000000004</v>
      </c>
      <c r="S24" s="6">
        <v>14169.3</v>
      </c>
      <c r="T24" s="6">
        <v>34861.24</v>
      </c>
      <c r="U24" s="55">
        <v>44621</v>
      </c>
      <c r="V24" s="58">
        <f t="shared" si="0"/>
        <v>134.78038815117469</v>
      </c>
      <c r="W24" s="58">
        <f t="shared" si="1"/>
        <v>104.38201059659862</v>
      </c>
      <c r="X24" s="58">
        <f t="shared" si="2"/>
        <v>96.789265628959782</v>
      </c>
      <c r="Y24" s="58">
        <f t="shared" si="3"/>
        <v>101.24122084554033</v>
      </c>
    </row>
    <row r="25" spans="1:25" x14ac:dyDescent="0.25">
      <c r="A25" s="4" t="s">
        <v>25</v>
      </c>
      <c r="B25" s="8" t="s">
        <v>90</v>
      </c>
      <c r="C25" s="25">
        <v>0.09</v>
      </c>
      <c r="D25" s="12">
        <f>D21*$C$25</f>
        <v>5636430000</v>
      </c>
      <c r="E25" s="12">
        <f t="shared" ref="E25:I25" si="7">E21*$C$25</f>
        <v>5749158600</v>
      </c>
      <c r="F25" s="12">
        <f t="shared" si="7"/>
        <v>5806650186</v>
      </c>
      <c r="G25" s="12">
        <f t="shared" si="7"/>
        <v>5922783189.7199993</v>
      </c>
      <c r="H25" s="12">
        <f t="shared" si="7"/>
        <v>6041238853.5144005</v>
      </c>
      <c r="I25" s="12">
        <f t="shared" si="7"/>
        <v>6101651242.0495443</v>
      </c>
      <c r="P25" s="55">
        <v>44652</v>
      </c>
      <c r="Q25" s="6">
        <v>49.07</v>
      </c>
      <c r="R25" s="6">
        <v>4271.78</v>
      </c>
      <c r="S25" s="6">
        <v>12839.29</v>
      </c>
      <c r="T25" s="6">
        <v>33811.4</v>
      </c>
      <c r="U25" s="55">
        <v>44652</v>
      </c>
      <c r="V25" s="58">
        <f t="shared" si="0"/>
        <v>125.30643513789583</v>
      </c>
      <c r="W25" s="58">
        <f t="shared" si="1"/>
        <v>98.149041664943454</v>
      </c>
      <c r="X25" s="58">
        <f t="shared" si="2"/>
        <v>87.704082085723883</v>
      </c>
      <c r="Y25" s="58">
        <f t="shared" si="3"/>
        <v>98.192359609035776</v>
      </c>
    </row>
    <row r="26" spans="1:25" x14ac:dyDescent="0.25">
      <c r="A26" t="s">
        <v>26</v>
      </c>
      <c r="B26" t="s">
        <v>91</v>
      </c>
      <c r="C26" s="25">
        <v>0.05</v>
      </c>
      <c r="D26" s="10">
        <f>D21*$C$26</f>
        <v>3131350000</v>
      </c>
      <c r="E26" s="10">
        <f t="shared" ref="E26:I26" si="8">E21*$C$26</f>
        <v>3193977000</v>
      </c>
      <c r="F26" s="10">
        <f t="shared" si="8"/>
        <v>3225916770</v>
      </c>
      <c r="G26" s="10">
        <f t="shared" si="8"/>
        <v>3290435105.4000001</v>
      </c>
      <c r="H26" s="10">
        <f t="shared" si="8"/>
        <v>3356243807.5080004</v>
      </c>
      <c r="I26" s="10">
        <f t="shared" si="8"/>
        <v>3389806245.5830803</v>
      </c>
      <c r="P26" s="55">
        <v>44682</v>
      </c>
      <c r="Q26" s="6">
        <v>53.91</v>
      </c>
      <c r="R26" s="6">
        <v>4158.24</v>
      </c>
      <c r="S26" s="6">
        <v>11354.62</v>
      </c>
      <c r="T26" s="6">
        <v>33212.959999999999</v>
      </c>
      <c r="U26" s="55">
        <v>44682</v>
      </c>
      <c r="V26" s="58">
        <f t="shared" si="0"/>
        <v>137.66598569969358</v>
      </c>
      <c r="W26" s="58">
        <f t="shared" si="1"/>
        <v>95.540330029363503</v>
      </c>
      <c r="X26" s="58">
        <f t="shared" si="2"/>
        <v>77.562429428122741</v>
      </c>
      <c r="Y26" s="58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0.03</v>
      </c>
      <c r="D27" s="10">
        <f>D21*$C$27</f>
        <v>1878810000</v>
      </c>
      <c r="E27" s="10">
        <f t="shared" ref="E27:I27" si="9">E21*$C$27</f>
        <v>1916386200</v>
      </c>
      <c r="F27" s="10">
        <f t="shared" si="9"/>
        <v>1935550062</v>
      </c>
      <c r="G27" s="10">
        <f t="shared" si="9"/>
        <v>1974261063.24</v>
      </c>
      <c r="H27" s="10">
        <f t="shared" si="9"/>
        <v>2013746284.5048001</v>
      </c>
      <c r="I27" s="10">
        <f t="shared" si="9"/>
        <v>2033883747.349848</v>
      </c>
      <c r="P27" s="55">
        <v>44713</v>
      </c>
      <c r="Q27" s="58">
        <v>52.31</v>
      </c>
      <c r="R27" s="6">
        <v>3911.74</v>
      </c>
      <c r="S27" s="6">
        <v>11127.85</v>
      </c>
      <c r="T27" s="6">
        <v>31097.26</v>
      </c>
      <c r="U27" s="55">
        <v>44713</v>
      </c>
      <c r="V27" s="58">
        <f t="shared" si="0"/>
        <v>133.58018386108276</v>
      </c>
      <c r="W27" s="58">
        <f t="shared" si="1"/>
        <v>89.876709999678326</v>
      </c>
      <c r="X27" s="58">
        <f t="shared" si="2"/>
        <v>76.01338312614034</v>
      </c>
      <c r="Y27" s="58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9462939700</v>
      </c>
      <c r="E28" s="12">
        <f t="shared" ref="E28:I28" si="10">E24+E25-E26-E27</f>
        <v>9652198494</v>
      </c>
      <c r="F28" s="12">
        <f t="shared" si="10"/>
        <v>9748720478.9399986</v>
      </c>
      <c r="G28" s="12">
        <f t="shared" si="10"/>
        <v>9943694888.5188007</v>
      </c>
      <c r="H28" s="12">
        <f t="shared" si="10"/>
        <v>10142568786.289175</v>
      </c>
      <c r="I28" s="12">
        <f t="shared" si="10"/>
        <v>10243994474.152067</v>
      </c>
      <c r="P28" s="55">
        <v>44743</v>
      </c>
      <c r="Q28" s="6">
        <v>50.51</v>
      </c>
      <c r="R28" s="6">
        <v>4130.29</v>
      </c>
      <c r="S28" s="6">
        <v>12390.69</v>
      </c>
      <c r="T28" s="6">
        <v>32845.129999999997</v>
      </c>
      <c r="U28" s="55">
        <v>44743</v>
      </c>
      <c r="V28" s="58">
        <f t="shared" si="0"/>
        <v>128.98365679264558</v>
      </c>
      <c r="W28" s="58">
        <f t="shared" si="1"/>
        <v>94.898146744050322</v>
      </c>
      <c r="X28" s="58">
        <f t="shared" si="2"/>
        <v>84.63973419548573</v>
      </c>
      <c r="Y28" s="58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5">
        <v>44774</v>
      </c>
      <c r="Q29" s="6">
        <v>46.82</v>
      </c>
      <c r="R29" s="6">
        <v>3924.26</v>
      </c>
      <c r="S29" s="6">
        <v>12141.71</v>
      </c>
      <c r="T29" s="6">
        <v>31318.44</v>
      </c>
      <c r="U29" s="55">
        <v>44774</v>
      </c>
      <c r="V29" s="58">
        <f t="shared" si="0"/>
        <v>119.56077630234934</v>
      </c>
      <c r="W29" s="58">
        <f t="shared" si="1"/>
        <v>90.164371349664791</v>
      </c>
      <c r="X29" s="58">
        <f t="shared" si="2"/>
        <v>82.938973300007575</v>
      </c>
      <c r="Y29" s="58">
        <f t="shared" si="3"/>
        <v>90.95250486149672</v>
      </c>
    </row>
    <row r="30" spans="1:25" x14ac:dyDescent="0.25">
      <c r="A30" t="s">
        <v>36</v>
      </c>
      <c r="C30" s="13">
        <f>-G39</f>
        <v>-192201000000</v>
      </c>
      <c r="D30" s="5">
        <f>D28</f>
        <v>9462939700</v>
      </c>
      <c r="E30" s="5">
        <f t="shared" ref="E30:I30" si="11">E28</f>
        <v>9652198494</v>
      </c>
      <c r="F30" s="5">
        <f t="shared" si="11"/>
        <v>9748720478.9399986</v>
      </c>
      <c r="G30" s="5">
        <f t="shared" si="11"/>
        <v>9943694888.5188007</v>
      </c>
      <c r="H30" s="5">
        <f t="shared" si="11"/>
        <v>10142568786.289175</v>
      </c>
      <c r="I30" s="5">
        <f t="shared" si="11"/>
        <v>10243994474.152067</v>
      </c>
      <c r="J30" s="13">
        <f>I28+M22</f>
        <v>163046560590.8688</v>
      </c>
      <c r="K30" t="s">
        <v>38</v>
      </c>
      <c r="P30" s="55">
        <v>44805</v>
      </c>
      <c r="Q30" s="6">
        <v>43.76</v>
      </c>
      <c r="R30" s="6">
        <v>3585.62</v>
      </c>
      <c r="S30" s="6">
        <v>10867.93</v>
      </c>
      <c r="T30" s="6">
        <v>30822.42</v>
      </c>
      <c r="U30" s="55">
        <v>44805</v>
      </c>
      <c r="V30" s="58">
        <f t="shared" si="0"/>
        <v>111.74668028600614</v>
      </c>
      <c r="W30" s="58">
        <f t="shared" si="1"/>
        <v>82.383729212331744</v>
      </c>
      <c r="X30" s="58">
        <f t="shared" si="2"/>
        <v>74.237892034676463</v>
      </c>
      <c r="Y30" s="58">
        <f t="shared" si="3"/>
        <v>89.512003308373394</v>
      </c>
    </row>
    <row r="31" spans="1:25" x14ac:dyDescent="0.25">
      <c r="A31" t="s">
        <v>37</v>
      </c>
      <c r="D31" s="6">
        <f>1/(1+$B$7)^D29</f>
        <v>0.97059936030729044</v>
      </c>
      <c r="E31" s="6">
        <f t="shared" ref="E31:I31" si="12">1/(1+$B$7)^E29</f>
        <v>0.91436585992208219</v>
      </c>
      <c r="F31" s="6">
        <f t="shared" si="12"/>
        <v>0.8613903532002658</v>
      </c>
      <c r="G31" s="6">
        <f t="shared" si="12"/>
        <v>0.81148408214815415</v>
      </c>
      <c r="H31" s="6">
        <f t="shared" si="12"/>
        <v>0.76446922482162416</v>
      </c>
      <c r="I31" s="6">
        <f t="shared" si="12"/>
        <v>0.7419933405864787</v>
      </c>
      <c r="J31" t="s">
        <v>39</v>
      </c>
      <c r="P31" s="55">
        <v>44835</v>
      </c>
      <c r="Q31" s="6">
        <v>47.43</v>
      </c>
      <c r="R31" s="6">
        <v>3901.06</v>
      </c>
      <c r="S31" s="6">
        <v>11102.45</v>
      </c>
      <c r="T31" s="6">
        <v>32861.800000000003</v>
      </c>
      <c r="U31" s="55">
        <v>44835</v>
      </c>
      <c r="V31" s="58">
        <f t="shared" si="0"/>
        <v>121.11848825331973</v>
      </c>
      <c r="W31" s="58">
        <f t="shared" si="1"/>
        <v>89.631324758635571</v>
      </c>
      <c r="X31" s="58">
        <f t="shared" si="2"/>
        <v>75.839877917910187</v>
      </c>
      <c r="Y31" s="58">
        <f t="shared" si="3"/>
        <v>95.434607351372975</v>
      </c>
    </row>
    <row r="32" spans="1:25" x14ac:dyDescent="0.25">
      <c r="A32" t="s">
        <v>40</v>
      </c>
      <c r="C32" s="13">
        <f>-G39</f>
        <v>-192201000000</v>
      </c>
      <c r="D32" s="5">
        <f>D30*D31</f>
        <v>9184723219.4464626</v>
      </c>
      <c r="E32" s="5">
        <f t="shared" ref="E32:I32" si="13">E30*E31</f>
        <v>8825640776.1049366</v>
      </c>
      <c r="F32" s="5">
        <f t="shared" si="13"/>
        <v>8397453776.6047897</v>
      </c>
      <c r="G32" s="5">
        <f t="shared" si="13"/>
        <v>8069150119.7709713</v>
      </c>
      <c r="H32" s="5">
        <f t="shared" si="13"/>
        <v>7753681697.754487</v>
      </c>
      <c r="I32" s="5">
        <f t="shared" si="13"/>
        <v>7600975680.8255205</v>
      </c>
      <c r="J32" s="14">
        <f>M22</f>
        <v>152802566116.71674</v>
      </c>
      <c r="P32" s="55">
        <v>44866</v>
      </c>
      <c r="Q32" s="6">
        <v>49.21</v>
      </c>
      <c r="R32" s="6">
        <v>4026.12</v>
      </c>
      <c r="S32" s="6">
        <v>11226.36</v>
      </c>
      <c r="T32" s="6">
        <v>34429.879999999997</v>
      </c>
      <c r="U32" s="55">
        <v>44866</v>
      </c>
      <c r="V32" s="58">
        <f t="shared" si="0"/>
        <v>125.66394279877426</v>
      </c>
      <c r="W32" s="58">
        <f t="shared" si="1"/>
        <v>92.504721598036909</v>
      </c>
      <c r="X32" s="58">
        <f t="shared" si="2"/>
        <v>76.686296435697543</v>
      </c>
      <c r="Y32" s="58">
        <f t="shared" si="3"/>
        <v>99.988499685193403</v>
      </c>
    </row>
    <row r="33" spans="1:25" x14ac:dyDescent="0.25">
      <c r="A33" t="s">
        <v>56</v>
      </c>
      <c r="C33" s="29">
        <v>-192201</v>
      </c>
      <c r="D33" s="45">
        <v>9185</v>
      </c>
      <c r="E33" s="24">
        <v>8826</v>
      </c>
      <c r="F33" s="24">
        <v>8397</v>
      </c>
      <c r="G33" s="24">
        <v>8069</v>
      </c>
      <c r="H33" s="24">
        <v>7754</v>
      </c>
      <c r="I33" s="24">
        <v>7601</v>
      </c>
      <c r="J33" s="24">
        <v>152803</v>
      </c>
      <c r="P33" s="55">
        <v>44896</v>
      </c>
      <c r="Q33" s="6">
        <v>51.83</v>
      </c>
      <c r="R33" s="6">
        <v>3839.5</v>
      </c>
      <c r="S33" s="6">
        <v>10466.48</v>
      </c>
      <c r="T33" s="6">
        <v>33203.93</v>
      </c>
      <c r="U33" s="55">
        <v>44896</v>
      </c>
      <c r="V33" s="58">
        <f t="shared" si="0"/>
        <v>132.35444330949952</v>
      </c>
      <c r="W33" s="58">
        <f t="shared" si="1"/>
        <v>88.216913200715013</v>
      </c>
      <c r="X33" s="58">
        <f t="shared" si="2"/>
        <v>71.495621725857674</v>
      </c>
      <c r="Y33" s="58">
        <f t="shared" si="3"/>
        <v>96.428193892984353</v>
      </c>
    </row>
    <row r="34" spans="1:25" x14ac:dyDescent="0.25">
      <c r="P34" s="55">
        <v>44927</v>
      </c>
      <c r="Q34" s="6">
        <v>43.79</v>
      </c>
      <c r="R34" s="6">
        <v>4070.56</v>
      </c>
      <c r="S34" s="6">
        <v>11140.43</v>
      </c>
      <c r="T34" s="6">
        <v>33375.49</v>
      </c>
      <c r="U34" s="55">
        <v>44927</v>
      </c>
      <c r="V34" s="58">
        <f t="shared" si="0"/>
        <v>111.82328907048009</v>
      </c>
      <c r="W34" s="58">
        <f t="shared" si="1"/>
        <v>93.525781533611791</v>
      </c>
      <c r="X34" s="58">
        <f t="shared" si="2"/>
        <v>76.099316020610232</v>
      </c>
      <c r="Y34" s="58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5">
        <v>44958</v>
      </c>
      <c r="Q35" s="6">
        <v>41.75</v>
      </c>
      <c r="R35" s="6">
        <v>4045.64</v>
      </c>
      <c r="S35" s="6">
        <v>11689.01</v>
      </c>
      <c r="T35" s="6">
        <v>32816.92</v>
      </c>
      <c r="U35" s="55">
        <v>44958</v>
      </c>
      <c r="V35" s="58">
        <f t="shared" si="0"/>
        <v>106.61389172625128</v>
      </c>
      <c r="W35" s="58">
        <f t="shared" si="1"/>
        <v>92.953215971178722</v>
      </c>
      <c r="X35" s="58">
        <f t="shared" si="2"/>
        <v>79.846618663559056</v>
      </c>
      <c r="Y35" s="58">
        <f t="shared" si="3"/>
        <v>95.304270450231527</v>
      </c>
    </row>
    <row r="36" spans="1:25" x14ac:dyDescent="0.25">
      <c r="A36" s="13" t="s">
        <v>42</v>
      </c>
      <c r="B36" s="17">
        <f>SUM(D32:I32)</f>
        <v>49831625270.507172</v>
      </c>
      <c r="C36" t="s">
        <v>45</v>
      </c>
      <c r="F36" t="s">
        <v>33</v>
      </c>
      <c r="G36" s="15">
        <f>B13*B12</f>
        <v>142725000000</v>
      </c>
      <c r="H36" t="s">
        <v>34</v>
      </c>
      <c r="L36" s="3" t="s">
        <v>51</v>
      </c>
      <c r="P36" s="55">
        <v>44986</v>
      </c>
      <c r="Q36" s="6">
        <v>40.39</v>
      </c>
      <c r="R36" s="6">
        <v>3970.99</v>
      </c>
      <c r="S36" s="6">
        <v>11823.96</v>
      </c>
      <c r="T36" s="6">
        <v>33274.15</v>
      </c>
      <c r="U36" s="55">
        <v>44986</v>
      </c>
      <c r="V36" s="58">
        <f t="shared" si="0"/>
        <v>103.14096016343208</v>
      </c>
      <c r="W36" s="58">
        <f t="shared" si="1"/>
        <v>91.238046659957632</v>
      </c>
      <c r="X36" s="58">
        <f t="shared" si="2"/>
        <v>80.768450468703136</v>
      </c>
      <c r="Y36" s="58">
        <f t="shared" si="3"/>
        <v>96.63212119240842</v>
      </c>
    </row>
    <row r="37" spans="1:25" x14ac:dyDescent="0.25">
      <c r="A37" t="s">
        <v>11</v>
      </c>
      <c r="B37" s="19">
        <f>B15</f>
        <v>14984000000</v>
      </c>
      <c r="F37" t="s">
        <v>10</v>
      </c>
      <c r="G37" s="14">
        <f>B14</f>
        <v>64460000000</v>
      </c>
      <c r="L37" t="s">
        <v>52</v>
      </c>
      <c r="M37" s="21">
        <f>(B40/B12)-1</f>
        <v>-0.46345002141452474</v>
      </c>
      <c r="P37" s="55">
        <v>45017</v>
      </c>
      <c r="Q37" s="6">
        <v>38.89</v>
      </c>
      <c r="R37" s="6">
        <v>4133.5200000000004</v>
      </c>
      <c r="S37" s="6">
        <v>12072.46</v>
      </c>
      <c r="T37" s="6">
        <v>33808.959999999999</v>
      </c>
      <c r="U37" s="55">
        <v>45017</v>
      </c>
      <c r="V37" s="58">
        <f t="shared" si="0"/>
        <v>99.310520939734431</v>
      </c>
      <c r="W37" s="58">
        <f t="shared" si="1"/>
        <v>94.972359696163451</v>
      </c>
      <c r="X37" s="58">
        <f t="shared" si="2"/>
        <v>82.46593252560055</v>
      </c>
      <c r="Y37" s="58">
        <f t="shared" si="3"/>
        <v>98.185273556478165</v>
      </c>
    </row>
    <row r="38" spans="1:25" x14ac:dyDescent="0.25">
      <c r="A38" t="s">
        <v>10</v>
      </c>
      <c r="B38" s="19">
        <f>B14</f>
        <v>64460000000</v>
      </c>
      <c r="C38" s="3"/>
      <c r="F38" t="s">
        <v>11</v>
      </c>
      <c r="G38" s="14">
        <f>B15</f>
        <v>14984000000</v>
      </c>
      <c r="L38" t="s">
        <v>53</v>
      </c>
      <c r="M38" s="23">
        <f>IRR(C33:J33)</f>
        <v>8.7079492578294726E-3</v>
      </c>
      <c r="N38" t="s">
        <v>57</v>
      </c>
      <c r="P38" s="55">
        <v>45047</v>
      </c>
      <c r="Q38" s="6">
        <v>37.6</v>
      </c>
      <c r="R38" s="6">
        <v>4282.37</v>
      </c>
      <c r="S38" s="6">
        <v>13240.77</v>
      </c>
      <c r="T38" s="6">
        <v>33093.339999999997</v>
      </c>
      <c r="U38" s="55">
        <v>45047</v>
      </c>
      <c r="V38" s="58">
        <f t="shared" si="0"/>
        <v>96.016343207354453</v>
      </c>
      <c r="W38" s="58">
        <f t="shared" si="1"/>
        <v>98.392359052831353</v>
      </c>
      <c r="X38" s="58">
        <f t="shared" si="2"/>
        <v>90.446557321953946</v>
      </c>
      <c r="Y38" s="58">
        <f t="shared" si="3"/>
        <v>96.107027273170814</v>
      </c>
    </row>
    <row r="39" spans="1:25" x14ac:dyDescent="0.25">
      <c r="A39" t="s">
        <v>44</v>
      </c>
      <c r="B39" s="17">
        <f>(((B36+B37)-B38)+(M22))/2</f>
        <v>76579095693.611954</v>
      </c>
      <c r="C39" t="s">
        <v>75</v>
      </c>
      <c r="F39" t="s">
        <v>30</v>
      </c>
      <c r="G39" s="13">
        <f>G36+G37-G38</f>
        <v>192201000000</v>
      </c>
      <c r="H39" t="s">
        <v>32</v>
      </c>
      <c r="P39" s="55">
        <v>45078</v>
      </c>
      <c r="Q39" s="6">
        <v>36.68</v>
      </c>
      <c r="R39" s="6">
        <v>4450.38</v>
      </c>
      <c r="S39" s="6">
        <v>13492.52</v>
      </c>
      <c r="T39" s="6">
        <v>33727.43</v>
      </c>
      <c r="U39" s="55">
        <v>45078</v>
      </c>
      <c r="V39" s="58">
        <f t="shared" si="0"/>
        <v>93.667007150153225</v>
      </c>
      <c r="W39" s="58">
        <f t="shared" si="1"/>
        <v>102.25258137002164</v>
      </c>
      <c r="X39" s="58">
        <f t="shared" si="2"/>
        <v>92.166239848408367</v>
      </c>
      <c r="Y39" s="58">
        <f t="shared" si="3"/>
        <v>97.9485006609777</v>
      </c>
    </row>
    <row r="40" spans="1:25" x14ac:dyDescent="0.25">
      <c r="A40" t="s">
        <v>72</v>
      </c>
      <c r="B40" s="20">
        <f>B39/B13</f>
        <v>13.413749464636881</v>
      </c>
      <c r="C40" t="s">
        <v>76</v>
      </c>
      <c r="F40" t="s">
        <v>48</v>
      </c>
      <c r="G40" s="16">
        <f>G39/B13</f>
        <v>33.666316342616923</v>
      </c>
      <c r="H40" t="s">
        <v>49</v>
      </c>
      <c r="L40" s="46" t="s">
        <v>96</v>
      </c>
      <c r="M40" s="47"/>
      <c r="P40" s="55">
        <v>45108</v>
      </c>
      <c r="Q40" s="6">
        <v>37.4</v>
      </c>
      <c r="R40" s="6">
        <v>4582.2299999999996</v>
      </c>
      <c r="S40" s="6">
        <v>14032.81</v>
      </c>
      <c r="T40" s="6">
        <v>35065.620000000003</v>
      </c>
      <c r="U40" s="55">
        <v>45108</v>
      </c>
      <c r="V40" s="58">
        <f t="shared" si="0"/>
        <v>95.50561797752809</v>
      </c>
      <c r="W40" s="58">
        <f t="shared" si="1"/>
        <v>105.28198624188367</v>
      </c>
      <c r="X40" s="58">
        <f t="shared" si="2"/>
        <v>95.856914216702535</v>
      </c>
      <c r="Y40" s="58">
        <f t="shared" si="3"/>
        <v>101.83476487083638</v>
      </c>
    </row>
    <row r="41" spans="1:25" x14ac:dyDescent="0.25">
      <c r="A41" t="s">
        <v>46</v>
      </c>
      <c r="B41" s="22">
        <f>(B40/B12)-1</f>
        <v>-0.46345002141452474</v>
      </c>
      <c r="C41" t="s">
        <v>47</v>
      </c>
      <c r="F41" t="s">
        <v>46</v>
      </c>
      <c r="G41" s="21">
        <f>(G40/B12)-1</f>
        <v>0.34665265370467702</v>
      </c>
      <c r="H41" t="s">
        <v>50</v>
      </c>
      <c r="L41" s="48" t="s">
        <v>41</v>
      </c>
      <c r="M41" s="49">
        <f>B40</f>
        <v>13.413749464636881</v>
      </c>
      <c r="P41" s="55">
        <v>45139</v>
      </c>
      <c r="Q41" s="6">
        <v>35.78</v>
      </c>
      <c r="R41" s="6">
        <v>4515.7700000000004</v>
      </c>
      <c r="S41" s="6">
        <v>13590.65</v>
      </c>
      <c r="T41" s="6">
        <v>34837.71</v>
      </c>
      <c r="U41" s="55">
        <v>45139</v>
      </c>
      <c r="V41" s="58">
        <f t="shared" si="0"/>
        <v>91.368743615934633</v>
      </c>
      <c r="W41" s="58">
        <f t="shared" si="1"/>
        <v>103.75499156775436</v>
      </c>
      <c r="X41" s="58">
        <f t="shared" si="2"/>
        <v>92.836557410755816</v>
      </c>
      <c r="Y41" s="58">
        <f t="shared" si="3"/>
        <v>101.1728869042779</v>
      </c>
    </row>
    <row r="42" spans="1:25" x14ac:dyDescent="0.25">
      <c r="L42" s="48" t="s">
        <v>8</v>
      </c>
      <c r="M42" s="49">
        <f>B12</f>
        <v>25</v>
      </c>
      <c r="P42" s="55">
        <v>45170</v>
      </c>
      <c r="Q42" s="6">
        <v>33.17</v>
      </c>
      <c r="R42" s="6">
        <v>4320.0600000000004</v>
      </c>
      <c r="S42" s="6">
        <v>13211.81</v>
      </c>
      <c r="T42" s="6">
        <v>33507.5</v>
      </c>
      <c r="U42" s="55">
        <v>45170</v>
      </c>
      <c r="V42" s="58">
        <f t="shared" si="0"/>
        <v>84.703779366700729</v>
      </c>
      <c r="W42" s="58">
        <f t="shared" si="1"/>
        <v>99.258330001792146</v>
      </c>
      <c r="X42" s="58">
        <f t="shared" si="2"/>
        <v>90.248734060916718</v>
      </c>
      <c r="Y42" s="58">
        <f t="shared" si="3"/>
        <v>97.309797571226454</v>
      </c>
    </row>
    <row r="43" spans="1:25" x14ac:dyDescent="0.25">
      <c r="L43" s="48" t="s">
        <v>98</v>
      </c>
      <c r="M43" s="49">
        <f>(B40-B12)</f>
        <v>-11.586250535363119</v>
      </c>
      <c r="P43" s="55">
        <v>45200</v>
      </c>
      <c r="Q43" s="6">
        <v>30.11</v>
      </c>
      <c r="R43" s="6">
        <v>4117.37</v>
      </c>
      <c r="S43" s="6">
        <v>12643.01</v>
      </c>
      <c r="T43" s="6">
        <v>34061.32</v>
      </c>
      <c r="U43" s="55">
        <v>45200</v>
      </c>
      <c r="V43" s="58">
        <f t="shared" si="0"/>
        <v>76.889683350357515</v>
      </c>
      <c r="W43" s="58">
        <f t="shared" si="1"/>
        <v>94.601294935597863</v>
      </c>
      <c r="X43" s="58">
        <f t="shared" si="2"/>
        <v>86.363310342754758</v>
      </c>
      <c r="Y43" s="58">
        <f t="shared" si="3"/>
        <v>98.918157254607692</v>
      </c>
    </row>
    <row r="44" spans="1:25" x14ac:dyDescent="0.25">
      <c r="L44" s="48" t="s">
        <v>99</v>
      </c>
      <c r="M44" s="53">
        <f>((B40-B12)/(B12))</f>
        <v>-0.46345002141452474</v>
      </c>
      <c r="P44" s="55">
        <v>45231</v>
      </c>
      <c r="Q44" s="6">
        <v>28.91</v>
      </c>
      <c r="R44" s="6">
        <v>4559.34</v>
      </c>
      <c r="S44" s="6">
        <v>14250.85</v>
      </c>
      <c r="T44" s="6">
        <v>36245.5</v>
      </c>
      <c r="U44" s="55">
        <v>45231</v>
      </c>
      <c r="V44" s="58">
        <f t="shared" si="0"/>
        <v>73.825331971399393</v>
      </c>
      <c r="W44" s="58">
        <f t="shared" si="1"/>
        <v>104.75606225616565</v>
      </c>
      <c r="X44" s="58">
        <f t="shared" si="2"/>
        <v>97.346326641997962</v>
      </c>
      <c r="Y44" s="58">
        <f t="shared" si="3"/>
        <v>105.26127785922222</v>
      </c>
    </row>
    <row r="45" spans="1:25" x14ac:dyDescent="0.25">
      <c r="L45" s="51"/>
      <c r="M45" s="50"/>
      <c r="P45" s="55">
        <v>45261</v>
      </c>
      <c r="Q45" s="6">
        <v>28.79</v>
      </c>
      <c r="R45" s="6">
        <v>4769.83</v>
      </c>
      <c r="S45" s="6">
        <v>14992.97</v>
      </c>
      <c r="T45" s="6">
        <v>37689.54</v>
      </c>
      <c r="U45" s="55">
        <v>45261</v>
      </c>
      <c r="V45" s="58">
        <f t="shared" si="0"/>
        <v>73.518896833503575</v>
      </c>
      <c r="W45" s="58">
        <f t="shared" si="1"/>
        <v>109.59231126244732</v>
      </c>
      <c r="X45" s="58">
        <f t="shared" si="2"/>
        <v>102.41568432435091</v>
      </c>
      <c r="Y45" s="58">
        <f t="shared" si="3"/>
        <v>109.45494316056532</v>
      </c>
    </row>
    <row r="46" spans="1:25" x14ac:dyDescent="0.25">
      <c r="L46" s="51" t="s">
        <v>54</v>
      </c>
      <c r="M46" s="49"/>
      <c r="P46" s="55">
        <v>45292</v>
      </c>
      <c r="Q46" s="6">
        <v>26.93</v>
      </c>
      <c r="R46" s="6">
        <v>4958.6099999999997</v>
      </c>
      <c r="S46" s="6">
        <v>15628.95</v>
      </c>
      <c r="T46" s="6">
        <v>38109.43</v>
      </c>
      <c r="U46" s="55">
        <v>45292</v>
      </c>
      <c r="V46" s="58">
        <f t="shared" si="0"/>
        <v>68.769152196118483</v>
      </c>
      <c r="W46" s="58">
        <f t="shared" si="1"/>
        <v>113.92974813548574</v>
      </c>
      <c r="X46" s="58">
        <f t="shared" si="2"/>
        <v>106.76000882554051</v>
      </c>
      <c r="Y46" s="58">
        <f t="shared" si="3"/>
        <v>110.67435406565171</v>
      </c>
    </row>
    <row r="47" spans="1:25" x14ac:dyDescent="0.25">
      <c r="L47" s="48" t="s">
        <v>41</v>
      </c>
      <c r="M47" s="49">
        <f>B40</f>
        <v>13.413749464636881</v>
      </c>
      <c r="P47" s="55">
        <v>45323</v>
      </c>
      <c r="Q47" s="6">
        <v>26.59</v>
      </c>
      <c r="R47" s="6">
        <v>5137.08</v>
      </c>
      <c r="S47" s="6">
        <v>16274.94</v>
      </c>
      <c r="T47" s="6">
        <v>39087.379999999997</v>
      </c>
      <c r="U47" s="55">
        <v>45323</v>
      </c>
      <c r="V47" s="58">
        <f t="shared" si="0"/>
        <v>67.900919305413694</v>
      </c>
      <c r="W47" s="58">
        <f t="shared" si="1"/>
        <v>118.03030094156246</v>
      </c>
      <c r="X47" s="58">
        <f t="shared" si="2"/>
        <v>111.17271077296571</v>
      </c>
      <c r="Y47" s="58">
        <f t="shared" si="3"/>
        <v>113.51443812249811</v>
      </c>
    </row>
    <row r="48" spans="1:25" x14ac:dyDescent="0.25">
      <c r="L48" s="48" t="s">
        <v>31</v>
      </c>
      <c r="M48" s="49">
        <f>G40</f>
        <v>33.666316342616923</v>
      </c>
      <c r="P48" s="55">
        <v>45352</v>
      </c>
      <c r="Q48" s="6">
        <v>27.75</v>
      </c>
      <c r="R48" s="6">
        <v>5234.18</v>
      </c>
      <c r="S48" s="6">
        <v>16428.82</v>
      </c>
      <c r="T48" s="6">
        <v>39807.370000000003</v>
      </c>
      <c r="U48" s="55">
        <v>45352</v>
      </c>
      <c r="V48" s="58">
        <f t="shared" si="0"/>
        <v>70.863125638406544</v>
      </c>
      <c r="W48" s="58">
        <f t="shared" si="1"/>
        <v>120.26128473418898</v>
      </c>
      <c r="X48" s="58">
        <f t="shared" si="2"/>
        <v>112.22385177463723</v>
      </c>
      <c r="Y48" s="58">
        <f t="shared" si="3"/>
        <v>115.60537540977134</v>
      </c>
    </row>
    <row r="49" spans="12:25" x14ac:dyDescent="0.25">
      <c r="L49" s="48" t="s">
        <v>98</v>
      </c>
      <c r="M49" s="49">
        <f>-(G40-B40)</f>
        <v>-20.252566877980044</v>
      </c>
      <c r="P49" s="55">
        <v>45383</v>
      </c>
      <c r="Q49" s="6">
        <v>25.4</v>
      </c>
      <c r="R49" s="6">
        <v>4967.2299999999996</v>
      </c>
      <c r="S49" s="6">
        <v>15282.01</v>
      </c>
      <c r="T49" s="6">
        <v>37986.400000000001</v>
      </c>
      <c r="U49" s="55">
        <v>45383</v>
      </c>
      <c r="V49" s="58">
        <f t="shared" si="0"/>
        <v>64.862104187946883</v>
      </c>
      <c r="W49" s="58">
        <f t="shared" si="1"/>
        <v>114.12780251542847</v>
      </c>
      <c r="X49" s="58">
        <f t="shared" si="2"/>
        <v>104.39009162304561</v>
      </c>
      <c r="Y49" s="58">
        <f t="shared" si="3"/>
        <v>110.31706019427403</v>
      </c>
    </row>
    <row r="50" spans="12:25" x14ac:dyDescent="0.25">
      <c r="L50" s="52" t="s">
        <v>99</v>
      </c>
      <c r="M50" s="54">
        <f>((B40-G40)/(G40))</f>
        <v>-0.60156765212661778</v>
      </c>
      <c r="P50" s="55">
        <v>45413</v>
      </c>
      <c r="Q50" s="6">
        <v>28.66</v>
      </c>
      <c r="R50" s="6">
        <v>5277.51</v>
      </c>
      <c r="S50" s="6">
        <v>16735.02</v>
      </c>
      <c r="T50" s="6">
        <v>38686.32</v>
      </c>
      <c r="U50" s="55">
        <v>45413</v>
      </c>
      <c r="V50" s="58">
        <f t="shared" si="0"/>
        <v>73.186925434116461</v>
      </c>
      <c r="W50" s="58">
        <f t="shared" si="1"/>
        <v>121.25684114752065</v>
      </c>
      <c r="X50" s="58">
        <f t="shared" si="2"/>
        <v>114.31547755259292</v>
      </c>
      <c r="Y50" s="58">
        <f t="shared" si="3"/>
        <v>112.34971179514106</v>
      </c>
    </row>
    <row r="51" spans="12:25" x14ac:dyDescent="0.25">
      <c r="P51" s="55">
        <v>45444</v>
      </c>
      <c r="Q51" s="6">
        <v>27.98</v>
      </c>
      <c r="R51" s="6">
        <v>5464.62</v>
      </c>
      <c r="S51" s="6">
        <v>17689.36</v>
      </c>
      <c r="T51" s="6">
        <v>39150.33</v>
      </c>
      <c r="U51" s="55">
        <v>45444</v>
      </c>
      <c r="V51" s="58">
        <f t="shared" si="0"/>
        <v>71.450459652706854</v>
      </c>
      <c r="W51" s="58">
        <f t="shared" si="1"/>
        <v>125.55590785646342</v>
      </c>
      <c r="X51" s="58">
        <f t="shared" si="2"/>
        <v>120.83449174244996</v>
      </c>
      <c r="Y51" s="58">
        <f t="shared" si="3"/>
        <v>113.69725247024441</v>
      </c>
    </row>
    <row r="52" spans="12:25" x14ac:dyDescent="0.25">
      <c r="P52" s="55">
        <v>45474</v>
      </c>
      <c r="Q52" s="6">
        <v>30.77</v>
      </c>
      <c r="R52" s="6">
        <v>5459.1</v>
      </c>
      <c r="S52" s="6">
        <v>17357.88</v>
      </c>
      <c r="T52" s="6">
        <v>40287.53</v>
      </c>
      <c r="U52" s="55">
        <v>45474</v>
      </c>
      <c r="V52" s="58">
        <f t="shared" si="0"/>
        <v>78.575076608784471</v>
      </c>
      <c r="W52" s="58">
        <f t="shared" si="1"/>
        <v>125.42907952963233</v>
      </c>
      <c r="X52" s="58">
        <f t="shared" si="2"/>
        <v>118.5701804659093</v>
      </c>
      <c r="Y52" s="58">
        <f t="shared" si="3"/>
        <v>116.99981762127025</v>
      </c>
    </row>
    <row r="53" spans="12:25" x14ac:dyDescent="0.25">
      <c r="P53" s="55">
        <v>45505</v>
      </c>
      <c r="Q53" s="6">
        <v>29.01</v>
      </c>
      <c r="R53" s="6">
        <v>5648.4</v>
      </c>
      <c r="S53" s="6">
        <v>17877.79</v>
      </c>
      <c r="T53" s="6">
        <v>41175.08</v>
      </c>
      <c r="U53" s="55">
        <v>45505</v>
      </c>
      <c r="V53" s="58">
        <f t="shared" si="0"/>
        <v>74.080694586312575</v>
      </c>
      <c r="W53" s="58">
        <f t="shared" si="1"/>
        <v>129.77846399867656</v>
      </c>
      <c r="X53" s="58">
        <f t="shared" si="2"/>
        <v>122.12164081279677</v>
      </c>
      <c r="Y53" s="58">
        <f t="shared" si="3"/>
        <v>119.57736923909737</v>
      </c>
    </row>
    <row r="54" spans="12:25" x14ac:dyDescent="0.25">
      <c r="P54" s="55">
        <v>45536</v>
      </c>
      <c r="Q54" s="6">
        <v>28.58</v>
      </c>
      <c r="R54" s="6">
        <v>5751.07</v>
      </c>
      <c r="S54" s="6">
        <v>18137.849999999999</v>
      </c>
      <c r="T54" s="6">
        <v>42313</v>
      </c>
      <c r="U54" s="55">
        <v>45536</v>
      </c>
      <c r="V54" s="58">
        <f t="shared" si="0"/>
        <v>72.982635342185915</v>
      </c>
      <c r="W54" s="58">
        <f t="shared" si="1"/>
        <v>132.13742492544242</v>
      </c>
      <c r="X54" s="58">
        <f t="shared" si="2"/>
        <v>123.89808823218003</v>
      </c>
      <c r="Y54" s="58">
        <f t="shared" si="3"/>
        <v>122.88202535645169</v>
      </c>
    </row>
    <row r="55" spans="12:25" x14ac:dyDescent="0.25">
      <c r="P55" s="55">
        <v>45566</v>
      </c>
      <c r="Q55" s="6">
        <v>28.09</v>
      </c>
      <c r="R55" s="6">
        <v>5728.8</v>
      </c>
      <c r="S55" s="6">
        <v>18518.61</v>
      </c>
      <c r="T55" s="6">
        <v>42052.19</v>
      </c>
      <c r="U55" s="55">
        <v>45566</v>
      </c>
      <c r="V55" s="58">
        <f t="shared" si="0"/>
        <v>71.731358529111347</v>
      </c>
      <c r="W55" s="58">
        <f t="shared" si="1"/>
        <v>131.62574615034671</v>
      </c>
      <c r="X55" s="58">
        <f t="shared" si="2"/>
        <v>126.49902693634203</v>
      </c>
      <c r="Y55" s="58">
        <f t="shared" si="3"/>
        <v>122.12460184516164</v>
      </c>
    </row>
    <row r="56" spans="12:25" x14ac:dyDescent="0.25">
      <c r="P56" s="55">
        <v>45597</v>
      </c>
      <c r="Q56" s="6">
        <v>25.65</v>
      </c>
      <c r="R56" s="6">
        <v>5969.34</v>
      </c>
      <c r="S56" s="6">
        <v>19003.650000000001</v>
      </c>
      <c r="T56" s="6">
        <v>44296.51</v>
      </c>
      <c r="U56" s="55">
        <v>45597</v>
      </c>
      <c r="V56" s="58">
        <f t="shared" si="0"/>
        <v>65.50051072522983</v>
      </c>
      <c r="W56" s="58">
        <f t="shared" si="1"/>
        <v>137.15242834888818</v>
      </c>
      <c r="X56" s="58">
        <f t="shared" si="2"/>
        <v>129.81229332216708</v>
      </c>
      <c r="Y56" s="58">
        <f t="shared" si="3"/>
        <v>128.64237622060162</v>
      </c>
    </row>
    <row r="57" spans="12:25" x14ac:dyDescent="0.25">
      <c r="P57" s="55">
        <v>45627</v>
      </c>
      <c r="Q57" s="6">
        <v>26.62</v>
      </c>
      <c r="R57" s="6">
        <v>5942.47</v>
      </c>
      <c r="S57" s="6">
        <v>19722.03</v>
      </c>
      <c r="T57" s="6">
        <v>42840.26</v>
      </c>
      <c r="U57" s="55">
        <v>45627</v>
      </c>
      <c r="V57" s="58">
        <f t="shared" si="0"/>
        <v>67.977528089887656</v>
      </c>
      <c r="W57" s="58">
        <f t="shared" si="1"/>
        <v>136.53505930143325</v>
      </c>
      <c r="X57" s="58">
        <f t="shared" si="2"/>
        <v>134.71948511304822</v>
      </c>
      <c r="Y57" s="58">
        <f t="shared" si="3"/>
        <v>124.41325161527151</v>
      </c>
    </row>
    <row r="58" spans="12:25" x14ac:dyDescent="0.25">
      <c r="P58" s="55">
        <v>45658</v>
      </c>
      <c r="Q58" s="6">
        <v>26.52</v>
      </c>
      <c r="R58" s="6">
        <v>6040.53</v>
      </c>
      <c r="S58" s="6">
        <v>19627.439999999999</v>
      </c>
      <c r="T58" s="6">
        <v>44424.25</v>
      </c>
      <c r="U58" s="55">
        <v>45658</v>
      </c>
      <c r="V58" s="58">
        <f t="shared" si="0"/>
        <v>67.722165474974474</v>
      </c>
      <c r="W58" s="58">
        <f t="shared" si="1"/>
        <v>138.78810019437819</v>
      </c>
      <c r="X58" s="58">
        <f t="shared" si="2"/>
        <v>134.07334898523359</v>
      </c>
      <c r="Y58" s="58">
        <f t="shared" si="3"/>
        <v>129.01334849671139</v>
      </c>
    </row>
    <row r="59" spans="12:25" x14ac:dyDescent="0.25">
      <c r="P59" s="55">
        <v>45689</v>
      </c>
      <c r="Q59" s="6">
        <v>26.43</v>
      </c>
      <c r="R59" s="6">
        <v>5954.5</v>
      </c>
      <c r="S59" s="6">
        <v>19524.009999999998</v>
      </c>
      <c r="T59" s="6">
        <v>43840.91</v>
      </c>
      <c r="U59" s="55">
        <v>45689</v>
      </c>
      <c r="V59" s="58">
        <f t="shared" si="0"/>
        <v>67.492339121552618</v>
      </c>
      <c r="W59" s="58">
        <f t="shared" si="1"/>
        <v>136.81146233979882</v>
      </c>
      <c r="X59" s="58">
        <f t="shared" si="2"/>
        <v>133.36682758022397</v>
      </c>
      <c r="Y59" s="58">
        <f t="shared" si="3"/>
        <v>127.31925919386281</v>
      </c>
    </row>
    <row r="60" spans="12:25" x14ac:dyDescent="0.25">
      <c r="P60" s="55">
        <v>45717</v>
      </c>
      <c r="Q60" s="6">
        <v>25.21</v>
      </c>
      <c r="R60" s="6">
        <v>5074.08</v>
      </c>
      <c r="S60" s="6">
        <v>15587.79</v>
      </c>
      <c r="T60" s="6">
        <v>38314.86</v>
      </c>
      <c r="U60" s="55">
        <v>45717</v>
      </c>
      <c r="V60" s="58">
        <f t="shared" si="0"/>
        <v>64.376915219611845</v>
      </c>
      <c r="W60" s="58">
        <f t="shared" si="1"/>
        <v>116.58280373316423</v>
      </c>
      <c r="X60" s="58">
        <f t="shared" si="2"/>
        <v>106.47884841724316</v>
      </c>
      <c r="Y60" s="58">
        <f t="shared" si="3"/>
        <v>111.27094741684344</v>
      </c>
    </row>
    <row r="61" spans="12:25" x14ac:dyDescent="0.25">
      <c r="P61" s="55">
        <v>45748</v>
      </c>
      <c r="Q61" s="6">
        <v>22.92</v>
      </c>
      <c r="R61" s="6">
        <v>5282.7</v>
      </c>
      <c r="S61" s="6">
        <v>16286.45</v>
      </c>
      <c r="T61" s="6">
        <v>39142.230000000003</v>
      </c>
      <c r="U61" s="55">
        <v>45748</v>
      </c>
      <c r="V61" s="58">
        <f t="shared" si="0"/>
        <v>58.529111338100115</v>
      </c>
      <c r="W61" s="58">
        <f t="shared" si="1"/>
        <v>121.37608734611725</v>
      </c>
      <c r="X61" s="58">
        <f t="shared" si="2"/>
        <v>111.25133458976606</v>
      </c>
      <c r="Y61" s="58">
        <f t="shared" si="3"/>
        <v>113.6737290990491</v>
      </c>
    </row>
    <row r="62" spans="12:25" x14ac:dyDescent="0.25">
      <c r="P62" s="55">
        <v>45778</v>
      </c>
      <c r="Q62" s="6">
        <v>23.49</v>
      </c>
      <c r="R62" s="6">
        <v>5802.82</v>
      </c>
      <c r="S62" s="6">
        <v>19113.77</v>
      </c>
      <c r="T62" s="6">
        <v>41603.07</v>
      </c>
      <c r="U62" s="55">
        <v>45778</v>
      </c>
      <c r="V62" s="58">
        <f t="shared" si="0"/>
        <v>59.984678243105215</v>
      </c>
      <c r="W62" s="58">
        <f t="shared" si="1"/>
        <v>133.32644048948382</v>
      </c>
      <c r="X62" s="58">
        <f t="shared" si="2"/>
        <v>130.56451353989561</v>
      </c>
      <c r="Y62" s="58">
        <f t="shared" si="3"/>
        <v>120.82030351537907</v>
      </c>
    </row>
    <row r="63" spans="12:25" x14ac:dyDescent="0.25">
      <c r="P63" s="55">
        <v>45809</v>
      </c>
      <c r="Q63" s="6">
        <v>25.38</v>
      </c>
      <c r="R63" s="6">
        <v>6279.35</v>
      </c>
      <c r="S63" s="6">
        <v>19447.41</v>
      </c>
      <c r="T63" s="6">
        <v>42206.82</v>
      </c>
      <c r="U63" s="55">
        <v>45809</v>
      </c>
      <c r="V63" s="58">
        <f t="shared" si="0"/>
        <v>64.811031664964247</v>
      </c>
      <c r="W63" s="58">
        <f t="shared" si="1"/>
        <v>144.27526342151577</v>
      </c>
      <c r="X63" s="58">
        <f t="shared" si="2"/>
        <v>132.84357959004956</v>
      </c>
      <c r="Y63" s="58">
        <f t="shared" si="3"/>
        <v>122.57366590540005</v>
      </c>
    </row>
    <row r="64" spans="12:25" x14ac:dyDescent="0.25">
      <c r="P64" s="55">
        <v>45839</v>
      </c>
      <c r="Q64" s="6">
        <v>24.79</v>
      </c>
      <c r="R64" s="6">
        <v>6238.01</v>
      </c>
      <c r="S64" s="6">
        <v>20650.13</v>
      </c>
      <c r="T64" s="6">
        <v>44901.919999999998</v>
      </c>
      <c r="U64" s="55">
        <v>45839</v>
      </c>
      <c r="V64" s="58">
        <f t="shared" si="0"/>
        <v>63.304392236976511</v>
      </c>
      <c r="W64" s="58">
        <f t="shared" si="1"/>
        <v>143.32542953905255</v>
      </c>
      <c r="X64" s="58">
        <f t="shared" si="2"/>
        <v>141.05925612715885</v>
      </c>
      <c r="Y64" s="58">
        <f t="shared" si="3"/>
        <v>130.40055944965766</v>
      </c>
    </row>
    <row r="65" spans="16:25" x14ac:dyDescent="0.25">
      <c r="P65" s="55">
        <v>45870</v>
      </c>
      <c r="Q65" s="6">
        <v>24.76</v>
      </c>
      <c r="R65" s="6">
        <v>6460.26</v>
      </c>
      <c r="S65" s="6">
        <v>21496.54</v>
      </c>
      <c r="T65" s="6">
        <v>45544.88</v>
      </c>
      <c r="U65" s="55">
        <v>45870</v>
      </c>
      <c r="V65" s="58">
        <f t="shared" si="0"/>
        <v>63.227783452502564</v>
      </c>
      <c r="W65" s="58">
        <f t="shared" si="1"/>
        <v>148.43187802423523</v>
      </c>
      <c r="X65" s="58">
        <f t="shared" si="2"/>
        <v>146.84100980031192</v>
      </c>
      <c r="Y65" s="58">
        <f t="shared" si="3"/>
        <v>132.26779238098337</v>
      </c>
    </row>
    <row r="66" spans="16:25" x14ac:dyDescent="0.25">
      <c r="P66" s="55">
        <v>45901</v>
      </c>
      <c r="Q66" s="6">
        <v>27.37</v>
      </c>
      <c r="R66" s="6">
        <v>6715.79</v>
      </c>
      <c r="S66" s="6">
        <v>22780.51</v>
      </c>
      <c r="T66" s="6">
        <v>46758.28</v>
      </c>
      <c r="U66" s="55">
        <v>45901</v>
      </c>
      <c r="V66" s="58">
        <f t="shared" si="0"/>
        <v>69.892747701736482</v>
      </c>
      <c r="W66" s="58">
        <f t="shared" si="1"/>
        <v>154.30297265379082</v>
      </c>
      <c r="X66" s="58">
        <f t="shared" si="2"/>
        <v>155.61169807634639</v>
      </c>
      <c r="Y66" s="58">
        <f t="shared" si="3"/>
        <v>135.7916514684392</v>
      </c>
    </row>
    <row r="67" spans="16:25" x14ac:dyDescent="0.25">
      <c r="P67" s="55">
        <v>45931</v>
      </c>
      <c r="Q67" s="6">
        <v>24.65</v>
      </c>
      <c r="R67" s="6">
        <v>6840.2</v>
      </c>
      <c r="S67" s="6">
        <v>23204.87</v>
      </c>
      <c r="T67" s="6">
        <v>47207.12</v>
      </c>
      <c r="U67" s="55">
        <v>45931</v>
      </c>
      <c r="V67" s="58">
        <f t="shared" si="0"/>
        <v>62.946884576098064</v>
      </c>
      <c r="W67" s="58">
        <f t="shared" si="1"/>
        <v>157.16143499818486</v>
      </c>
      <c r="X67" s="58">
        <f t="shared" si="2"/>
        <v>158.5104646182578</v>
      </c>
      <c r="Y67" s="58">
        <f t="shared" si="3"/>
        <v>137.09513664464959</v>
      </c>
    </row>
    <row r="68" spans="16:25" x14ac:dyDescent="0.25">
      <c r="P68" s="55">
        <v>45962</v>
      </c>
      <c r="Q68" s="6">
        <v>25.74</v>
      </c>
      <c r="R68" s="6">
        <v>6849.09</v>
      </c>
      <c r="S68" s="6">
        <v>23365.69</v>
      </c>
      <c r="T68" s="6">
        <v>46245.41</v>
      </c>
      <c r="U68" s="55">
        <v>45962</v>
      </c>
      <c r="V68" s="58">
        <f t="shared" si="0"/>
        <v>65.730337078651687</v>
      </c>
      <c r="W68" s="58">
        <f t="shared" si="1"/>
        <v>157.3656929375922</v>
      </c>
      <c r="X68" s="58">
        <f t="shared" si="2"/>
        <v>159.60901216107567</v>
      </c>
      <c r="Y68" s="58">
        <f t="shared" si="3"/>
        <v>134.30221549498984</v>
      </c>
    </row>
    <row r="69" spans="16:25" x14ac:dyDescent="0.25">
      <c r="P69" s="55">
        <v>45992</v>
      </c>
      <c r="Q69" s="6">
        <v>25.09</v>
      </c>
      <c r="R69" s="6">
        <v>6929.94</v>
      </c>
      <c r="S69" s="6">
        <v>23593.1</v>
      </c>
      <c r="T69" s="6">
        <v>48134.89</v>
      </c>
      <c r="U69" s="55">
        <v>45992</v>
      </c>
      <c r="V69" s="58">
        <f t="shared" si="0"/>
        <v>64.070480081716042</v>
      </c>
      <c r="W69" s="58">
        <f t="shared" si="1"/>
        <v>159.22331435503659</v>
      </c>
      <c r="X69" s="58">
        <f t="shared" si="2"/>
        <v>161.16243024783236</v>
      </c>
      <c r="Y69" s="58">
        <f t="shared" si="3"/>
        <v>139.78949196488105</v>
      </c>
    </row>
    <row r="70" spans="16:25" x14ac:dyDescent="0.25">
      <c r="P70" s="55">
        <v>46023</v>
      </c>
      <c r="Q70" s="6">
        <v>25.65</v>
      </c>
      <c r="R70" s="6">
        <v>6939.03</v>
      </c>
      <c r="S70" s="6">
        <v>23461.82</v>
      </c>
      <c r="T70" s="6">
        <v>49098.71</v>
      </c>
      <c r="U70" s="55">
        <v>46023</v>
      </c>
      <c r="V70" s="58">
        <f t="shared" si="0"/>
        <v>65.50051072522983</v>
      </c>
      <c r="W70" s="58">
        <f t="shared" si="1"/>
        <v>159.4321675236769</v>
      </c>
      <c r="X70" s="58">
        <f t="shared" si="2"/>
        <v>160.26566789600344</v>
      </c>
      <c r="Y70" s="58">
        <f t="shared" si="3"/>
        <v>142.58854080753122</v>
      </c>
    </row>
    <row r="71" spans="16:25" x14ac:dyDescent="0.25">
      <c r="P71" s="55">
        <v>46054</v>
      </c>
      <c r="Q71" s="6">
        <v>27.65</v>
      </c>
      <c r="R71" s="6">
        <v>6909.51</v>
      </c>
      <c r="S71" s="6">
        <v>22668.21</v>
      </c>
      <c r="T71" s="6">
        <v>48977.919999999998</v>
      </c>
      <c r="U71" s="55">
        <v>46054</v>
      </c>
      <c r="V71" s="58">
        <f t="shared" si="0"/>
        <v>70.607763023493362</v>
      </c>
      <c r="W71" s="58">
        <f t="shared" si="1"/>
        <v>158.75391168888459</v>
      </c>
      <c r="X71" s="58">
        <f t="shared" si="2"/>
        <v>154.84458646673036</v>
      </c>
      <c r="Y71" s="58">
        <f t="shared" si="3"/>
        <v>142.23775216473098</v>
      </c>
    </row>
    <row r="72" spans="16:25" x14ac:dyDescent="0.25">
      <c r="P72" s="55">
        <v>46082</v>
      </c>
      <c r="Q72" s="6">
        <v>28.32</v>
      </c>
      <c r="R72" s="6">
        <v>6368.85</v>
      </c>
      <c r="S72" s="6">
        <v>20948.36</v>
      </c>
      <c r="T72" s="6">
        <v>45577.47</v>
      </c>
      <c r="U72" s="55">
        <v>46082</v>
      </c>
      <c r="V72" s="58">
        <f t="shared" si="0"/>
        <v>72.318692543411657</v>
      </c>
      <c r="W72" s="58">
        <f t="shared" si="1"/>
        <v>146.3316285032879</v>
      </c>
      <c r="X72" s="58">
        <f t="shared" si="2"/>
        <v>143.09643952284702</v>
      </c>
      <c r="Y72" s="58">
        <f t="shared" si="3"/>
        <v>132.36243764854575</v>
      </c>
    </row>
    <row r="73" spans="16:25" x14ac:dyDescent="0.25">
      <c r="P73" s="55">
        <v>46113</v>
      </c>
      <c r="Q73" s="6">
        <v>26.33</v>
      </c>
      <c r="R73" s="6">
        <v>7123.06</v>
      </c>
      <c r="S73" s="6">
        <v>24468.48</v>
      </c>
      <c r="T73" s="6">
        <v>49447.43</v>
      </c>
      <c r="U73" s="55">
        <v>46113</v>
      </c>
      <c r="V73" s="58">
        <f t="shared" si="0"/>
        <v>67.236976506639436</v>
      </c>
      <c r="W73" s="58">
        <f t="shared" si="1"/>
        <v>163.66046770243133</v>
      </c>
      <c r="X73" s="58">
        <f t="shared" si="2"/>
        <v>167.14207549115977</v>
      </c>
      <c r="Y73" s="58">
        <f t="shared" si="3"/>
        <v>143.60126549928793</v>
      </c>
    </row>
    <row r="74" spans="16:25" x14ac:dyDescent="0.25">
      <c r="P74" s="55">
        <v>46143</v>
      </c>
      <c r="Q74" s="6">
        <v>25.9</v>
      </c>
      <c r="R74" s="6">
        <v>7473.47</v>
      </c>
      <c r="S74" s="6">
        <v>26343.97</v>
      </c>
      <c r="T74" s="6">
        <v>50579.7</v>
      </c>
      <c r="U74" s="55">
        <v>46143</v>
      </c>
      <c r="V74" s="58">
        <f t="shared" si="0"/>
        <v>66.138917262512777</v>
      </c>
      <c r="W74" s="58">
        <f t="shared" si="1"/>
        <v>171.71153908012701</v>
      </c>
      <c r="X74" s="58">
        <f t="shared" si="2"/>
        <v>179.95338584484401</v>
      </c>
      <c r="Y74" s="58">
        <f t="shared" si="3"/>
        <v>146.88951333920352</v>
      </c>
    </row>
    <row r="75" spans="16:25" x14ac:dyDescent="0.25">
      <c r="P75" s="55">
        <v>46174</v>
      </c>
      <c r="Q75" s="59">
        <v>25.09</v>
      </c>
      <c r="R75" s="6">
        <v>7425.29</v>
      </c>
      <c r="S75" s="6">
        <v>25883.49</v>
      </c>
      <c r="T75" s="6">
        <v>51200.15</v>
      </c>
      <c r="U75" s="55">
        <v>46174</v>
      </c>
      <c r="V75" s="58">
        <f t="shared" si="0"/>
        <v>64.070480081716042</v>
      </c>
      <c r="W75" s="58">
        <f t="shared" si="1"/>
        <v>170.60454835789483</v>
      </c>
      <c r="X75" s="58">
        <f t="shared" si="2"/>
        <v>176.80788669973288</v>
      </c>
      <c r="Y75" s="58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D5A1-E7D4-498B-AED6-E950E44E2697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4.1500000000000002E-2</v>
      </c>
      <c r="C7" s="41"/>
      <c r="P7">
        <v>2026</v>
      </c>
      <c r="Q7" s="26">
        <f>D28</f>
        <v>15663012700</v>
      </c>
      <c r="R7" s="26"/>
      <c r="S7" t="s">
        <v>41</v>
      </c>
      <c r="T7" s="16">
        <f>B40</f>
        <v>73.018982836050554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16446163335</v>
      </c>
      <c r="R8" s="26"/>
      <c r="S8" t="s">
        <v>55</v>
      </c>
      <c r="T8" s="16">
        <v>48.02</v>
      </c>
    </row>
    <row r="9" spans="1:26" x14ac:dyDescent="0.25">
      <c r="A9" s="40" t="s">
        <v>5</v>
      </c>
      <c r="B9" s="33" t="s">
        <v>93</v>
      </c>
      <c r="C9" s="41"/>
      <c r="P9">
        <v>2028</v>
      </c>
      <c r="Q9" s="26">
        <f>F28</f>
        <v>17432933135.099998</v>
      </c>
      <c r="R9" s="26"/>
      <c r="S9" t="s">
        <v>8</v>
      </c>
      <c r="T9" s="16">
        <f>B12</f>
        <v>25</v>
      </c>
    </row>
    <row r="10" spans="1:26" x14ac:dyDescent="0.25">
      <c r="A10" s="40" t="s">
        <v>6</v>
      </c>
      <c r="B10" s="34">
        <v>46195</v>
      </c>
      <c r="C10" s="41"/>
      <c r="P10">
        <v>2029</v>
      </c>
      <c r="Q10" s="26">
        <f>G28</f>
        <v>18653238454.557003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20145497530.921566</v>
      </c>
      <c r="R11" s="26"/>
    </row>
    <row r="12" spans="1:26" x14ac:dyDescent="0.25">
      <c r="A12" s="40" t="s">
        <v>8</v>
      </c>
      <c r="B12" s="35">
        <v>25</v>
      </c>
      <c r="C12" s="41" t="s">
        <v>78</v>
      </c>
      <c r="P12">
        <v>2031</v>
      </c>
      <c r="Q12" s="26">
        <f>I28</f>
        <v>21152772407.467636</v>
      </c>
      <c r="R12" s="26"/>
    </row>
    <row r="13" spans="1:26" x14ac:dyDescent="0.25">
      <c r="A13" s="40" t="s">
        <v>9</v>
      </c>
      <c r="B13" s="36">
        <v>5709000000</v>
      </c>
      <c r="C13" s="41"/>
    </row>
    <row r="14" spans="1:26" x14ac:dyDescent="0.25">
      <c r="A14" s="40" t="s">
        <v>10</v>
      </c>
      <c r="B14" s="35">
        <v>64460000000</v>
      </c>
      <c r="C14" s="41"/>
      <c r="P14" s="6" t="s">
        <v>16</v>
      </c>
      <c r="Q14" s="6" t="s">
        <v>84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14984000000</v>
      </c>
      <c r="C15" s="41"/>
      <c r="P15" s="55">
        <v>44348</v>
      </c>
      <c r="Q15" s="56">
        <v>39.159999999999997</v>
      </c>
      <c r="R15" s="6">
        <v>4352.34</v>
      </c>
      <c r="S15" s="6">
        <v>14639.33</v>
      </c>
      <c r="T15" s="6">
        <v>34433.839999999997</v>
      </c>
      <c r="U15" s="55">
        <v>44348</v>
      </c>
      <c r="V15" s="57">
        <f t="shared" ref="V15:V75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95</v>
      </c>
      <c r="C16" s="41"/>
      <c r="P16" s="55">
        <v>44378</v>
      </c>
      <c r="Q16" s="6">
        <v>42.81</v>
      </c>
      <c r="R16" s="6">
        <v>4395.26</v>
      </c>
      <c r="S16" s="6">
        <v>14672.68</v>
      </c>
      <c r="T16" s="6">
        <v>35061.550000000003</v>
      </c>
      <c r="U16" s="55">
        <v>44378</v>
      </c>
      <c r="V16" s="58">
        <f t="shared" si="0"/>
        <v>109.32073544433096</v>
      </c>
      <c r="W16" s="58">
        <f>(R16/$R$15)*100</f>
        <v>100.98613619340402</v>
      </c>
      <c r="X16" s="58">
        <f>(S16/$S$15)*100</f>
        <v>100.22781097222347</v>
      </c>
      <c r="Y16" s="58">
        <f>(T16/$T$15)*100</f>
        <v>101.82294510284071</v>
      </c>
      <c r="Z16" t="s">
        <v>74</v>
      </c>
    </row>
    <row r="17" spans="1:25" x14ac:dyDescent="0.25">
      <c r="A17" s="42" t="s">
        <v>88</v>
      </c>
      <c r="B17" s="43"/>
      <c r="C17" s="44"/>
      <c r="P17" s="55">
        <v>44409</v>
      </c>
      <c r="Q17" s="6">
        <v>46.6</v>
      </c>
      <c r="R17" s="6">
        <v>4509.37</v>
      </c>
      <c r="S17" s="6">
        <v>14714.66</v>
      </c>
      <c r="T17" s="6">
        <v>35120.080000000002</v>
      </c>
      <c r="U17" s="55">
        <v>44409</v>
      </c>
      <c r="V17" s="58">
        <f t="shared" si="0"/>
        <v>118.99897854954035</v>
      </c>
      <c r="W17" s="58">
        <f>(R17/$R$15)*100</f>
        <v>103.60794423229802</v>
      </c>
      <c r="X17" s="58">
        <f>(S17/$S$15)*100</f>
        <v>100.5145727297629</v>
      </c>
      <c r="Y17" s="58">
        <f>(T17/$T$15)*100</f>
        <v>101.9929232406261</v>
      </c>
    </row>
    <row r="18" spans="1:25" x14ac:dyDescent="0.25">
      <c r="P18" s="55">
        <v>44440</v>
      </c>
      <c r="Q18" s="6">
        <v>42.93</v>
      </c>
      <c r="R18" s="6">
        <v>4455.4799999999996</v>
      </c>
      <c r="S18" s="6">
        <v>15047.7</v>
      </c>
      <c r="T18" s="6">
        <v>34326.46</v>
      </c>
      <c r="U18" s="55">
        <v>44440</v>
      </c>
      <c r="V18" s="58">
        <f t="shared" si="0"/>
        <v>109.62717058222677</v>
      </c>
      <c r="W18" s="58">
        <f t="shared" ref="W18:W75" si="1">(R18/$R$15)*100</f>
        <v>102.36975971546339</v>
      </c>
      <c r="X18" s="58">
        <f t="shared" ref="X18:X75" si="2">(S18/$S$15)*100</f>
        <v>102.78954023169094</v>
      </c>
      <c r="Y18" s="58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5">
        <v>44470</v>
      </c>
      <c r="Q19" s="6">
        <v>43.74</v>
      </c>
      <c r="R19" s="6">
        <v>4544.8999999999996</v>
      </c>
      <c r="S19" s="6">
        <v>15498.39</v>
      </c>
      <c r="T19" s="6">
        <v>35677.019999999997</v>
      </c>
      <c r="U19" s="55">
        <v>44470</v>
      </c>
      <c r="V19" s="58">
        <f t="shared" si="0"/>
        <v>111.69560776302352</v>
      </c>
      <c r="W19" s="58">
        <f t="shared" si="1"/>
        <v>104.42428670554229</v>
      </c>
      <c r="X19" s="58">
        <f t="shared" si="2"/>
        <v>105.86816473158265</v>
      </c>
      <c r="Y19" s="58">
        <f t="shared" si="3"/>
        <v>103.61034377809737</v>
      </c>
    </row>
    <row r="20" spans="1:25" x14ac:dyDescent="0.25">
      <c r="A20" t="s">
        <v>16</v>
      </c>
      <c r="C20" s="7">
        <v>46195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1314035861676.0195</v>
      </c>
      <c r="P20" s="55">
        <v>44501</v>
      </c>
      <c r="Q20" s="6">
        <v>54.27</v>
      </c>
      <c r="R20" s="6">
        <v>4594.62</v>
      </c>
      <c r="S20" s="6">
        <v>15085.47</v>
      </c>
      <c r="T20" s="6">
        <v>34889.339999999997</v>
      </c>
      <c r="U20" s="55">
        <v>44501</v>
      </c>
      <c r="V20" s="58">
        <f t="shared" si="0"/>
        <v>138.58529111338103</v>
      </c>
      <c r="W20" s="58">
        <f t="shared" si="1"/>
        <v>105.56666069286867</v>
      </c>
      <c r="X20" s="58">
        <f t="shared" si="2"/>
        <v>103.04754384251191</v>
      </c>
      <c r="Y20" s="58">
        <f t="shared" si="3"/>
        <v>101.32282661474873</v>
      </c>
    </row>
    <row r="21" spans="1:25" x14ac:dyDescent="0.25">
      <c r="A21" t="s">
        <v>18</v>
      </c>
      <c r="D21" s="5">
        <v>62627000000</v>
      </c>
      <c r="E21" s="5">
        <f>D21*1.05</f>
        <v>65758350000</v>
      </c>
      <c r="F21" s="5">
        <f>E21*1.06</f>
        <v>69703851000</v>
      </c>
      <c r="G21" s="5">
        <f>F21*1.07</f>
        <v>74583120570</v>
      </c>
      <c r="H21" s="5">
        <f>G21*1.08</f>
        <v>80549770215.600006</v>
      </c>
      <c r="I21" s="5">
        <f>H21*1.05</f>
        <v>84577258726.380005</v>
      </c>
      <c r="L21" t="s">
        <v>19</v>
      </c>
      <c r="M21" s="13">
        <f>(I22+I25)*9</f>
        <v>258806411702.72281</v>
      </c>
      <c r="P21" s="55">
        <v>44531</v>
      </c>
      <c r="Q21" s="6">
        <v>58.71</v>
      </c>
      <c r="R21" s="6">
        <v>4766.18</v>
      </c>
      <c r="S21" s="6">
        <v>15653.37</v>
      </c>
      <c r="T21" s="6">
        <v>35950.559999999998</v>
      </c>
      <c r="U21" s="55">
        <v>44531</v>
      </c>
      <c r="V21" s="58">
        <f t="shared" si="0"/>
        <v>149.92339121552607</v>
      </c>
      <c r="W21" s="58">
        <f t="shared" si="1"/>
        <v>109.50844832894488</v>
      </c>
      <c r="X21" s="58">
        <f t="shared" si="2"/>
        <v>106.92681973833503</v>
      </c>
      <c r="Y21" s="58">
        <f t="shared" si="3"/>
        <v>104.40473673572276</v>
      </c>
    </row>
    <row r="22" spans="1:25" x14ac:dyDescent="0.25">
      <c r="A22" t="s">
        <v>77</v>
      </c>
      <c r="B22" t="s">
        <v>125</v>
      </c>
      <c r="C22" s="25">
        <v>0.23</v>
      </c>
      <c r="D22" s="5">
        <f>D21*$C$22</f>
        <v>14404210000</v>
      </c>
      <c r="E22" s="5">
        <f t="shared" ref="E22:I22" si="4">E21*$C$22</f>
        <v>15124420500</v>
      </c>
      <c r="F22" s="5">
        <f t="shared" si="4"/>
        <v>16031885730</v>
      </c>
      <c r="G22" s="5">
        <f t="shared" si="4"/>
        <v>17154117731.1</v>
      </c>
      <c r="H22" s="5">
        <f t="shared" si="4"/>
        <v>18526447149.588001</v>
      </c>
      <c r="I22" s="5">
        <f t="shared" si="4"/>
        <v>19452769507.067402</v>
      </c>
      <c r="L22" t="s">
        <v>20</v>
      </c>
      <c r="M22" s="13">
        <f>(M20+M21)/2</f>
        <v>786421136689.37122</v>
      </c>
      <c r="P22" s="55">
        <v>44562</v>
      </c>
      <c r="Q22" s="6">
        <v>54.33</v>
      </c>
      <c r="R22" s="6">
        <v>4500.53</v>
      </c>
      <c r="S22" s="6">
        <v>13770.57</v>
      </c>
      <c r="T22" s="6">
        <v>34725.47</v>
      </c>
      <c r="U22" s="55">
        <v>44562</v>
      </c>
      <c r="V22" s="58">
        <f t="shared" si="0"/>
        <v>138.7385086823289</v>
      </c>
      <c r="W22" s="58">
        <f t="shared" si="1"/>
        <v>103.40483510019895</v>
      </c>
      <c r="X22" s="58">
        <f t="shared" si="2"/>
        <v>94.065575405431801</v>
      </c>
      <c r="Y22" s="58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1872547300</v>
      </c>
      <c r="E23" s="30">
        <f t="shared" ref="E23:I23" si="5">E22*$B$6</f>
        <v>1966174665</v>
      </c>
      <c r="F23" s="5">
        <f t="shared" si="5"/>
        <v>2084145144.9000001</v>
      </c>
      <c r="G23" s="30">
        <f t="shared" si="5"/>
        <v>2230035305.0430002</v>
      </c>
      <c r="H23" s="30">
        <f t="shared" si="5"/>
        <v>2408438129.4464402</v>
      </c>
      <c r="I23" s="5">
        <f t="shared" si="5"/>
        <v>2528860035.9187622</v>
      </c>
      <c r="P23" s="55">
        <v>44593</v>
      </c>
      <c r="Q23" s="6">
        <v>47.72</v>
      </c>
      <c r="R23" s="6">
        <v>4384.6499999999996</v>
      </c>
      <c r="S23" s="6">
        <v>13313.44</v>
      </c>
      <c r="T23" s="6">
        <v>34058.75</v>
      </c>
      <c r="U23" s="55">
        <v>44593</v>
      </c>
      <c r="V23" s="58">
        <f t="shared" si="0"/>
        <v>121.85903983656794</v>
      </c>
      <c r="W23" s="58">
        <f t="shared" si="1"/>
        <v>100.74235928259282</v>
      </c>
      <c r="X23" s="58">
        <f t="shared" si="2"/>
        <v>90.942959821248664</v>
      </c>
      <c r="Y23" s="58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12531662700</v>
      </c>
      <c r="E24" s="5">
        <f t="shared" ref="E24:I24" si="6">E22*(1-$B$6)</f>
        <v>13158245835</v>
      </c>
      <c r="F24" s="5">
        <f t="shared" si="6"/>
        <v>13947740585.1</v>
      </c>
      <c r="G24" s="5">
        <f t="shared" si="6"/>
        <v>14924082426.057001</v>
      </c>
      <c r="H24" s="5">
        <f t="shared" si="6"/>
        <v>16118009020.141562</v>
      </c>
      <c r="I24" s="5">
        <f t="shared" si="6"/>
        <v>16923909471.14864</v>
      </c>
      <c r="P24" s="55">
        <v>44621</v>
      </c>
      <c r="Q24" s="6">
        <v>52.78</v>
      </c>
      <c r="R24" s="6">
        <v>4543.0600000000004</v>
      </c>
      <c r="S24" s="6">
        <v>14169.3</v>
      </c>
      <c r="T24" s="6">
        <v>34861.24</v>
      </c>
      <c r="U24" s="55">
        <v>44621</v>
      </c>
      <c r="V24" s="58">
        <f t="shared" si="0"/>
        <v>134.78038815117469</v>
      </c>
      <c r="W24" s="58">
        <f t="shared" si="1"/>
        <v>104.38201059659862</v>
      </c>
      <c r="X24" s="58">
        <f t="shared" si="2"/>
        <v>96.789265628959782</v>
      </c>
      <c r="Y24" s="58">
        <f t="shared" si="3"/>
        <v>101.24122084554033</v>
      </c>
    </row>
    <row r="25" spans="1:25" x14ac:dyDescent="0.25">
      <c r="A25" s="4" t="s">
        <v>25</v>
      </c>
      <c r="B25" s="8" t="s">
        <v>92</v>
      </c>
      <c r="C25" s="25">
        <v>0.11</v>
      </c>
      <c r="D25" s="12">
        <f>D21*$C$25</f>
        <v>6888970000</v>
      </c>
      <c r="E25" s="12">
        <f t="shared" ref="E25:I25" si="7">E21*$C$25</f>
        <v>7233418500</v>
      </c>
      <c r="F25" s="12">
        <f t="shared" si="7"/>
        <v>7667423610</v>
      </c>
      <c r="G25" s="12">
        <f t="shared" si="7"/>
        <v>8204143262.6999998</v>
      </c>
      <c r="H25" s="12">
        <f t="shared" si="7"/>
        <v>8860474723.7160015</v>
      </c>
      <c r="I25" s="12">
        <f t="shared" si="7"/>
        <v>9303498459.9018002</v>
      </c>
      <c r="P25" s="55">
        <v>44652</v>
      </c>
      <c r="Q25" s="6">
        <v>49.07</v>
      </c>
      <c r="R25" s="6">
        <v>4271.78</v>
      </c>
      <c r="S25" s="6">
        <v>12839.29</v>
      </c>
      <c r="T25" s="6">
        <v>33811.4</v>
      </c>
      <c r="U25" s="55">
        <v>44652</v>
      </c>
      <c r="V25" s="58">
        <f t="shared" si="0"/>
        <v>125.30643513789583</v>
      </c>
      <c r="W25" s="58">
        <f t="shared" si="1"/>
        <v>98.149041664943454</v>
      </c>
      <c r="X25" s="58">
        <f t="shared" si="2"/>
        <v>87.704082085723883</v>
      </c>
      <c r="Y25" s="58">
        <f t="shared" si="3"/>
        <v>98.192359609035776</v>
      </c>
    </row>
    <row r="26" spans="1:25" x14ac:dyDescent="0.25">
      <c r="A26" t="s">
        <v>26</v>
      </c>
      <c r="B26" t="s">
        <v>82</v>
      </c>
      <c r="C26" s="25">
        <v>0.03</v>
      </c>
      <c r="D26" s="10">
        <f>D21*$C$26</f>
        <v>1878810000</v>
      </c>
      <c r="E26" s="10">
        <f t="shared" ref="E26:I26" si="8">E21*$C$26</f>
        <v>1972750500</v>
      </c>
      <c r="F26" s="10">
        <f t="shared" si="8"/>
        <v>2091115530</v>
      </c>
      <c r="G26" s="10">
        <f t="shared" si="8"/>
        <v>2237493617.0999999</v>
      </c>
      <c r="H26" s="10">
        <f t="shared" si="8"/>
        <v>2416493106.4679999</v>
      </c>
      <c r="I26" s="10">
        <f t="shared" si="8"/>
        <v>2537317761.7914</v>
      </c>
      <c r="P26" s="55">
        <v>44682</v>
      </c>
      <c r="Q26" s="6">
        <v>53.91</v>
      </c>
      <c r="R26" s="6">
        <v>4158.24</v>
      </c>
      <c r="S26" s="6">
        <v>11354.62</v>
      </c>
      <c r="T26" s="6">
        <v>33212.959999999999</v>
      </c>
      <c r="U26" s="55">
        <v>44682</v>
      </c>
      <c r="V26" s="58">
        <f t="shared" si="0"/>
        <v>137.66598569969358</v>
      </c>
      <c r="W26" s="58">
        <f t="shared" si="1"/>
        <v>95.540330029363503</v>
      </c>
      <c r="X26" s="58">
        <f t="shared" si="2"/>
        <v>77.562429428122741</v>
      </c>
      <c r="Y26" s="58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0.03</v>
      </c>
      <c r="D27" s="10">
        <f>D21*$C$27</f>
        <v>1878810000</v>
      </c>
      <c r="E27" s="10">
        <f t="shared" ref="E27:I27" si="9">E21*$C$27</f>
        <v>1972750500</v>
      </c>
      <c r="F27" s="10">
        <f t="shared" si="9"/>
        <v>2091115530</v>
      </c>
      <c r="G27" s="10">
        <f t="shared" si="9"/>
        <v>2237493617.0999999</v>
      </c>
      <c r="H27" s="10">
        <f t="shared" si="9"/>
        <v>2416493106.4679999</v>
      </c>
      <c r="I27" s="10">
        <f t="shared" si="9"/>
        <v>2537317761.7914</v>
      </c>
      <c r="P27" s="55">
        <v>44713</v>
      </c>
      <c r="Q27" s="58">
        <v>52.31</v>
      </c>
      <c r="R27" s="6">
        <v>3911.74</v>
      </c>
      <c r="S27" s="6">
        <v>11127.85</v>
      </c>
      <c r="T27" s="6">
        <v>31097.26</v>
      </c>
      <c r="U27" s="55">
        <v>44713</v>
      </c>
      <c r="V27" s="58">
        <f t="shared" si="0"/>
        <v>133.58018386108276</v>
      </c>
      <c r="W27" s="58">
        <f t="shared" si="1"/>
        <v>89.876709999678326</v>
      </c>
      <c r="X27" s="58">
        <f t="shared" si="2"/>
        <v>76.01338312614034</v>
      </c>
      <c r="Y27" s="58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15663012700</v>
      </c>
      <c r="E28" s="12">
        <f t="shared" ref="E28:I28" si="10">E24+E25-E26-E27</f>
        <v>16446163335</v>
      </c>
      <c r="F28" s="12">
        <f t="shared" si="10"/>
        <v>17432933135.099998</v>
      </c>
      <c r="G28" s="12">
        <f t="shared" si="10"/>
        <v>18653238454.557003</v>
      </c>
      <c r="H28" s="12">
        <f t="shared" si="10"/>
        <v>20145497530.921566</v>
      </c>
      <c r="I28" s="12">
        <f t="shared" si="10"/>
        <v>21152772407.467636</v>
      </c>
      <c r="P28" s="55">
        <v>44743</v>
      </c>
      <c r="Q28" s="6">
        <v>50.51</v>
      </c>
      <c r="R28" s="6">
        <v>4130.29</v>
      </c>
      <c r="S28" s="6">
        <v>12390.69</v>
      </c>
      <c r="T28" s="6">
        <v>32845.129999999997</v>
      </c>
      <c r="U28" s="55">
        <v>44743</v>
      </c>
      <c r="V28" s="58">
        <f t="shared" si="0"/>
        <v>128.98365679264558</v>
      </c>
      <c r="W28" s="58">
        <f t="shared" si="1"/>
        <v>94.898146744050322</v>
      </c>
      <c r="X28" s="58">
        <f t="shared" si="2"/>
        <v>84.63973419548573</v>
      </c>
      <c r="Y28" s="58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5">
        <v>44774</v>
      </c>
      <c r="Q29" s="6">
        <v>46.82</v>
      </c>
      <c r="R29" s="6">
        <v>3924.26</v>
      </c>
      <c r="S29" s="6">
        <v>12141.71</v>
      </c>
      <c r="T29" s="6">
        <v>31318.44</v>
      </c>
      <c r="U29" s="55">
        <v>44774</v>
      </c>
      <c r="V29" s="58">
        <f t="shared" si="0"/>
        <v>119.56077630234934</v>
      </c>
      <c r="W29" s="58">
        <f t="shared" si="1"/>
        <v>90.164371349664791</v>
      </c>
      <c r="X29" s="58">
        <f t="shared" si="2"/>
        <v>82.938973300007575</v>
      </c>
      <c r="Y29" s="58">
        <f t="shared" si="3"/>
        <v>90.95250486149672</v>
      </c>
    </row>
    <row r="30" spans="1:25" x14ac:dyDescent="0.25">
      <c r="A30" t="s">
        <v>36</v>
      </c>
      <c r="C30" s="13">
        <f>-G39</f>
        <v>-192201000000</v>
      </c>
      <c r="D30" s="5">
        <f>D28</f>
        <v>15663012700</v>
      </c>
      <c r="E30" s="5">
        <f t="shared" ref="E30:I30" si="11">E28</f>
        <v>16446163335</v>
      </c>
      <c r="F30" s="5">
        <f t="shared" si="11"/>
        <v>17432933135.099998</v>
      </c>
      <c r="G30" s="5">
        <f t="shared" si="11"/>
        <v>18653238454.557003</v>
      </c>
      <c r="H30" s="5">
        <f t="shared" si="11"/>
        <v>20145497530.921566</v>
      </c>
      <c r="I30" s="5">
        <f t="shared" si="11"/>
        <v>21152772407.467636</v>
      </c>
      <c r="J30" s="13">
        <f>I28+M22</f>
        <v>807573909096.83887</v>
      </c>
      <c r="K30" t="s">
        <v>38</v>
      </c>
      <c r="P30" s="55">
        <v>44805</v>
      </c>
      <c r="Q30" s="6">
        <v>43.76</v>
      </c>
      <c r="R30" s="6">
        <v>3585.62</v>
      </c>
      <c r="S30" s="6">
        <v>10867.93</v>
      </c>
      <c r="T30" s="6">
        <v>30822.42</v>
      </c>
      <c r="U30" s="55">
        <v>44805</v>
      </c>
      <c r="V30" s="58">
        <f t="shared" si="0"/>
        <v>111.74668028600614</v>
      </c>
      <c r="W30" s="58">
        <f t="shared" si="1"/>
        <v>82.383729212331744</v>
      </c>
      <c r="X30" s="58">
        <f t="shared" si="2"/>
        <v>74.237892034676463</v>
      </c>
      <c r="Y30" s="58">
        <f t="shared" si="3"/>
        <v>89.512003308373394</v>
      </c>
    </row>
    <row r="31" spans="1:25" x14ac:dyDescent="0.25">
      <c r="A31" t="s">
        <v>37</v>
      </c>
      <c r="D31" s="6">
        <f>1/(1+$B$7)^D29</f>
        <v>0.97987429019233518</v>
      </c>
      <c r="E31" s="6">
        <f t="shared" ref="E31:I31" si="12">1/(1+$B$7)^E29</f>
        <v>0.94082985136085939</v>
      </c>
      <c r="F31" s="6">
        <f t="shared" si="12"/>
        <v>0.90334119189712858</v>
      </c>
      <c r="G31" s="6">
        <f t="shared" si="12"/>
        <v>0.86734631963238451</v>
      </c>
      <c r="H31" s="6">
        <f t="shared" si="12"/>
        <v>0.83278571256109879</v>
      </c>
      <c r="I31" s="6">
        <f t="shared" si="12"/>
        <v>0.81602530897812486</v>
      </c>
      <c r="J31" t="s">
        <v>39</v>
      </c>
      <c r="P31" s="55">
        <v>44835</v>
      </c>
      <c r="Q31" s="6">
        <v>47.43</v>
      </c>
      <c r="R31" s="6">
        <v>3901.06</v>
      </c>
      <c r="S31" s="6">
        <v>11102.45</v>
      </c>
      <c r="T31" s="6">
        <v>32861.800000000003</v>
      </c>
      <c r="U31" s="55">
        <v>44835</v>
      </c>
      <c r="V31" s="58">
        <f t="shared" si="0"/>
        <v>121.11848825331973</v>
      </c>
      <c r="W31" s="58">
        <f t="shared" si="1"/>
        <v>89.631324758635571</v>
      </c>
      <c r="X31" s="58">
        <f t="shared" si="2"/>
        <v>75.839877917910187</v>
      </c>
      <c r="Y31" s="58">
        <f t="shared" si="3"/>
        <v>95.434607351372975</v>
      </c>
    </row>
    <row r="32" spans="1:25" x14ac:dyDescent="0.25">
      <c r="A32" t="s">
        <v>40</v>
      </c>
      <c r="C32" s="13">
        <f>-G39</f>
        <v>-192201000000</v>
      </c>
      <c r="D32" s="5">
        <f>D30*D31</f>
        <v>15347783451.686031</v>
      </c>
      <c r="E32" s="5">
        <f t="shared" ref="E32:I32" si="13">E30*E31</f>
        <v>15473041405.924465</v>
      </c>
      <c r="F32" s="5">
        <f t="shared" si="13"/>
        <v>15747886596.524179</v>
      </c>
      <c r="G32" s="5">
        <f t="shared" si="13"/>
        <v>16178817722.785284</v>
      </c>
      <c r="H32" s="5">
        <f t="shared" si="13"/>
        <v>16776882516.186373</v>
      </c>
      <c r="I32" s="5">
        <f t="shared" si="13"/>
        <v>17261197639.547733</v>
      </c>
      <c r="J32" s="14">
        <f>M22</f>
        <v>786421136689.37122</v>
      </c>
      <c r="P32" s="55">
        <v>44866</v>
      </c>
      <c r="Q32" s="6">
        <v>49.21</v>
      </c>
      <c r="R32" s="6">
        <v>4026.12</v>
      </c>
      <c r="S32" s="6">
        <v>11226.36</v>
      </c>
      <c r="T32" s="6">
        <v>34429.879999999997</v>
      </c>
      <c r="U32" s="55">
        <v>44866</v>
      </c>
      <c r="V32" s="58">
        <f t="shared" si="0"/>
        <v>125.66394279877426</v>
      </c>
      <c r="W32" s="58">
        <f t="shared" si="1"/>
        <v>92.504721598036909</v>
      </c>
      <c r="X32" s="58">
        <f t="shared" si="2"/>
        <v>76.686296435697543</v>
      </c>
      <c r="Y32" s="58">
        <f t="shared" si="3"/>
        <v>99.988499685193403</v>
      </c>
    </row>
    <row r="33" spans="1:25" x14ac:dyDescent="0.25">
      <c r="A33" t="s">
        <v>56</v>
      </c>
      <c r="C33" s="29">
        <v>-192201</v>
      </c>
      <c r="D33" s="45">
        <v>15348</v>
      </c>
      <c r="E33" s="24">
        <v>15473</v>
      </c>
      <c r="F33" s="24">
        <v>15748</v>
      </c>
      <c r="G33" s="24">
        <v>16179</v>
      </c>
      <c r="H33" s="24">
        <v>16777</v>
      </c>
      <c r="I33" s="24">
        <v>17261</v>
      </c>
      <c r="J33" s="24">
        <v>786421</v>
      </c>
      <c r="P33" s="55">
        <v>44896</v>
      </c>
      <c r="Q33" s="6">
        <v>51.83</v>
      </c>
      <c r="R33" s="6">
        <v>3839.5</v>
      </c>
      <c r="S33" s="6">
        <v>10466.48</v>
      </c>
      <c r="T33" s="6">
        <v>33203.93</v>
      </c>
      <c r="U33" s="55">
        <v>44896</v>
      </c>
      <c r="V33" s="58">
        <f t="shared" si="0"/>
        <v>132.35444330949952</v>
      </c>
      <c r="W33" s="58">
        <f t="shared" si="1"/>
        <v>88.216913200715013</v>
      </c>
      <c r="X33" s="58">
        <f t="shared" si="2"/>
        <v>71.495621725857674</v>
      </c>
      <c r="Y33" s="58">
        <f t="shared" si="3"/>
        <v>96.428193892984353</v>
      </c>
    </row>
    <row r="34" spans="1:25" x14ac:dyDescent="0.25">
      <c r="P34" s="55">
        <v>44927</v>
      </c>
      <c r="Q34" s="6">
        <v>43.79</v>
      </c>
      <c r="R34" s="6">
        <v>4070.56</v>
      </c>
      <c r="S34" s="6">
        <v>11140.43</v>
      </c>
      <c r="T34" s="6">
        <v>33375.49</v>
      </c>
      <c r="U34" s="55">
        <v>44927</v>
      </c>
      <c r="V34" s="58">
        <f t="shared" si="0"/>
        <v>111.82328907048009</v>
      </c>
      <c r="W34" s="58">
        <f t="shared" si="1"/>
        <v>93.525781533611791</v>
      </c>
      <c r="X34" s="58">
        <f t="shared" si="2"/>
        <v>76.099316020610232</v>
      </c>
      <c r="Y34" s="58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5">
        <v>44958</v>
      </c>
      <c r="Q35" s="6">
        <v>41.75</v>
      </c>
      <c r="R35" s="6">
        <v>4045.64</v>
      </c>
      <c r="S35" s="6">
        <v>11689.01</v>
      </c>
      <c r="T35" s="6">
        <v>32816.92</v>
      </c>
      <c r="U35" s="55">
        <v>44958</v>
      </c>
      <c r="V35" s="58">
        <f t="shared" si="0"/>
        <v>106.61389172625128</v>
      </c>
      <c r="W35" s="58">
        <f t="shared" si="1"/>
        <v>92.953215971178722</v>
      </c>
      <c r="X35" s="58">
        <f t="shared" si="2"/>
        <v>79.846618663559056</v>
      </c>
      <c r="Y35" s="58">
        <f t="shared" si="3"/>
        <v>95.304270450231527</v>
      </c>
    </row>
    <row r="36" spans="1:25" x14ac:dyDescent="0.25">
      <c r="A36" s="13" t="s">
        <v>42</v>
      </c>
      <c r="B36" s="17">
        <f>SUM(D32:I32)</f>
        <v>96785609332.654068</v>
      </c>
      <c r="C36" t="s">
        <v>45</v>
      </c>
      <c r="F36" t="s">
        <v>33</v>
      </c>
      <c r="G36" s="15">
        <f>B13*B12</f>
        <v>142725000000</v>
      </c>
      <c r="H36" t="s">
        <v>34</v>
      </c>
      <c r="L36" s="3" t="s">
        <v>51</v>
      </c>
      <c r="P36" s="55">
        <v>44986</v>
      </c>
      <c r="Q36" s="6">
        <v>40.39</v>
      </c>
      <c r="R36" s="6">
        <v>3970.99</v>
      </c>
      <c r="S36" s="6">
        <v>11823.96</v>
      </c>
      <c r="T36" s="6">
        <v>33274.15</v>
      </c>
      <c r="U36" s="55">
        <v>44986</v>
      </c>
      <c r="V36" s="58">
        <f t="shared" si="0"/>
        <v>103.14096016343208</v>
      </c>
      <c r="W36" s="58">
        <f t="shared" si="1"/>
        <v>91.238046659957632</v>
      </c>
      <c r="X36" s="58">
        <f t="shared" si="2"/>
        <v>80.768450468703136</v>
      </c>
      <c r="Y36" s="58">
        <f t="shared" si="3"/>
        <v>96.63212119240842</v>
      </c>
    </row>
    <row r="37" spans="1:25" x14ac:dyDescent="0.25">
      <c r="A37" t="s">
        <v>11</v>
      </c>
      <c r="B37" s="19">
        <f>B15</f>
        <v>14984000000</v>
      </c>
      <c r="F37" t="s">
        <v>10</v>
      </c>
      <c r="G37" s="14">
        <f>B14</f>
        <v>64460000000</v>
      </c>
      <c r="L37" t="s">
        <v>52</v>
      </c>
      <c r="M37" s="21">
        <f>(B40/B12)-1</f>
        <v>1.920759313442022</v>
      </c>
      <c r="P37" s="55">
        <v>45017</v>
      </c>
      <c r="Q37" s="6">
        <v>38.89</v>
      </c>
      <c r="R37" s="6">
        <v>4133.5200000000004</v>
      </c>
      <c r="S37" s="6">
        <v>12072.46</v>
      </c>
      <c r="T37" s="6">
        <v>33808.959999999999</v>
      </c>
      <c r="U37" s="55">
        <v>45017</v>
      </c>
      <c r="V37" s="58">
        <f t="shared" si="0"/>
        <v>99.310520939734431</v>
      </c>
      <c r="W37" s="58">
        <f t="shared" si="1"/>
        <v>94.972359696163451</v>
      </c>
      <c r="X37" s="58">
        <f t="shared" si="2"/>
        <v>82.46593252560055</v>
      </c>
      <c r="Y37" s="58">
        <f t="shared" si="3"/>
        <v>98.185273556478165</v>
      </c>
    </row>
    <row r="38" spans="1:25" x14ac:dyDescent="0.25">
      <c r="A38" t="s">
        <v>10</v>
      </c>
      <c r="B38" s="19">
        <f>B14</f>
        <v>64460000000</v>
      </c>
      <c r="C38" s="3"/>
      <c r="F38" t="s">
        <v>11</v>
      </c>
      <c r="G38" s="14">
        <f>B15</f>
        <v>14984000000</v>
      </c>
      <c r="L38" t="s">
        <v>53</v>
      </c>
      <c r="M38" s="23">
        <f>IRR(C33:J33)</f>
        <v>0.27017155513150093</v>
      </c>
      <c r="N38" t="s">
        <v>57</v>
      </c>
      <c r="P38" s="55">
        <v>45047</v>
      </c>
      <c r="Q38" s="6">
        <v>37.6</v>
      </c>
      <c r="R38" s="6">
        <v>4282.37</v>
      </c>
      <c r="S38" s="6">
        <v>13240.77</v>
      </c>
      <c r="T38" s="6">
        <v>33093.339999999997</v>
      </c>
      <c r="U38" s="55">
        <v>45047</v>
      </c>
      <c r="V38" s="58">
        <f t="shared" si="0"/>
        <v>96.016343207354453</v>
      </c>
      <c r="W38" s="58">
        <f t="shared" si="1"/>
        <v>98.392359052831353</v>
      </c>
      <c r="X38" s="58">
        <f t="shared" si="2"/>
        <v>90.446557321953946</v>
      </c>
      <c r="Y38" s="58">
        <f t="shared" si="3"/>
        <v>96.107027273170814</v>
      </c>
    </row>
    <row r="39" spans="1:25" x14ac:dyDescent="0.25">
      <c r="A39" t="s">
        <v>44</v>
      </c>
      <c r="B39" s="17">
        <f>(((B36+B37)-B38)+(M22))/2</f>
        <v>416865373011.01263</v>
      </c>
      <c r="C39" t="s">
        <v>75</v>
      </c>
      <c r="F39" t="s">
        <v>30</v>
      </c>
      <c r="G39" s="13">
        <f>G36+G37-G38</f>
        <v>192201000000</v>
      </c>
      <c r="H39" t="s">
        <v>32</v>
      </c>
      <c r="P39" s="55">
        <v>45078</v>
      </c>
      <c r="Q39" s="6">
        <v>36.68</v>
      </c>
      <c r="R39" s="6">
        <v>4450.38</v>
      </c>
      <c r="S39" s="6">
        <v>13492.52</v>
      </c>
      <c r="T39" s="6">
        <v>33727.43</v>
      </c>
      <c r="U39" s="55">
        <v>45078</v>
      </c>
      <c r="V39" s="58">
        <f t="shared" si="0"/>
        <v>93.667007150153225</v>
      </c>
      <c r="W39" s="58">
        <f t="shared" si="1"/>
        <v>102.25258137002164</v>
      </c>
      <c r="X39" s="58">
        <f t="shared" si="2"/>
        <v>92.166239848408367</v>
      </c>
      <c r="Y39" s="58">
        <f t="shared" si="3"/>
        <v>97.9485006609777</v>
      </c>
    </row>
    <row r="40" spans="1:25" x14ac:dyDescent="0.25">
      <c r="A40" t="s">
        <v>72</v>
      </c>
      <c r="B40" s="20">
        <f>B39/B13</f>
        <v>73.018982836050554</v>
      </c>
      <c r="C40" t="s">
        <v>76</v>
      </c>
      <c r="F40" t="s">
        <v>48</v>
      </c>
      <c r="G40" s="16">
        <f>G39/B13</f>
        <v>33.666316342616923</v>
      </c>
      <c r="H40" t="s">
        <v>49</v>
      </c>
      <c r="L40" s="46" t="s">
        <v>96</v>
      </c>
      <c r="M40" s="47"/>
      <c r="P40" s="55">
        <v>45108</v>
      </c>
      <c r="Q40" s="6">
        <v>37.4</v>
      </c>
      <c r="R40" s="6">
        <v>4582.2299999999996</v>
      </c>
      <c r="S40" s="6">
        <v>14032.81</v>
      </c>
      <c r="T40" s="6">
        <v>35065.620000000003</v>
      </c>
      <c r="U40" s="55">
        <v>45108</v>
      </c>
      <c r="V40" s="58">
        <f t="shared" si="0"/>
        <v>95.50561797752809</v>
      </c>
      <c r="W40" s="58">
        <f t="shared" si="1"/>
        <v>105.28198624188367</v>
      </c>
      <c r="X40" s="58">
        <f t="shared" si="2"/>
        <v>95.856914216702535</v>
      </c>
      <c r="Y40" s="58">
        <f t="shared" si="3"/>
        <v>101.83476487083638</v>
      </c>
    </row>
    <row r="41" spans="1:25" x14ac:dyDescent="0.25">
      <c r="A41" t="s">
        <v>46</v>
      </c>
      <c r="B41" s="22">
        <f>(B40/B12)-1</f>
        <v>1.920759313442022</v>
      </c>
      <c r="C41" t="s">
        <v>47</v>
      </c>
      <c r="F41" t="s">
        <v>46</v>
      </c>
      <c r="G41" s="21">
        <f>(G40/B12)-1</f>
        <v>0.34665265370467702</v>
      </c>
      <c r="H41" t="s">
        <v>50</v>
      </c>
      <c r="L41" s="48" t="s">
        <v>41</v>
      </c>
      <c r="M41" s="49">
        <f>B40</f>
        <v>73.018982836050554</v>
      </c>
      <c r="P41" s="55">
        <v>45139</v>
      </c>
      <c r="Q41" s="6">
        <v>35.78</v>
      </c>
      <c r="R41" s="6">
        <v>4515.7700000000004</v>
      </c>
      <c r="S41" s="6">
        <v>13590.65</v>
      </c>
      <c r="T41" s="6">
        <v>34837.71</v>
      </c>
      <c r="U41" s="55">
        <v>45139</v>
      </c>
      <c r="V41" s="58">
        <f t="shared" si="0"/>
        <v>91.368743615934633</v>
      </c>
      <c r="W41" s="58">
        <f t="shared" si="1"/>
        <v>103.75499156775436</v>
      </c>
      <c r="X41" s="58">
        <f t="shared" si="2"/>
        <v>92.836557410755816</v>
      </c>
      <c r="Y41" s="58">
        <f t="shared" si="3"/>
        <v>101.1728869042779</v>
      </c>
    </row>
    <row r="42" spans="1:25" x14ac:dyDescent="0.25">
      <c r="L42" s="48" t="s">
        <v>8</v>
      </c>
      <c r="M42" s="49">
        <f>B12</f>
        <v>25</v>
      </c>
      <c r="P42" s="55">
        <v>45170</v>
      </c>
      <c r="Q42" s="6">
        <v>33.17</v>
      </c>
      <c r="R42" s="6">
        <v>4320.0600000000004</v>
      </c>
      <c r="S42" s="6">
        <v>13211.81</v>
      </c>
      <c r="T42" s="6">
        <v>33507.5</v>
      </c>
      <c r="U42" s="55">
        <v>45170</v>
      </c>
      <c r="V42" s="58">
        <f t="shared" si="0"/>
        <v>84.703779366700729</v>
      </c>
      <c r="W42" s="58">
        <f t="shared" si="1"/>
        <v>99.258330001792146</v>
      </c>
      <c r="X42" s="58">
        <f t="shared" si="2"/>
        <v>90.248734060916718</v>
      </c>
      <c r="Y42" s="58">
        <f t="shared" si="3"/>
        <v>97.309797571226454</v>
      </c>
    </row>
    <row r="43" spans="1:25" x14ac:dyDescent="0.25">
      <c r="L43" s="48" t="s">
        <v>98</v>
      </c>
      <c r="M43" s="49">
        <f>(B40-B12)</f>
        <v>48.018982836050554</v>
      </c>
      <c r="P43" s="55">
        <v>45200</v>
      </c>
      <c r="Q43" s="6">
        <v>30.11</v>
      </c>
      <c r="R43" s="6">
        <v>4117.37</v>
      </c>
      <c r="S43" s="6">
        <v>12643.01</v>
      </c>
      <c r="T43" s="6">
        <v>34061.32</v>
      </c>
      <c r="U43" s="55">
        <v>45200</v>
      </c>
      <c r="V43" s="58">
        <f t="shared" si="0"/>
        <v>76.889683350357515</v>
      </c>
      <c r="W43" s="58">
        <f t="shared" si="1"/>
        <v>94.601294935597863</v>
      </c>
      <c r="X43" s="58">
        <f t="shared" si="2"/>
        <v>86.363310342754758</v>
      </c>
      <c r="Y43" s="58">
        <f t="shared" si="3"/>
        <v>98.918157254607692</v>
      </c>
    </row>
    <row r="44" spans="1:25" x14ac:dyDescent="0.25">
      <c r="L44" s="48" t="s">
        <v>99</v>
      </c>
      <c r="M44" s="53">
        <f>((B40-B12)/(B12))</f>
        <v>1.9207593134420222</v>
      </c>
      <c r="P44" s="55">
        <v>45231</v>
      </c>
      <c r="Q44" s="6">
        <v>28.91</v>
      </c>
      <c r="R44" s="6">
        <v>4559.34</v>
      </c>
      <c r="S44" s="6">
        <v>14250.85</v>
      </c>
      <c r="T44" s="6">
        <v>36245.5</v>
      </c>
      <c r="U44" s="55">
        <v>45231</v>
      </c>
      <c r="V44" s="58">
        <f t="shared" si="0"/>
        <v>73.825331971399393</v>
      </c>
      <c r="W44" s="58">
        <f t="shared" si="1"/>
        <v>104.75606225616565</v>
      </c>
      <c r="X44" s="58">
        <f t="shared" si="2"/>
        <v>97.346326641997962</v>
      </c>
      <c r="Y44" s="58">
        <f t="shared" si="3"/>
        <v>105.26127785922222</v>
      </c>
    </row>
    <row r="45" spans="1:25" x14ac:dyDescent="0.25">
      <c r="L45" s="51"/>
      <c r="M45" s="50"/>
      <c r="P45" s="55">
        <v>45261</v>
      </c>
      <c r="Q45" s="6">
        <v>28.79</v>
      </c>
      <c r="R45" s="6">
        <v>4769.83</v>
      </c>
      <c r="S45" s="6">
        <v>14992.97</v>
      </c>
      <c r="T45" s="6">
        <v>37689.54</v>
      </c>
      <c r="U45" s="55">
        <v>45261</v>
      </c>
      <c r="V45" s="58">
        <f t="shared" si="0"/>
        <v>73.518896833503575</v>
      </c>
      <c r="W45" s="58">
        <f t="shared" si="1"/>
        <v>109.59231126244732</v>
      </c>
      <c r="X45" s="58">
        <f t="shared" si="2"/>
        <v>102.41568432435091</v>
      </c>
      <c r="Y45" s="58">
        <f t="shared" si="3"/>
        <v>109.45494316056532</v>
      </c>
    </row>
    <row r="46" spans="1:25" x14ac:dyDescent="0.25">
      <c r="L46" s="51" t="s">
        <v>54</v>
      </c>
      <c r="M46" s="49"/>
      <c r="P46" s="55">
        <v>45292</v>
      </c>
      <c r="Q46" s="6">
        <v>26.93</v>
      </c>
      <c r="R46" s="6">
        <v>4958.6099999999997</v>
      </c>
      <c r="S46" s="6">
        <v>15628.95</v>
      </c>
      <c r="T46" s="6">
        <v>38109.43</v>
      </c>
      <c r="U46" s="55">
        <v>45292</v>
      </c>
      <c r="V46" s="58">
        <f t="shared" si="0"/>
        <v>68.769152196118483</v>
      </c>
      <c r="W46" s="58">
        <f t="shared" si="1"/>
        <v>113.92974813548574</v>
      </c>
      <c r="X46" s="58">
        <f t="shared" si="2"/>
        <v>106.76000882554051</v>
      </c>
      <c r="Y46" s="58">
        <f t="shared" si="3"/>
        <v>110.67435406565171</v>
      </c>
    </row>
    <row r="47" spans="1:25" x14ac:dyDescent="0.25">
      <c r="L47" s="48" t="s">
        <v>41</v>
      </c>
      <c r="M47" s="49">
        <f>B40</f>
        <v>73.018982836050554</v>
      </c>
      <c r="P47" s="55">
        <v>45323</v>
      </c>
      <c r="Q47" s="6">
        <v>26.59</v>
      </c>
      <c r="R47" s="6">
        <v>5137.08</v>
      </c>
      <c r="S47" s="6">
        <v>16274.94</v>
      </c>
      <c r="T47" s="6">
        <v>39087.379999999997</v>
      </c>
      <c r="U47" s="55">
        <v>45323</v>
      </c>
      <c r="V47" s="58">
        <f t="shared" si="0"/>
        <v>67.900919305413694</v>
      </c>
      <c r="W47" s="58">
        <f t="shared" si="1"/>
        <v>118.03030094156246</v>
      </c>
      <c r="X47" s="58">
        <f t="shared" si="2"/>
        <v>111.17271077296571</v>
      </c>
      <c r="Y47" s="58">
        <f t="shared" si="3"/>
        <v>113.51443812249811</v>
      </c>
    </row>
    <row r="48" spans="1:25" x14ac:dyDescent="0.25">
      <c r="L48" s="48" t="s">
        <v>31</v>
      </c>
      <c r="M48" s="49">
        <f>G40</f>
        <v>33.666316342616923</v>
      </c>
      <c r="P48" s="55">
        <v>45352</v>
      </c>
      <c r="Q48" s="6">
        <v>27.75</v>
      </c>
      <c r="R48" s="6">
        <v>5234.18</v>
      </c>
      <c r="S48" s="6">
        <v>16428.82</v>
      </c>
      <c r="T48" s="6">
        <v>39807.370000000003</v>
      </c>
      <c r="U48" s="55">
        <v>45352</v>
      </c>
      <c r="V48" s="58">
        <f t="shared" si="0"/>
        <v>70.863125638406544</v>
      </c>
      <c r="W48" s="58">
        <f t="shared" si="1"/>
        <v>120.26128473418898</v>
      </c>
      <c r="X48" s="58">
        <f t="shared" si="2"/>
        <v>112.22385177463723</v>
      </c>
      <c r="Y48" s="58">
        <f t="shared" si="3"/>
        <v>115.60537540977134</v>
      </c>
    </row>
    <row r="49" spans="12:25" x14ac:dyDescent="0.25">
      <c r="L49" s="48" t="s">
        <v>98</v>
      </c>
      <c r="M49" s="49">
        <f>-(G40-B40)</f>
        <v>39.352666493433631</v>
      </c>
      <c r="P49" s="55">
        <v>45383</v>
      </c>
      <c r="Q49" s="6">
        <v>25.4</v>
      </c>
      <c r="R49" s="6">
        <v>4967.2299999999996</v>
      </c>
      <c r="S49" s="6">
        <v>15282.01</v>
      </c>
      <c r="T49" s="6">
        <v>37986.400000000001</v>
      </c>
      <c r="U49" s="55">
        <v>45383</v>
      </c>
      <c r="V49" s="58">
        <f t="shared" si="0"/>
        <v>64.862104187946883</v>
      </c>
      <c r="W49" s="58">
        <f t="shared" si="1"/>
        <v>114.12780251542847</v>
      </c>
      <c r="X49" s="58">
        <f t="shared" si="2"/>
        <v>104.39009162304561</v>
      </c>
      <c r="Y49" s="58">
        <f t="shared" si="3"/>
        <v>110.31706019427403</v>
      </c>
    </row>
    <row r="50" spans="12:25" x14ac:dyDescent="0.25">
      <c r="L50" s="52" t="s">
        <v>99</v>
      </c>
      <c r="M50" s="54">
        <f>((B40-G40)/(G40))</f>
        <v>1.1689032471788001</v>
      </c>
      <c r="P50" s="55">
        <v>45413</v>
      </c>
      <c r="Q50" s="6">
        <v>28.66</v>
      </c>
      <c r="R50" s="6">
        <v>5277.51</v>
      </c>
      <c r="S50" s="6">
        <v>16735.02</v>
      </c>
      <c r="T50" s="6">
        <v>38686.32</v>
      </c>
      <c r="U50" s="55">
        <v>45413</v>
      </c>
      <c r="V50" s="58">
        <f t="shared" si="0"/>
        <v>73.186925434116461</v>
      </c>
      <c r="W50" s="58">
        <f t="shared" si="1"/>
        <v>121.25684114752065</v>
      </c>
      <c r="X50" s="58">
        <f t="shared" si="2"/>
        <v>114.31547755259292</v>
      </c>
      <c r="Y50" s="58">
        <f t="shared" si="3"/>
        <v>112.34971179514106</v>
      </c>
    </row>
    <row r="51" spans="12:25" x14ac:dyDescent="0.25">
      <c r="P51" s="55">
        <v>45444</v>
      </c>
      <c r="Q51" s="6">
        <v>27.98</v>
      </c>
      <c r="R51" s="6">
        <v>5464.62</v>
      </c>
      <c r="S51" s="6">
        <v>17689.36</v>
      </c>
      <c r="T51" s="6">
        <v>39150.33</v>
      </c>
      <c r="U51" s="55">
        <v>45444</v>
      </c>
      <c r="V51" s="58">
        <f t="shared" si="0"/>
        <v>71.450459652706854</v>
      </c>
      <c r="W51" s="58">
        <f t="shared" si="1"/>
        <v>125.55590785646342</v>
      </c>
      <c r="X51" s="58">
        <f t="shared" si="2"/>
        <v>120.83449174244996</v>
      </c>
      <c r="Y51" s="58">
        <f t="shared" si="3"/>
        <v>113.69725247024441</v>
      </c>
    </row>
    <row r="52" spans="12:25" x14ac:dyDescent="0.25">
      <c r="P52" s="55">
        <v>45474</v>
      </c>
      <c r="Q52" s="6">
        <v>30.77</v>
      </c>
      <c r="R52" s="6">
        <v>5459.1</v>
      </c>
      <c r="S52" s="6">
        <v>17357.88</v>
      </c>
      <c r="T52" s="6">
        <v>40287.53</v>
      </c>
      <c r="U52" s="55">
        <v>45474</v>
      </c>
      <c r="V52" s="58">
        <f t="shared" si="0"/>
        <v>78.575076608784471</v>
      </c>
      <c r="W52" s="58">
        <f t="shared" si="1"/>
        <v>125.42907952963233</v>
      </c>
      <c r="X52" s="58">
        <f t="shared" si="2"/>
        <v>118.5701804659093</v>
      </c>
      <c r="Y52" s="58">
        <f t="shared" si="3"/>
        <v>116.99981762127025</v>
      </c>
    </row>
    <row r="53" spans="12:25" x14ac:dyDescent="0.25">
      <c r="P53" s="55">
        <v>45505</v>
      </c>
      <c r="Q53" s="6">
        <v>29.01</v>
      </c>
      <c r="R53" s="6">
        <v>5648.4</v>
      </c>
      <c r="S53" s="6">
        <v>17877.79</v>
      </c>
      <c r="T53" s="6">
        <v>41175.08</v>
      </c>
      <c r="U53" s="55">
        <v>45505</v>
      </c>
      <c r="V53" s="58">
        <f t="shared" si="0"/>
        <v>74.080694586312575</v>
      </c>
      <c r="W53" s="58">
        <f t="shared" si="1"/>
        <v>129.77846399867656</v>
      </c>
      <c r="X53" s="58">
        <f t="shared" si="2"/>
        <v>122.12164081279677</v>
      </c>
      <c r="Y53" s="58">
        <f t="shared" si="3"/>
        <v>119.57736923909737</v>
      </c>
    </row>
    <row r="54" spans="12:25" x14ac:dyDescent="0.25">
      <c r="P54" s="55">
        <v>45536</v>
      </c>
      <c r="Q54" s="6">
        <v>28.58</v>
      </c>
      <c r="R54" s="6">
        <v>5751.07</v>
      </c>
      <c r="S54" s="6">
        <v>18137.849999999999</v>
      </c>
      <c r="T54" s="6">
        <v>42313</v>
      </c>
      <c r="U54" s="55">
        <v>45536</v>
      </c>
      <c r="V54" s="58">
        <f t="shared" si="0"/>
        <v>72.982635342185915</v>
      </c>
      <c r="W54" s="58">
        <f t="shared" si="1"/>
        <v>132.13742492544242</v>
      </c>
      <c r="X54" s="58">
        <f t="shared" si="2"/>
        <v>123.89808823218003</v>
      </c>
      <c r="Y54" s="58">
        <f t="shared" si="3"/>
        <v>122.88202535645169</v>
      </c>
    </row>
    <row r="55" spans="12:25" x14ac:dyDescent="0.25">
      <c r="P55" s="55">
        <v>45566</v>
      </c>
      <c r="Q55" s="6">
        <v>28.09</v>
      </c>
      <c r="R55" s="6">
        <v>5728.8</v>
      </c>
      <c r="S55" s="6">
        <v>18518.61</v>
      </c>
      <c r="T55" s="6">
        <v>42052.19</v>
      </c>
      <c r="U55" s="55">
        <v>45566</v>
      </c>
      <c r="V55" s="58">
        <f t="shared" si="0"/>
        <v>71.731358529111347</v>
      </c>
      <c r="W55" s="58">
        <f t="shared" si="1"/>
        <v>131.62574615034671</v>
      </c>
      <c r="X55" s="58">
        <f t="shared" si="2"/>
        <v>126.49902693634203</v>
      </c>
      <c r="Y55" s="58">
        <f t="shared" si="3"/>
        <v>122.12460184516164</v>
      </c>
    </row>
    <row r="56" spans="12:25" x14ac:dyDescent="0.25">
      <c r="P56" s="55">
        <v>45597</v>
      </c>
      <c r="Q56" s="6">
        <v>25.65</v>
      </c>
      <c r="R56" s="6">
        <v>5969.34</v>
      </c>
      <c r="S56" s="6">
        <v>19003.650000000001</v>
      </c>
      <c r="T56" s="6">
        <v>44296.51</v>
      </c>
      <c r="U56" s="55">
        <v>45597</v>
      </c>
      <c r="V56" s="58">
        <f t="shared" si="0"/>
        <v>65.50051072522983</v>
      </c>
      <c r="W56" s="58">
        <f t="shared" si="1"/>
        <v>137.15242834888818</v>
      </c>
      <c r="X56" s="58">
        <f t="shared" si="2"/>
        <v>129.81229332216708</v>
      </c>
      <c r="Y56" s="58">
        <f t="shared" si="3"/>
        <v>128.64237622060162</v>
      </c>
    </row>
    <row r="57" spans="12:25" x14ac:dyDescent="0.25">
      <c r="P57" s="55">
        <v>45627</v>
      </c>
      <c r="Q57" s="6">
        <v>26.62</v>
      </c>
      <c r="R57" s="6">
        <v>5942.47</v>
      </c>
      <c r="S57" s="6">
        <v>19722.03</v>
      </c>
      <c r="T57" s="6">
        <v>42840.26</v>
      </c>
      <c r="U57" s="55">
        <v>45627</v>
      </c>
      <c r="V57" s="58">
        <f t="shared" si="0"/>
        <v>67.977528089887656</v>
      </c>
      <c r="W57" s="58">
        <f t="shared" si="1"/>
        <v>136.53505930143325</v>
      </c>
      <c r="X57" s="58">
        <f t="shared" si="2"/>
        <v>134.71948511304822</v>
      </c>
      <c r="Y57" s="58">
        <f t="shared" si="3"/>
        <v>124.41325161527151</v>
      </c>
    </row>
    <row r="58" spans="12:25" x14ac:dyDescent="0.25">
      <c r="P58" s="55">
        <v>45658</v>
      </c>
      <c r="Q58" s="6">
        <v>26.52</v>
      </c>
      <c r="R58" s="6">
        <v>6040.53</v>
      </c>
      <c r="S58" s="6">
        <v>19627.439999999999</v>
      </c>
      <c r="T58" s="6">
        <v>44424.25</v>
      </c>
      <c r="U58" s="55">
        <v>45658</v>
      </c>
      <c r="V58" s="58">
        <f t="shared" si="0"/>
        <v>67.722165474974474</v>
      </c>
      <c r="W58" s="58">
        <f t="shared" si="1"/>
        <v>138.78810019437819</v>
      </c>
      <c r="X58" s="58">
        <f t="shared" si="2"/>
        <v>134.07334898523359</v>
      </c>
      <c r="Y58" s="58">
        <f t="shared" si="3"/>
        <v>129.01334849671139</v>
      </c>
    </row>
    <row r="59" spans="12:25" x14ac:dyDescent="0.25">
      <c r="P59" s="55">
        <v>45689</v>
      </c>
      <c r="Q59" s="6">
        <v>26.43</v>
      </c>
      <c r="R59" s="6">
        <v>5954.5</v>
      </c>
      <c r="S59" s="6">
        <v>19524.009999999998</v>
      </c>
      <c r="T59" s="6">
        <v>43840.91</v>
      </c>
      <c r="U59" s="55">
        <v>45689</v>
      </c>
      <c r="V59" s="58">
        <f t="shared" si="0"/>
        <v>67.492339121552618</v>
      </c>
      <c r="W59" s="58">
        <f t="shared" si="1"/>
        <v>136.81146233979882</v>
      </c>
      <c r="X59" s="58">
        <f t="shared" si="2"/>
        <v>133.36682758022397</v>
      </c>
      <c r="Y59" s="58">
        <f t="shared" si="3"/>
        <v>127.31925919386281</v>
      </c>
    </row>
    <row r="60" spans="12:25" x14ac:dyDescent="0.25">
      <c r="P60" s="55">
        <v>45717</v>
      </c>
      <c r="Q60" s="6">
        <v>25.21</v>
      </c>
      <c r="R60" s="6">
        <v>5074.08</v>
      </c>
      <c r="S60" s="6">
        <v>15587.79</v>
      </c>
      <c r="T60" s="6">
        <v>38314.86</v>
      </c>
      <c r="U60" s="55">
        <v>45717</v>
      </c>
      <c r="V60" s="58">
        <f t="shared" si="0"/>
        <v>64.376915219611845</v>
      </c>
      <c r="W60" s="58">
        <f t="shared" si="1"/>
        <v>116.58280373316423</v>
      </c>
      <c r="X60" s="58">
        <f t="shared" si="2"/>
        <v>106.47884841724316</v>
      </c>
      <c r="Y60" s="58">
        <f t="shared" si="3"/>
        <v>111.27094741684344</v>
      </c>
    </row>
    <row r="61" spans="12:25" x14ac:dyDescent="0.25">
      <c r="P61" s="55">
        <v>45748</v>
      </c>
      <c r="Q61" s="6">
        <v>22.92</v>
      </c>
      <c r="R61" s="6">
        <v>5282.7</v>
      </c>
      <c r="S61" s="6">
        <v>16286.45</v>
      </c>
      <c r="T61" s="6">
        <v>39142.230000000003</v>
      </c>
      <c r="U61" s="55">
        <v>45748</v>
      </c>
      <c r="V61" s="58">
        <f t="shared" si="0"/>
        <v>58.529111338100115</v>
      </c>
      <c r="W61" s="58">
        <f t="shared" si="1"/>
        <v>121.37608734611725</v>
      </c>
      <c r="X61" s="58">
        <f t="shared" si="2"/>
        <v>111.25133458976606</v>
      </c>
      <c r="Y61" s="58">
        <f t="shared" si="3"/>
        <v>113.6737290990491</v>
      </c>
    </row>
    <row r="62" spans="12:25" x14ac:dyDescent="0.25">
      <c r="P62" s="55">
        <v>45778</v>
      </c>
      <c r="Q62" s="6">
        <v>23.49</v>
      </c>
      <c r="R62" s="6">
        <v>5802.82</v>
      </c>
      <c r="S62" s="6">
        <v>19113.77</v>
      </c>
      <c r="T62" s="6">
        <v>41603.07</v>
      </c>
      <c r="U62" s="55">
        <v>45778</v>
      </c>
      <c r="V62" s="58">
        <f t="shared" si="0"/>
        <v>59.984678243105215</v>
      </c>
      <c r="W62" s="58">
        <f t="shared" si="1"/>
        <v>133.32644048948382</v>
      </c>
      <c r="X62" s="58">
        <f t="shared" si="2"/>
        <v>130.56451353989561</v>
      </c>
      <c r="Y62" s="58">
        <f t="shared" si="3"/>
        <v>120.82030351537907</v>
      </c>
    </row>
    <row r="63" spans="12:25" x14ac:dyDescent="0.25">
      <c r="P63" s="55">
        <v>45809</v>
      </c>
      <c r="Q63" s="6">
        <v>25.38</v>
      </c>
      <c r="R63" s="6">
        <v>6279.35</v>
      </c>
      <c r="S63" s="6">
        <v>19447.41</v>
      </c>
      <c r="T63" s="6">
        <v>42206.82</v>
      </c>
      <c r="U63" s="55">
        <v>45809</v>
      </c>
      <c r="V63" s="58">
        <f t="shared" si="0"/>
        <v>64.811031664964247</v>
      </c>
      <c r="W63" s="58">
        <f t="shared" si="1"/>
        <v>144.27526342151577</v>
      </c>
      <c r="X63" s="58">
        <f t="shared" si="2"/>
        <v>132.84357959004956</v>
      </c>
      <c r="Y63" s="58">
        <f t="shared" si="3"/>
        <v>122.57366590540005</v>
      </c>
    </row>
    <row r="64" spans="12:25" x14ac:dyDescent="0.25">
      <c r="P64" s="55">
        <v>45839</v>
      </c>
      <c r="Q64" s="6">
        <v>24.79</v>
      </c>
      <c r="R64" s="6">
        <v>6238.01</v>
      </c>
      <c r="S64" s="6">
        <v>20650.13</v>
      </c>
      <c r="T64" s="6">
        <v>44901.919999999998</v>
      </c>
      <c r="U64" s="55">
        <v>45839</v>
      </c>
      <c r="V64" s="58">
        <f t="shared" si="0"/>
        <v>63.304392236976511</v>
      </c>
      <c r="W64" s="58">
        <f t="shared" si="1"/>
        <v>143.32542953905255</v>
      </c>
      <c r="X64" s="58">
        <f t="shared" si="2"/>
        <v>141.05925612715885</v>
      </c>
      <c r="Y64" s="58">
        <f t="shared" si="3"/>
        <v>130.40055944965766</v>
      </c>
    </row>
    <row r="65" spans="16:25" x14ac:dyDescent="0.25">
      <c r="P65" s="55">
        <v>45870</v>
      </c>
      <c r="Q65" s="6">
        <v>24.76</v>
      </c>
      <c r="R65" s="6">
        <v>6460.26</v>
      </c>
      <c r="S65" s="6">
        <v>21496.54</v>
      </c>
      <c r="T65" s="6">
        <v>45544.88</v>
      </c>
      <c r="U65" s="55">
        <v>45870</v>
      </c>
      <c r="V65" s="58">
        <f t="shared" si="0"/>
        <v>63.227783452502564</v>
      </c>
      <c r="W65" s="58">
        <f t="shared" si="1"/>
        <v>148.43187802423523</v>
      </c>
      <c r="X65" s="58">
        <f t="shared" si="2"/>
        <v>146.84100980031192</v>
      </c>
      <c r="Y65" s="58">
        <f t="shared" si="3"/>
        <v>132.26779238098337</v>
      </c>
    </row>
    <row r="66" spans="16:25" x14ac:dyDescent="0.25">
      <c r="P66" s="55">
        <v>45901</v>
      </c>
      <c r="Q66" s="6">
        <v>27.37</v>
      </c>
      <c r="R66" s="6">
        <v>6715.79</v>
      </c>
      <c r="S66" s="6">
        <v>22780.51</v>
      </c>
      <c r="T66" s="6">
        <v>46758.28</v>
      </c>
      <c r="U66" s="55">
        <v>45901</v>
      </c>
      <c r="V66" s="58">
        <f t="shared" si="0"/>
        <v>69.892747701736482</v>
      </c>
      <c r="W66" s="58">
        <f t="shared" si="1"/>
        <v>154.30297265379082</v>
      </c>
      <c r="X66" s="58">
        <f t="shared" si="2"/>
        <v>155.61169807634639</v>
      </c>
      <c r="Y66" s="58">
        <f t="shared" si="3"/>
        <v>135.7916514684392</v>
      </c>
    </row>
    <row r="67" spans="16:25" x14ac:dyDescent="0.25">
      <c r="P67" s="55">
        <v>45931</v>
      </c>
      <c r="Q67" s="6">
        <v>24.65</v>
      </c>
      <c r="R67" s="6">
        <v>6840.2</v>
      </c>
      <c r="S67" s="6">
        <v>23204.87</v>
      </c>
      <c r="T67" s="6">
        <v>47207.12</v>
      </c>
      <c r="U67" s="55">
        <v>45931</v>
      </c>
      <c r="V67" s="58">
        <f t="shared" si="0"/>
        <v>62.946884576098064</v>
      </c>
      <c r="W67" s="58">
        <f t="shared" si="1"/>
        <v>157.16143499818486</v>
      </c>
      <c r="X67" s="58">
        <f t="shared" si="2"/>
        <v>158.5104646182578</v>
      </c>
      <c r="Y67" s="58">
        <f t="shared" si="3"/>
        <v>137.09513664464959</v>
      </c>
    </row>
    <row r="68" spans="16:25" x14ac:dyDescent="0.25">
      <c r="P68" s="55">
        <v>45962</v>
      </c>
      <c r="Q68" s="6">
        <v>25.74</v>
      </c>
      <c r="R68" s="6">
        <v>6849.09</v>
      </c>
      <c r="S68" s="6">
        <v>23365.69</v>
      </c>
      <c r="T68" s="6">
        <v>46245.41</v>
      </c>
      <c r="U68" s="55">
        <v>45962</v>
      </c>
      <c r="V68" s="58">
        <f t="shared" si="0"/>
        <v>65.730337078651687</v>
      </c>
      <c r="W68" s="58">
        <f t="shared" si="1"/>
        <v>157.3656929375922</v>
      </c>
      <c r="X68" s="58">
        <f t="shared" si="2"/>
        <v>159.60901216107567</v>
      </c>
      <c r="Y68" s="58">
        <f t="shared" si="3"/>
        <v>134.30221549498984</v>
      </c>
    </row>
    <row r="69" spans="16:25" x14ac:dyDescent="0.25">
      <c r="P69" s="55">
        <v>45992</v>
      </c>
      <c r="Q69" s="6">
        <v>25.09</v>
      </c>
      <c r="R69" s="6">
        <v>6929.94</v>
      </c>
      <c r="S69" s="6">
        <v>23593.1</v>
      </c>
      <c r="T69" s="6">
        <v>48134.89</v>
      </c>
      <c r="U69" s="55">
        <v>45992</v>
      </c>
      <c r="V69" s="58">
        <f t="shared" si="0"/>
        <v>64.070480081716042</v>
      </c>
      <c r="W69" s="58">
        <f t="shared" si="1"/>
        <v>159.22331435503659</v>
      </c>
      <c r="X69" s="58">
        <f t="shared" si="2"/>
        <v>161.16243024783236</v>
      </c>
      <c r="Y69" s="58">
        <f t="shared" si="3"/>
        <v>139.78949196488105</v>
      </c>
    </row>
    <row r="70" spans="16:25" x14ac:dyDescent="0.25">
      <c r="P70" s="55">
        <v>46023</v>
      </c>
      <c r="Q70" s="6">
        <v>25.65</v>
      </c>
      <c r="R70" s="6">
        <v>6939.03</v>
      </c>
      <c r="S70" s="6">
        <v>23461.82</v>
      </c>
      <c r="T70" s="6">
        <v>49098.71</v>
      </c>
      <c r="U70" s="55">
        <v>46023</v>
      </c>
      <c r="V70" s="58">
        <f t="shared" si="0"/>
        <v>65.50051072522983</v>
      </c>
      <c r="W70" s="58">
        <f t="shared" si="1"/>
        <v>159.4321675236769</v>
      </c>
      <c r="X70" s="58">
        <f t="shared" si="2"/>
        <v>160.26566789600344</v>
      </c>
      <c r="Y70" s="58">
        <f t="shared" si="3"/>
        <v>142.58854080753122</v>
      </c>
    </row>
    <row r="71" spans="16:25" x14ac:dyDescent="0.25">
      <c r="P71" s="55">
        <v>46054</v>
      </c>
      <c r="Q71" s="6">
        <v>27.65</v>
      </c>
      <c r="R71" s="6">
        <v>6909.51</v>
      </c>
      <c r="S71" s="6">
        <v>22668.21</v>
      </c>
      <c r="T71" s="6">
        <v>48977.919999999998</v>
      </c>
      <c r="U71" s="55">
        <v>46054</v>
      </c>
      <c r="V71" s="58">
        <f t="shared" si="0"/>
        <v>70.607763023493362</v>
      </c>
      <c r="W71" s="58">
        <f t="shared" si="1"/>
        <v>158.75391168888459</v>
      </c>
      <c r="X71" s="58">
        <f t="shared" si="2"/>
        <v>154.84458646673036</v>
      </c>
      <c r="Y71" s="58">
        <f t="shared" si="3"/>
        <v>142.23775216473098</v>
      </c>
    </row>
    <row r="72" spans="16:25" x14ac:dyDescent="0.25">
      <c r="P72" s="55">
        <v>46082</v>
      </c>
      <c r="Q72" s="6">
        <v>28.32</v>
      </c>
      <c r="R72" s="6">
        <v>6368.85</v>
      </c>
      <c r="S72" s="6">
        <v>20948.36</v>
      </c>
      <c r="T72" s="6">
        <v>45577.47</v>
      </c>
      <c r="U72" s="55">
        <v>46082</v>
      </c>
      <c r="V72" s="58">
        <f t="shared" si="0"/>
        <v>72.318692543411657</v>
      </c>
      <c r="W72" s="58">
        <f t="shared" si="1"/>
        <v>146.3316285032879</v>
      </c>
      <c r="X72" s="58">
        <f t="shared" si="2"/>
        <v>143.09643952284702</v>
      </c>
      <c r="Y72" s="58">
        <f t="shared" si="3"/>
        <v>132.36243764854575</v>
      </c>
    </row>
    <row r="73" spans="16:25" x14ac:dyDescent="0.25">
      <c r="P73" s="55">
        <v>46113</v>
      </c>
      <c r="Q73" s="6">
        <v>26.33</v>
      </c>
      <c r="R73" s="6">
        <v>7123.06</v>
      </c>
      <c r="S73" s="6">
        <v>24468.48</v>
      </c>
      <c r="T73" s="6">
        <v>49447.43</v>
      </c>
      <c r="U73" s="55">
        <v>46113</v>
      </c>
      <c r="V73" s="58">
        <f t="shared" si="0"/>
        <v>67.236976506639436</v>
      </c>
      <c r="W73" s="58">
        <f t="shared" si="1"/>
        <v>163.66046770243133</v>
      </c>
      <c r="X73" s="58">
        <f t="shared" si="2"/>
        <v>167.14207549115977</v>
      </c>
      <c r="Y73" s="58">
        <f t="shared" si="3"/>
        <v>143.60126549928793</v>
      </c>
    </row>
    <row r="74" spans="16:25" x14ac:dyDescent="0.25">
      <c r="P74" s="55">
        <v>46143</v>
      </c>
      <c r="Q74" s="6">
        <v>25.9</v>
      </c>
      <c r="R74" s="6">
        <v>7473.47</v>
      </c>
      <c r="S74" s="6">
        <v>26343.97</v>
      </c>
      <c r="T74" s="6">
        <v>50579.7</v>
      </c>
      <c r="U74" s="55">
        <v>46143</v>
      </c>
      <c r="V74" s="58">
        <f t="shared" si="0"/>
        <v>66.138917262512777</v>
      </c>
      <c r="W74" s="58">
        <f t="shared" si="1"/>
        <v>171.71153908012701</v>
      </c>
      <c r="X74" s="58">
        <f t="shared" si="2"/>
        <v>179.95338584484401</v>
      </c>
      <c r="Y74" s="58">
        <f t="shared" si="3"/>
        <v>146.88951333920352</v>
      </c>
    </row>
    <row r="75" spans="16:25" x14ac:dyDescent="0.25">
      <c r="P75" s="55">
        <v>46174</v>
      </c>
      <c r="Q75" s="59">
        <v>25.09</v>
      </c>
      <c r="R75" s="6">
        <v>7425.29</v>
      </c>
      <c r="S75" s="6">
        <v>25883.49</v>
      </c>
      <c r="T75" s="6">
        <v>51200.15</v>
      </c>
      <c r="U75" s="55">
        <v>46174</v>
      </c>
      <c r="V75" s="58">
        <f t="shared" si="0"/>
        <v>64.070480081716042</v>
      </c>
      <c r="W75" s="58">
        <f t="shared" si="1"/>
        <v>170.60454835789483</v>
      </c>
      <c r="X75" s="58">
        <f t="shared" si="2"/>
        <v>176.80788669973288</v>
      </c>
      <c r="Y75" s="58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3B87-A1AF-4144-A2AC-0029D98550F9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2026-09-01T16:03:38Z</dcterms:modified>
  <cp:category/>
  <cp:contentStatus/>
</cp:coreProperties>
</file>