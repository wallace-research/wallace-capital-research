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dcf models\"/>
    </mc:Choice>
  </mc:AlternateContent>
  <xr:revisionPtr revIDLastSave="0" documentId="13_ncr:1_{1A187234-D9A3-4BE2-A048-B62AB7D0176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ACC Input" sheetId="5" r:id="rId1"/>
    <sheet name="Base Assumptions" sheetId="1" r:id="rId2"/>
    <sheet name="Bear Assumptions" sheetId="3" r:id="rId3"/>
    <sheet name="Bull Assumptions" sheetId="4" r:id="rId4"/>
    <sheet name="Export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19" i="5"/>
  <c r="C22" i="5"/>
  <c r="C24" i="5" s="1"/>
  <c r="C18" i="5"/>
  <c r="C12" i="5"/>
  <c r="C14" i="5" s="1"/>
  <c r="H21" i="1"/>
  <c r="G21" i="1"/>
  <c r="F21" i="1"/>
  <c r="E21" i="1"/>
  <c r="M48" i="4"/>
  <c r="M42" i="4"/>
  <c r="M48" i="3"/>
  <c r="M42" i="3"/>
  <c r="M48" i="1"/>
  <c r="M42" i="1"/>
  <c r="T9" i="4"/>
  <c r="T9" i="3"/>
  <c r="T9" i="1"/>
  <c r="I21" i="4"/>
  <c r="H21" i="4"/>
  <c r="G21" i="4"/>
  <c r="F21" i="4"/>
  <c r="E21" i="4"/>
  <c r="G21" i="3"/>
  <c r="F21" i="3"/>
  <c r="E21" i="3"/>
  <c r="Y75" i="4"/>
  <c r="X75" i="4"/>
  <c r="W75" i="4"/>
  <c r="V75" i="4"/>
  <c r="Y74" i="4"/>
  <c r="X74" i="4"/>
  <c r="W74" i="4"/>
  <c r="V74" i="4"/>
  <c r="Y73" i="4"/>
  <c r="X73" i="4"/>
  <c r="W73" i="4"/>
  <c r="V73" i="4"/>
  <c r="Y72" i="4"/>
  <c r="X72" i="4"/>
  <c r="W72" i="4"/>
  <c r="V72" i="4"/>
  <c r="Y71" i="4"/>
  <c r="X71" i="4"/>
  <c r="W71" i="4"/>
  <c r="V71" i="4"/>
  <c r="Y70" i="4"/>
  <c r="X70" i="4"/>
  <c r="W70" i="4"/>
  <c r="V70" i="4"/>
  <c r="Y69" i="4"/>
  <c r="X69" i="4"/>
  <c r="W69" i="4"/>
  <c r="V69" i="4"/>
  <c r="Y68" i="4"/>
  <c r="X68" i="4"/>
  <c r="W68" i="4"/>
  <c r="V68" i="4"/>
  <c r="Y67" i="4"/>
  <c r="X67" i="4"/>
  <c r="W67" i="4"/>
  <c r="V67" i="4"/>
  <c r="Y66" i="4"/>
  <c r="X66" i="4"/>
  <c r="W66" i="4"/>
  <c r="V66" i="4"/>
  <c r="Y65" i="4"/>
  <c r="X65" i="4"/>
  <c r="W65" i="4"/>
  <c r="V65" i="4"/>
  <c r="Y64" i="4"/>
  <c r="X64" i="4"/>
  <c r="W64" i="4"/>
  <c r="V64" i="4"/>
  <c r="Y63" i="4"/>
  <c r="X63" i="4"/>
  <c r="W63" i="4"/>
  <c r="V63" i="4"/>
  <c r="Y62" i="4"/>
  <c r="X62" i="4"/>
  <c r="W62" i="4"/>
  <c r="V62" i="4"/>
  <c r="Y61" i="4"/>
  <c r="X61" i="4"/>
  <c r="W61" i="4"/>
  <c r="V61" i="4"/>
  <c r="Y60" i="4"/>
  <c r="X60" i="4"/>
  <c r="W60" i="4"/>
  <c r="V60" i="4"/>
  <c r="Y59" i="4"/>
  <c r="X59" i="4"/>
  <c r="W59" i="4"/>
  <c r="V59" i="4"/>
  <c r="Y58" i="4"/>
  <c r="X58" i="4"/>
  <c r="W58" i="4"/>
  <c r="V58" i="4"/>
  <c r="Y57" i="4"/>
  <c r="X57" i="4"/>
  <c r="W57" i="4"/>
  <c r="V57" i="4"/>
  <c r="Y56" i="4"/>
  <c r="X56" i="4"/>
  <c r="W56" i="4"/>
  <c r="V56" i="4"/>
  <c r="Y55" i="4"/>
  <c r="X55" i="4"/>
  <c r="W55" i="4"/>
  <c r="V55" i="4"/>
  <c r="Y54" i="4"/>
  <c r="X54" i="4"/>
  <c r="W54" i="4"/>
  <c r="V54" i="4"/>
  <c r="Y53" i="4"/>
  <c r="X53" i="4"/>
  <c r="W53" i="4"/>
  <c r="V53" i="4"/>
  <c r="Y52" i="4"/>
  <c r="X52" i="4"/>
  <c r="W52" i="4"/>
  <c r="V52" i="4"/>
  <c r="Y51" i="4"/>
  <c r="X51" i="4"/>
  <c r="W51" i="4"/>
  <c r="V51" i="4"/>
  <c r="Y50" i="4"/>
  <c r="X50" i="4"/>
  <c r="W50" i="4"/>
  <c r="V50" i="4"/>
  <c r="Y49" i="4"/>
  <c r="X49" i="4"/>
  <c r="W49" i="4"/>
  <c r="V49" i="4"/>
  <c r="Y48" i="4"/>
  <c r="X48" i="4"/>
  <c r="W48" i="4"/>
  <c r="V48" i="4"/>
  <c r="Y47" i="4"/>
  <c r="X47" i="4"/>
  <c r="W47" i="4"/>
  <c r="V47" i="4"/>
  <c r="Y46" i="4"/>
  <c r="X46" i="4"/>
  <c r="W46" i="4"/>
  <c r="V46" i="4"/>
  <c r="Y45" i="4"/>
  <c r="X45" i="4"/>
  <c r="W45" i="4"/>
  <c r="V45" i="4"/>
  <c r="Y44" i="4"/>
  <c r="X44" i="4"/>
  <c r="W44" i="4"/>
  <c r="V44" i="4"/>
  <c r="Y43" i="4"/>
  <c r="X43" i="4"/>
  <c r="W43" i="4"/>
  <c r="V43" i="4"/>
  <c r="Y42" i="4"/>
  <c r="X42" i="4"/>
  <c r="W42" i="4"/>
  <c r="V42" i="4"/>
  <c r="Y41" i="4"/>
  <c r="X41" i="4"/>
  <c r="W41" i="4"/>
  <c r="V41" i="4"/>
  <c r="Y40" i="4"/>
  <c r="X40" i="4"/>
  <c r="W40" i="4"/>
  <c r="V40" i="4"/>
  <c r="Y39" i="4"/>
  <c r="X39" i="4"/>
  <c r="W39" i="4"/>
  <c r="V39" i="4"/>
  <c r="Y38" i="4"/>
  <c r="X38" i="4"/>
  <c r="W38" i="4"/>
  <c r="V38" i="4"/>
  <c r="M38" i="4"/>
  <c r="G38" i="4"/>
  <c r="B38" i="4"/>
  <c r="Y37" i="4"/>
  <c r="X37" i="4"/>
  <c r="W37" i="4"/>
  <c r="V37" i="4"/>
  <c r="G37" i="4"/>
  <c r="B37" i="4"/>
  <c r="Y36" i="4"/>
  <c r="X36" i="4"/>
  <c r="W36" i="4"/>
  <c r="V36" i="4"/>
  <c r="G36" i="4"/>
  <c r="G39" i="4" s="1"/>
  <c r="Y35" i="4"/>
  <c r="X35" i="4"/>
  <c r="W35" i="4"/>
  <c r="V35" i="4"/>
  <c r="Y34" i="4"/>
  <c r="X34" i="4"/>
  <c r="W34" i="4"/>
  <c r="V34" i="4"/>
  <c r="Y33" i="4"/>
  <c r="X33" i="4"/>
  <c r="W33" i="4"/>
  <c r="V33" i="4"/>
  <c r="Y32" i="4"/>
  <c r="X32" i="4"/>
  <c r="W32" i="4"/>
  <c r="V32" i="4"/>
  <c r="Y31" i="4"/>
  <c r="X31" i="4"/>
  <c r="W31" i="4"/>
  <c r="V31" i="4"/>
  <c r="I31" i="4"/>
  <c r="H31" i="4"/>
  <c r="G31" i="4"/>
  <c r="F31" i="4"/>
  <c r="E31" i="4"/>
  <c r="D31" i="4"/>
  <c r="Y30" i="4"/>
  <c r="X30" i="4"/>
  <c r="W30" i="4"/>
  <c r="V30" i="4"/>
  <c r="Y29" i="4"/>
  <c r="X29" i="4"/>
  <c r="W29" i="4"/>
  <c r="V29" i="4"/>
  <c r="Y28" i="4"/>
  <c r="X28" i="4"/>
  <c r="W28" i="4"/>
  <c r="V28" i="4"/>
  <c r="Y27" i="4"/>
  <c r="X27" i="4"/>
  <c r="W27" i="4"/>
  <c r="V27" i="4"/>
  <c r="E27" i="4"/>
  <c r="D27" i="4"/>
  <c r="Y26" i="4"/>
  <c r="X26" i="4"/>
  <c r="W26" i="4"/>
  <c r="V26" i="4"/>
  <c r="E26" i="4"/>
  <c r="D26" i="4"/>
  <c r="Y25" i="4"/>
  <c r="X25" i="4"/>
  <c r="W25" i="4"/>
  <c r="V25" i="4"/>
  <c r="D25" i="4"/>
  <c r="Y24" i="4"/>
  <c r="X24" i="4"/>
  <c r="W24" i="4"/>
  <c r="V24" i="4"/>
  <c r="Y23" i="4"/>
  <c r="X23" i="4"/>
  <c r="W23" i="4"/>
  <c r="V23" i="4"/>
  <c r="Y22" i="4"/>
  <c r="X22" i="4"/>
  <c r="W22" i="4"/>
  <c r="V22" i="4"/>
  <c r="D22" i="4"/>
  <c r="D23" i="4" s="1"/>
  <c r="Y21" i="4"/>
  <c r="X21" i="4"/>
  <c r="W21" i="4"/>
  <c r="V21" i="4"/>
  <c r="E22" i="4"/>
  <c r="Y20" i="4"/>
  <c r="X20" i="4"/>
  <c r="W20" i="4"/>
  <c r="V20" i="4"/>
  <c r="Y19" i="4"/>
  <c r="X19" i="4"/>
  <c r="W19" i="4"/>
  <c r="V19" i="4"/>
  <c r="Y18" i="4"/>
  <c r="X18" i="4"/>
  <c r="W18" i="4"/>
  <c r="V18" i="4"/>
  <c r="Y17" i="4"/>
  <c r="X17" i="4"/>
  <c r="W17" i="4"/>
  <c r="V17" i="4"/>
  <c r="Y16" i="4"/>
  <c r="X16" i="4"/>
  <c r="W16" i="4"/>
  <c r="V16" i="4"/>
  <c r="Y15" i="4"/>
  <c r="X15" i="4"/>
  <c r="W15" i="4"/>
  <c r="V15" i="4"/>
  <c r="Y75" i="3"/>
  <c r="X75" i="3"/>
  <c r="W75" i="3"/>
  <c r="V75" i="3"/>
  <c r="Y74" i="3"/>
  <c r="X74" i="3"/>
  <c r="W74" i="3"/>
  <c r="V74" i="3"/>
  <c r="Y73" i="3"/>
  <c r="X73" i="3"/>
  <c r="W73" i="3"/>
  <c r="V73" i="3"/>
  <c r="Y72" i="3"/>
  <c r="X72" i="3"/>
  <c r="W72" i="3"/>
  <c r="V72" i="3"/>
  <c r="Y71" i="3"/>
  <c r="X71" i="3"/>
  <c r="W71" i="3"/>
  <c r="V71" i="3"/>
  <c r="Y70" i="3"/>
  <c r="X70" i="3"/>
  <c r="W70" i="3"/>
  <c r="V70" i="3"/>
  <c r="Y69" i="3"/>
  <c r="X69" i="3"/>
  <c r="W69" i="3"/>
  <c r="V69" i="3"/>
  <c r="Y68" i="3"/>
  <c r="X68" i="3"/>
  <c r="W68" i="3"/>
  <c r="V68" i="3"/>
  <c r="Y67" i="3"/>
  <c r="X67" i="3"/>
  <c r="W67" i="3"/>
  <c r="V67" i="3"/>
  <c r="Y66" i="3"/>
  <c r="X66" i="3"/>
  <c r="W66" i="3"/>
  <c r="V66" i="3"/>
  <c r="Y65" i="3"/>
  <c r="X65" i="3"/>
  <c r="W65" i="3"/>
  <c r="V65" i="3"/>
  <c r="Y64" i="3"/>
  <c r="X64" i="3"/>
  <c r="W64" i="3"/>
  <c r="V64" i="3"/>
  <c r="Y63" i="3"/>
  <c r="X63" i="3"/>
  <c r="W63" i="3"/>
  <c r="V63" i="3"/>
  <c r="Y62" i="3"/>
  <c r="X62" i="3"/>
  <c r="W62" i="3"/>
  <c r="V62" i="3"/>
  <c r="Y61" i="3"/>
  <c r="X61" i="3"/>
  <c r="W61" i="3"/>
  <c r="V61" i="3"/>
  <c r="Y60" i="3"/>
  <c r="X60" i="3"/>
  <c r="W60" i="3"/>
  <c r="V60" i="3"/>
  <c r="Y59" i="3"/>
  <c r="X59" i="3"/>
  <c r="W59" i="3"/>
  <c r="V59" i="3"/>
  <c r="Y58" i="3"/>
  <c r="X58" i="3"/>
  <c r="W58" i="3"/>
  <c r="V58" i="3"/>
  <c r="Y57" i="3"/>
  <c r="X57" i="3"/>
  <c r="W57" i="3"/>
  <c r="V57" i="3"/>
  <c r="Y56" i="3"/>
  <c r="X56" i="3"/>
  <c r="W56" i="3"/>
  <c r="V56" i="3"/>
  <c r="Y55" i="3"/>
  <c r="X55" i="3"/>
  <c r="W55" i="3"/>
  <c r="V55" i="3"/>
  <c r="Y54" i="3"/>
  <c r="X54" i="3"/>
  <c r="W54" i="3"/>
  <c r="V54" i="3"/>
  <c r="Y53" i="3"/>
  <c r="X53" i="3"/>
  <c r="W53" i="3"/>
  <c r="V53" i="3"/>
  <c r="Y52" i="3"/>
  <c r="X52" i="3"/>
  <c r="W52" i="3"/>
  <c r="V52" i="3"/>
  <c r="Y51" i="3"/>
  <c r="X51" i="3"/>
  <c r="W51" i="3"/>
  <c r="V51" i="3"/>
  <c r="Y50" i="3"/>
  <c r="X50" i="3"/>
  <c r="W50" i="3"/>
  <c r="V50" i="3"/>
  <c r="Y49" i="3"/>
  <c r="X49" i="3"/>
  <c r="W49" i="3"/>
  <c r="V49" i="3"/>
  <c r="Y48" i="3"/>
  <c r="X48" i="3"/>
  <c r="W48" i="3"/>
  <c r="V48" i="3"/>
  <c r="Y47" i="3"/>
  <c r="X47" i="3"/>
  <c r="W47" i="3"/>
  <c r="V47" i="3"/>
  <c r="Y46" i="3"/>
  <c r="X46" i="3"/>
  <c r="W46" i="3"/>
  <c r="V46" i="3"/>
  <c r="Y45" i="3"/>
  <c r="X45" i="3"/>
  <c r="W45" i="3"/>
  <c r="V45" i="3"/>
  <c r="Y44" i="3"/>
  <c r="X44" i="3"/>
  <c r="W44" i="3"/>
  <c r="V44" i="3"/>
  <c r="Y43" i="3"/>
  <c r="X43" i="3"/>
  <c r="W43" i="3"/>
  <c r="V43" i="3"/>
  <c r="Y42" i="3"/>
  <c r="X42" i="3"/>
  <c r="W42" i="3"/>
  <c r="V42" i="3"/>
  <c r="Y41" i="3"/>
  <c r="X41" i="3"/>
  <c r="W41" i="3"/>
  <c r="V41" i="3"/>
  <c r="Y40" i="3"/>
  <c r="X40" i="3"/>
  <c r="W40" i="3"/>
  <c r="V40" i="3"/>
  <c r="Y39" i="3"/>
  <c r="X39" i="3"/>
  <c r="W39" i="3"/>
  <c r="V39" i="3"/>
  <c r="Y38" i="3"/>
  <c r="X38" i="3"/>
  <c r="W38" i="3"/>
  <c r="V38" i="3"/>
  <c r="M38" i="3"/>
  <c r="G38" i="3"/>
  <c r="B38" i="3"/>
  <c r="Y37" i="3"/>
  <c r="X37" i="3"/>
  <c r="W37" i="3"/>
  <c r="V37" i="3"/>
  <c r="G37" i="3"/>
  <c r="B37" i="3"/>
  <c r="Y36" i="3"/>
  <c r="X36" i="3"/>
  <c r="W36" i="3"/>
  <c r="V36" i="3"/>
  <c r="G36" i="3"/>
  <c r="G39" i="3" s="1"/>
  <c r="Y35" i="3"/>
  <c r="X35" i="3"/>
  <c r="W35" i="3"/>
  <c r="V35" i="3"/>
  <c r="Y34" i="3"/>
  <c r="X34" i="3"/>
  <c r="W34" i="3"/>
  <c r="V34" i="3"/>
  <c r="Y33" i="3"/>
  <c r="X33" i="3"/>
  <c r="W33" i="3"/>
  <c r="V33" i="3"/>
  <c r="Y32" i="3"/>
  <c r="X32" i="3"/>
  <c r="W32" i="3"/>
  <c r="V32" i="3"/>
  <c r="Y31" i="3"/>
  <c r="X31" i="3"/>
  <c r="W31" i="3"/>
  <c r="V31" i="3"/>
  <c r="I31" i="3"/>
  <c r="H31" i="3"/>
  <c r="G31" i="3"/>
  <c r="F31" i="3"/>
  <c r="E31" i="3"/>
  <c r="D31" i="3"/>
  <c r="Y30" i="3"/>
  <c r="X30" i="3"/>
  <c r="W30" i="3"/>
  <c r="V30" i="3"/>
  <c r="Y29" i="3"/>
  <c r="X29" i="3"/>
  <c r="W29" i="3"/>
  <c r="V29" i="3"/>
  <c r="Y28" i="3"/>
  <c r="X28" i="3"/>
  <c r="W28" i="3"/>
  <c r="V28" i="3"/>
  <c r="Y27" i="3"/>
  <c r="X27" i="3"/>
  <c r="W27" i="3"/>
  <c r="V27" i="3"/>
  <c r="E27" i="3"/>
  <c r="D27" i="3"/>
  <c r="Y26" i="3"/>
  <c r="X26" i="3"/>
  <c r="W26" i="3"/>
  <c r="V26" i="3"/>
  <c r="E26" i="3"/>
  <c r="D26" i="3"/>
  <c r="Y25" i="3"/>
  <c r="X25" i="3"/>
  <c r="W25" i="3"/>
  <c r="V25" i="3"/>
  <c r="D25" i="3"/>
  <c r="Y24" i="3"/>
  <c r="X24" i="3"/>
  <c r="W24" i="3"/>
  <c r="V24" i="3"/>
  <c r="Y23" i="3"/>
  <c r="X23" i="3"/>
  <c r="W23" i="3"/>
  <c r="V23" i="3"/>
  <c r="Y22" i="3"/>
  <c r="X22" i="3"/>
  <c r="W22" i="3"/>
  <c r="V22" i="3"/>
  <c r="E22" i="3"/>
  <c r="E24" i="3" s="1"/>
  <c r="E28" i="3" s="1"/>
  <c r="D22" i="3"/>
  <c r="D23" i="3" s="1"/>
  <c r="Y21" i="3"/>
  <c r="X21" i="3"/>
  <c r="W21" i="3"/>
  <c r="V21" i="3"/>
  <c r="E25" i="3"/>
  <c r="Y20" i="3"/>
  <c r="X20" i="3"/>
  <c r="W20" i="3"/>
  <c r="V20" i="3"/>
  <c r="Y19" i="3"/>
  <c r="X19" i="3"/>
  <c r="W19" i="3"/>
  <c r="V19" i="3"/>
  <c r="Y18" i="3"/>
  <c r="X18" i="3"/>
  <c r="W18" i="3"/>
  <c r="V18" i="3"/>
  <c r="Y17" i="3"/>
  <c r="X17" i="3"/>
  <c r="W17" i="3"/>
  <c r="V17" i="3"/>
  <c r="Y16" i="3"/>
  <c r="X16" i="3"/>
  <c r="W16" i="3"/>
  <c r="V16" i="3"/>
  <c r="Y15" i="3"/>
  <c r="X15" i="3"/>
  <c r="W15" i="3"/>
  <c r="V15" i="3"/>
  <c r="V16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16" i="1"/>
  <c r="Y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17" i="1"/>
  <c r="X16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17" i="1"/>
  <c r="W16" i="1"/>
  <c r="Y15" i="1"/>
  <c r="X15" i="1"/>
  <c r="W15" i="1"/>
  <c r="C13" i="5" l="1"/>
  <c r="C28" i="5" s="1"/>
  <c r="I21" i="1"/>
  <c r="D24" i="4"/>
  <c r="D28" i="4" s="1"/>
  <c r="Q7" i="4" s="1"/>
  <c r="D24" i="3"/>
  <c r="D28" i="3" s="1"/>
  <c r="Q7" i="3" s="1"/>
  <c r="C32" i="4"/>
  <c r="G40" i="4"/>
  <c r="C30" i="4"/>
  <c r="E24" i="4"/>
  <c r="E28" i="4" s="1"/>
  <c r="E23" i="4"/>
  <c r="E25" i="4"/>
  <c r="Q8" i="3"/>
  <c r="E30" i="3"/>
  <c r="E32" i="3" s="1"/>
  <c r="G40" i="3"/>
  <c r="C30" i="3"/>
  <c r="C32" i="3"/>
  <c r="E23" i="3"/>
  <c r="D22" i="1"/>
  <c r="D27" i="1"/>
  <c r="D26" i="1"/>
  <c r="D25" i="1"/>
  <c r="G36" i="1"/>
  <c r="D30" i="3" l="1"/>
  <c r="D32" i="3" s="1"/>
  <c r="D30" i="4"/>
  <c r="D32" i="4" s="1"/>
  <c r="Q8" i="4"/>
  <c r="E30" i="4"/>
  <c r="E32" i="4" s="1"/>
  <c r="G41" i="4"/>
  <c r="F25" i="4"/>
  <c r="F27" i="4"/>
  <c r="F26" i="4"/>
  <c r="F22" i="4"/>
  <c r="G41" i="3"/>
  <c r="F27" i="3"/>
  <c r="F26" i="3"/>
  <c r="F22" i="3"/>
  <c r="F25" i="3"/>
  <c r="E27" i="1"/>
  <c r="E25" i="1"/>
  <c r="E26" i="1"/>
  <c r="F26" i="1"/>
  <c r="F27" i="1"/>
  <c r="G27" i="1"/>
  <c r="G25" i="1"/>
  <c r="G26" i="1"/>
  <c r="F25" i="1"/>
  <c r="F24" i="4" l="1"/>
  <c r="F28" i="4" s="1"/>
  <c r="F23" i="4"/>
  <c r="G27" i="4"/>
  <c r="G26" i="4"/>
  <c r="G22" i="4"/>
  <c r="G25" i="4"/>
  <c r="G27" i="3"/>
  <c r="G26" i="3"/>
  <c r="G22" i="3"/>
  <c r="G25" i="3"/>
  <c r="H21" i="3"/>
  <c r="F24" i="3"/>
  <c r="F28" i="3" s="1"/>
  <c r="F23" i="3"/>
  <c r="H26" i="1"/>
  <c r="H27" i="1"/>
  <c r="H25" i="1"/>
  <c r="Q9" i="4" l="1"/>
  <c r="F30" i="4"/>
  <c r="F32" i="4" s="1"/>
  <c r="G24" i="4"/>
  <c r="G28" i="4" s="1"/>
  <c r="G23" i="4"/>
  <c r="H27" i="4"/>
  <c r="H26" i="4"/>
  <c r="H22" i="4"/>
  <c r="H25" i="4"/>
  <c r="H27" i="3"/>
  <c r="H26" i="3"/>
  <c r="H22" i="3"/>
  <c r="H25" i="3"/>
  <c r="I21" i="3"/>
  <c r="Q9" i="3"/>
  <c r="F30" i="3"/>
  <c r="F32" i="3" s="1"/>
  <c r="G24" i="3"/>
  <c r="G28" i="3" s="1"/>
  <c r="G23" i="3"/>
  <c r="I26" i="1"/>
  <c r="I27" i="1"/>
  <c r="I25" i="1"/>
  <c r="E22" i="1"/>
  <c r="B38" i="1"/>
  <c r="H24" i="4" l="1"/>
  <c r="H28" i="4" s="1"/>
  <c r="H23" i="4"/>
  <c r="G30" i="4"/>
  <c r="G32" i="4" s="1"/>
  <c r="Q10" i="4"/>
  <c r="I27" i="4"/>
  <c r="I26" i="4"/>
  <c r="I22" i="4"/>
  <c r="I25" i="4"/>
  <c r="G30" i="3"/>
  <c r="G32" i="3" s="1"/>
  <c r="Q10" i="3"/>
  <c r="I27" i="3"/>
  <c r="I26" i="3"/>
  <c r="I22" i="3"/>
  <c r="I25" i="3"/>
  <c r="H23" i="3"/>
  <c r="H24" i="3"/>
  <c r="H28" i="3" s="1"/>
  <c r="F22" i="1"/>
  <c r="D23" i="1"/>
  <c r="V15" i="1"/>
  <c r="M38" i="1"/>
  <c r="B37" i="1"/>
  <c r="G37" i="1"/>
  <c r="G38" i="1"/>
  <c r="E31" i="1"/>
  <c r="F31" i="1"/>
  <c r="G31" i="1"/>
  <c r="H31" i="1"/>
  <c r="I31" i="1"/>
  <c r="D31" i="1"/>
  <c r="M21" i="4" l="1"/>
  <c r="M21" i="3"/>
  <c r="I23" i="4"/>
  <c r="I24" i="4"/>
  <c r="I28" i="4" s="1"/>
  <c r="H30" i="4"/>
  <c r="H32" i="4" s="1"/>
  <c r="Q11" i="4"/>
  <c r="I23" i="3"/>
  <c r="I24" i="3"/>
  <c r="I28" i="3" s="1"/>
  <c r="H30" i="3"/>
  <c r="H32" i="3" s="1"/>
  <c r="Q11" i="3"/>
  <c r="G22" i="1"/>
  <c r="D24" i="1"/>
  <c r="G39" i="1"/>
  <c r="C30" i="1" s="1"/>
  <c r="I30" i="4" l="1"/>
  <c r="I32" i="4" s="1"/>
  <c r="B36" i="4" s="1"/>
  <c r="M20" i="4"/>
  <c r="M22" i="4" s="1"/>
  <c r="J32" i="4" s="1"/>
  <c r="Q12" i="4"/>
  <c r="Q12" i="3"/>
  <c r="I30" i="3"/>
  <c r="I32" i="3" s="1"/>
  <c r="B36" i="3" s="1"/>
  <c r="M20" i="3"/>
  <c r="M22" i="3" s="1"/>
  <c r="J32" i="3" s="1"/>
  <c r="H22" i="1"/>
  <c r="D28" i="1"/>
  <c r="Q7" i="1" s="1"/>
  <c r="G40" i="1"/>
  <c r="G41" i="1" s="1"/>
  <c r="C32" i="1"/>
  <c r="E24" i="1"/>
  <c r="E28" i="1" s="1"/>
  <c r="E23" i="1"/>
  <c r="J30" i="4" l="1"/>
  <c r="B39" i="4"/>
  <c r="B40" i="4" s="1"/>
  <c r="B39" i="3"/>
  <c r="B40" i="3" s="1"/>
  <c r="J30" i="3"/>
  <c r="I22" i="1"/>
  <c r="M21" i="1" s="1"/>
  <c r="D30" i="1"/>
  <c r="D32" i="1" s="1"/>
  <c r="E30" i="1"/>
  <c r="E32" i="1" s="1"/>
  <c r="Q8" i="1"/>
  <c r="F24" i="1"/>
  <c r="F28" i="1" s="1"/>
  <c r="F23" i="1"/>
  <c r="B41" i="4" l="1"/>
  <c r="M41" i="4"/>
  <c r="M47" i="4"/>
  <c r="T7" i="4"/>
  <c r="M43" i="4"/>
  <c r="M50" i="4"/>
  <c r="M49" i="4"/>
  <c r="M44" i="4"/>
  <c r="M50" i="3"/>
  <c r="M43" i="3"/>
  <c r="M41" i="3"/>
  <c r="M49" i="3"/>
  <c r="M47" i="3"/>
  <c r="T7" i="3"/>
  <c r="M44" i="3"/>
  <c r="M37" i="4"/>
  <c r="M37" i="3"/>
  <c r="B41" i="3"/>
  <c r="F30" i="1"/>
  <c r="F32" i="1" s="1"/>
  <c r="Q9" i="1"/>
  <c r="G24" i="1"/>
  <c r="G28" i="1" s="1"/>
  <c r="G23" i="1"/>
  <c r="G30" i="1" l="1"/>
  <c r="G32" i="1" s="1"/>
  <c r="Q10" i="1"/>
  <c r="H24" i="1"/>
  <c r="H28" i="1" s="1"/>
  <c r="H23" i="1"/>
  <c r="H30" i="1" l="1"/>
  <c r="H32" i="1" s="1"/>
  <c r="Q11" i="1"/>
  <c r="I24" i="1"/>
  <c r="I28" i="1" s="1"/>
  <c r="Q12" i="1" s="1"/>
  <c r="I23" i="1"/>
  <c r="M20" i="1" l="1"/>
  <c r="M22" i="1" s="1"/>
  <c r="I30" i="1"/>
  <c r="I32" i="1" s="1"/>
  <c r="B36" i="1" s="1"/>
  <c r="B39" i="1" l="1"/>
  <c r="B40" i="1" s="1"/>
  <c r="J30" i="1"/>
  <c r="J32" i="1"/>
  <c r="M44" i="1" l="1"/>
  <c r="M50" i="1"/>
  <c r="M49" i="1"/>
  <c r="M47" i="1"/>
  <c r="M43" i="1"/>
  <c r="M41" i="1"/>
  <c r="T7" i="1"/>
  <c r="M37" i="1"/>
  <c r="B41" i="1"/>
</calcChain>
</file>

<file path=xl/sharedStrings.xml><?xml version="1.0" encoding="utf-8"?>
<sst xmlns="http://schemas.openxmlformats.org/spreadsheetml/2006/main" count="345" uniqueCount="125">
  <si>
    <t>Wallace Capital Research</t>
  </si>
  <si>
    <t>Assumptions</t>
  </si>
  <si>
    <t>Tax Rate</t>
  </si>
  <si>
    <t>Discount Rate (WACC)</t>
  </si>
  <si>
    <t>Perpetual Growth Rate</t>
  </si>
  <si>
    <t>EV/EBITDA Multiple</t>
  </si>
  <si>
    <t>Transaction Date</t>
  </si>
  <si>
    <t>Fiscal Year End</t>
  </si>
  <si>
    <t>Current Price</t>
  </si>
  <si>
    <t>Shares Outstanding</t>
  </si>
  <si>
    <t>Debt</t>
  </si>
  <si>
    <t>Cash</t>
  </si>
  <si>
    <t>Capex</t>
  </si>
  <si>
    <t>Entry</t>
  </si>
  <si>
    <t>Exit</t>
  </si>
  <si>
    <t>Terminal Value</t>
  </si>
  <si>
    <t>Date</t>
  </si>
  <si>
    <t>Perpetual Growth</t>
  </si>
  <si>
    <t>Revenue</t>
  </si>
  <si>
    <t>EV/EBITDA</t>
  </si>
  <si>
    <t>Average</t>
  </si>
  <si>
    <t>Taxes</t>
  </si>
  <si>
    <t>(EBIT * Tax Rate)</t>
  </si>
  <si>
    <t>NOPAT</t>
  </si>
  <si>
    <t>(EBIT * (1 - Tax Rate)</t>
  </si>
  <si>
    <t>Plus: D&amp;A</t>
  </si>
  <si>
    <t>Less: Capex</t>
  </si>
  <si>
    <t>Less: Change in NWC</t>
  </si>
  <si>
    <t>Unlevered Free Cash Flow</t>
  </si>
  <si>
    <t>(NOPAT + D&amp;A - Capex - Change in NWC)</t>
  </si>
  <si>
    <t>Enterprise Value</t>
  </si>
  <si>
    <t>Market Value</t>
  </si>
  <si>
    <t>(Market Cap + Debt - Cash)</t>
  </si>
  <si>
    <t>Market Cap</t>
  </si>
  <si>
    <t>(Shares Outstanding * Current Price)</t>
  </si>
  <si>
    <t>Time Period</t>
  </si>
  <si>
    <t>Transaction CF</t>
  </si>
  <si>
    <t>Discount Factor</t>
  </si>
  <si>
    <t>(Unlevered FCF 2031 + Average Terminal Value)</t>
  </si>
  <si>
    <t>(1/(1+WACC)^Time Period</t>
  </si>
  <si>
    <t>Present Value of Transaction CF</t>
  </si>
  <si>
    <t>Intrinsic Value</t>
  </si>
  <si>
    <t>Intrinsic Enterprise Value</t>
  </si>
  <si>
    <t>Discounted Cash Flow</t>
  </si>
  <si>
    <t>Intrinsic Equity Value</t>
  </si>
  <si>
    <t>(Sum all PV of Transaction CF)</t>
  </si>
  <si>
    <t>Upside / Downside %</t>
  </si>
  <si>
    <t>(Intrinsic Equity Value per Share / Current Price) - 1</t>
  </si>
  <si>
    <t>Enterprise Value per Share</t>
  </si>
  <si>
    <t>(Enterprise Value / Shares Outstanding)</t>
  </si>
  <si>
    <t>(Enterprise Value per Share / Current Price) - 1</t>
  </si>
  <si>
    <t>Rate of Return</t>
  </si>
  <si>
    <t>Target Price Upside</t>
  </si>
  <si>
    <t>Internal Rate of Return (IRR)</t>
  </si>
  <si>
    <t>Intrinsic Value vs Market Value</t>
  </si>
  <si>
    <t>Upside</t>
  </si>
  <si>
    <t>Present Value of Transaction CF (millions)</t>
  </si>
  <si>
    <t>(IRR in millions)</t>
  </si>
  <si>
    <t>Chart Data</t>
  </si>
  <si>
    <t>Year</t>
  </si>
  <si>
    <t>Unlevered FCF</t>
  </si>
  <si>
    <t>Category</t>
  </si>
  <si>
    <t>Value ($ per share)</t>
  </si>
  <si>
    <t>5 YR DCF MODEL</t>
  </si>
  <si>
    <t>S&amp;P 500</t>
  </si>
  <si>
    <t>DJIA</t>
  </si>
  <si>
    <t>S&amp;P 500 Indexed</t>
  </si>
  <si>
    <t>DJIA Indexed</t>
  </si>
  <si>
    <t>Total returns indexed to 100</t>
  </si>
  <si>
    <t>(From Yahoo Finance)</t>
  </si>
  <si>
    <t>NASDAQ Composite</t>
  </si>
  <si>
    <t>NASDAQ Indexed</t>
  </si>
  <si>
    <t>Perpetual Growth Equity Value per Share</t>
  </si>
  <si>
    <t>Downside</t>
  </si>
  <si>
    <t>Mid to end of month closing price</t>
  </si>
  <si>
    <t>(Intrinsic EV + Cash - Debt + Average Growth Terminal Value) / 2</t>
  </si>
  <si>
    <t>(Intrinsic Equity Value / Shares Outstanding)</t>
  </si>
  <si>
    <t>EBIT Margin</t>
  </si>
  <si>
    <t>(as of June 2026)</t>
  </si>
  <si>
    <t>6.5x</t>
  </si>
  <si>
    <t>(Revenue * 0.05)</t>
  </si>
  <si>
    <t>(2% of Revenue)</t>
  </si>
  <si>
    <t>(1% of Revenue)</t>
  </si>
  <si>
    <t>(Revenue improved from previous declines)</t>
  </si>
  <si>
    <t>*base-case assumptions</t>
  </si>
  <si>
    <t>Best Buy Co Inc</t>
  </si>
  <si>
    <t>Best Buy Indexed</t>
  </si>
  <si>
    <t>*bear-case assumptions</t>
  </si>
  <si>
    <t>*bull-case assumptions</t>
  </si>
  <si>
    <t>5.5x</t>
  </si>
  <si>
    <t>(Revenue * 0.035)</t>
  </si>
  <si>
    <t>(1.5% of Revenue)</t>
  </si>
  <si>
    <t>(2.5% of Revenue)</t>
  </si>
  <si>
    <t>7.5x</t>
  </si>
  <si>
    <t>(Revenue * 0.065)</t>
  </si>
  <si>
    <t>Intrinsic Value vs Current Price</t>
  </si>
  <si>
    <t>(3.5% of Revenue)</t>
  </si>
  <si>
    <t>2,191,945,000 (3.5% of Revenue)</t>
  </si>
  <si>
    <t>939,405,000 (1.5% of Revenue)</t>
  </si>
  <si>
    <t>Upside ($)</t>
  </si>
  <si>
    <t>Upside (%)</t>
  </si>
  <si>
    <t>Input</t>
  </si>
  <si>
    <t>Ticker</t>
  </si>
  <si>
    <t>Beta</t>
  </si>
  <si>
    <t>Total Debt</t>
  </si>
  <si>
    <t>Interest Expense (TTM)</t>
  </si>
  <si>
    <t>Effective Tax Rate</t>
  </si>
  <si>
    <t>Risk-Free Rate (beginning of month)</t>
  </si>
  <si>
    <t>Capital Structure Weights</t>
  </si>
  <si>
    <t>Total Capitalization</t>
  </si>
  <si>
    <t>Weight of Equity (E/V)</t>
  </si>
  <si>
    <t>Weight of Debt (D/V)</t>
  </si>
  <si>
    <r>
      <t>Cost of Equity (R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 via CAPM</t>
    </r>
  </si>
  <si>
    <t>Formula</t>
  </si>
  <si>
    <t>Calculation</t>
  </si>
  <si>
    <r>
      <t>After-Tax Cost of Debt (R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)</t>
    </r>
  </si>
  <si>
    <t>Pre-Tax Cost of Debt</t>
  </si>
  <si>
    <t>After-Tax Shield Formula</t>
  </si>
  <si>
    <t>Pre-Tax Rate x (1-Tax Rate)</t>
  </si>
  <si>
    <t>Final Weighted Average Cost of Capital (WACC)</t>
  </si>
  <si>
    <r>
      <t>(W</t>
    </r>
    <r>
      <rPr>
        <vertAlign val="subscript"/>
        <sz val="11"/>
        <color theme="1"/>
        <rFont val="Calibri"/>
        <family val="2"/>
        <scheme val="minor"/>
      </rPr>
      <t>equity</t>
    </r>
    <r>
      <rPr>
        <sz val="11"/>
        <color theme="1"/>
        <rFont val="Calibri"/>
        <family val="2"/>
        <scheme val="minor"/>
      </rPr>
      <t xml:space="preserve"> x R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) + (W</t>
    </r>
    <r>
      <rPr>
        <vertAlign val="subscript"/>
        <sz val="11"/>
        <color theme="1"/>
        <rFont val="Calibri"/>
        <family val="2"/>
        <scheme val="minor"/>
      </rPr>
      <t>debt</t>
    </r>
    <r>
      <rPr>
        <sz val="11"/>
        <color theme="1"/>
        <rFont val="Calibri"/>
        <family val="2"/>
        <scheme val="minor"/>
      </rPr>
      <t xml:space="preserve"> x After-Tax 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</si>
  <si>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t>BBY</t>
  </si>
  <si>
    <t>Risk-Free Rate + (Beta x Market Risk Premium)</t>
  </si>
  <si>
    <t>Market Risk Premium (assuming 9% return)</t>
  </si>
  <si>
    <t>1,565,675,000 (2% of Revenue)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</si>
</sst>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.0"/>
    <numFmt numFmtId="166" formatCode="&quot;$&quot;#,##0"/>
    <numFmt numFmtId="167" formatCode="_(&quot;$&quot;* #,##0_);_(&quot;$&quot;* \(#,##0\);_(&quot;$&quot;* &quot;-&quot;??_);_(@_)"/>
    <numFmt numFmtId="168" formatCode="_(* #,##0_);_(* \(#,##0\);_(* &quot;-&quot;??_);_(@_)"/>
    <numFmt numFmtId="169" formatCode="0.0%"/>
    <numFmt numFmtId="170" formatCode="0.000"/>
  </numFmts>
  <fonts count="9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0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6" fontId="0" fillId="0" borderId="0" xfId="0" applyNumberFormat="1" applyAlignment="1">
      <alignment horizontal="center" vertical="top"/>
    </xf>
    <xf numFmtId="0" fontId="5" fillId="0" borderId="0" xfId="0" applyFont="1"/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6" fontId="0" fillId="0" borderId="0" xfId="0" applyNumberFormat="1"/>
    <xf numFmtId="167" fontId="0" fillId="0" borderId="0" xfId="0" applyNumberFormat="1"/>
    <xf numFmtId="164" fontId="0" fillId="0" borderId="0" xfId="0" applyNumberFormat="1"/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vertical="top"/>
    </xf>
    <xf numFmtId="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9" fontId="0" fillId="0" borderId="0" xfId="0" applyNumberFormat="1"/>
    <xf numFmtId="3" fontId="0" fillId="0" borderId="0" xfId="0" applyNumberFormat="1"/>
    <xf numFmtId="2" fontId="0" fillId="0" borderId="0" xfId="0" applyNumberFormat="1"/>
    <xf numFmtId="168" fontId="0" fillId="0" borderId="0" xfId="1" applyNumberFormat="1" applyFont="1"/>
    <xf numFmtId="0" fontId="2" fillId="4" borderId="0" xfId="0" applyFont="1" applyFill="1"/>
    <xf numFmtId="0" fontId="0" fillId="4" borderId="0" xfId="0" applyFill="1"/>
    <xf numFmtId="168" fontId="0" fillId="0" borderId="0" xfId="2" applyNumberFormat="1" applyFont="1"/>
    <xf numFmtId="165" fontId="0" fillId="0" borderId="0" xfId="0" applyNumberFormat="1" applyAlignment="1">
      <alignment horizontal="center"/>
    </xf>
    <xf numFmtId="9" fontId="3" fillId="3" borderId="0" xfId="0" applyNumberFormat="1" applyFont="1" applyFill="1" applyAlignment="1">
      <alignment horizontal="left"/>
    </xf>
    <xf numFmtId="169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3" fontId="0" fillId="3" borderId="0" xfId="0" applyNumberFormat="1" applyFill="1" applyAlignment="1">
      <alignment horizontal="left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1" applyNumberFormat="1" applyFont="1"/>
    <xf numFmtId="170" fontId="0" fillId="0" borderId="0" xfId="0" applyNumberFormat="1"/>
    <xf numFmtId="0" fontId="4" fillId="5" borderId="1" xfId="0" applyFont="1" applyFill="1" applyBorder="1"/>
    <xf numFmtId="0" fontId="0" fillId="5" borderId="3" xfId="0" applyFill="1" applyBorder="1"/>
    <xf numFmtId="0" fontId="0" fillId="5" borderId="4" xfId="0" applyFill="1" applyBorder="1"/>
    <xf numFmtId="164" fontId="0" fillId="5" borderId="5" xfId="0" applyNumberFormat="1" applyFill="1" applyBorder="1"/>
    <xf numFmtId="0" fontId="0" fillId="5" borderId="5" xfId="0" applyFill="1" applyBorder="1"/>
    <xf numFmtId="0" fontId="4" fillId="5" borderId="4" xfId="0" applyFont="1" applyFill="1" applyBorder="1"/>
    <xf numFmtId="0" fontId="0" fillId="5" borderId="6" xfId="0" applyFill="1" applyBorder="1"/>
    <xf numFmtId="10" fontId="0" fillId="5" borderId="5" xfId="3" applyNumberFormat="1" applyFont="1" applyFill="1" applyBorder="1"/>
    <xf numFmtId="10" fontId="0" fillId="5" borderId="8" xfId="3" applyNumberFormat="1" applyFont="1" applyFill="1" applyBorder="1"/>
    <xf numFmtId="17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168" fontId="0" fillId="0" borderId="5" xfId="1" applyNumberFormat="1" applyFont="1" applyBorder="1" applyAlignment="1">
      <alignment horizontal="right"/>
    </xf>
    <xf numFmtId="9" fontId="0" fillId="0" borderId="5" xfId="0" applyNumberFormat="1" applyBorder="1" applyAlignment="1">
      <alignment horizontal="right"/>
    </xf>
    <xf numFmtId="10" fontId="0" fillId="0" borderId="8" xfId="0" applyNumberFormat="1" applyBorder="1" applyAlignment="1">
      <alignment horizontal="right"/>
    </xf>
    <xf numFmtId="168" fontId="0" fillId="0" borderId="0" xfId="0" applyNumberFormat="1"/>
    <xf numFmtId="10" fontId="0" fillId="0" borderId="0" xfId="3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'Base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'Base Assumptions'!$Q$7:$Q$12</c:f>
              <c:numCache>
                <c:formatCode>_(* #,##0_);_(* \(#,##0\);_(* "-"??_);_(@_)</c:formatCode>
                <c:ptCount val="6"/>
                <c:pt idx="0">
                  <c:v>1471734500</c:v>
                </c:pt>
                <c:pt idx="1">
                  <c:v>1515886535</c:v>
                </c:pt>
                <c:pt idx="2">
                  <c:v>1546204265.7000003</c:v>
                </c:pt>
                <c:pt idx="3">
                  <c:v>1577128351.0139997</c:v>
                </c:pt>
                <c:pt idx="4">
                  <c:v>1608670918.0342798</c:v>
                </c:pt>
                <c:pt idx="5">
                  <c:v>1640844336.3949661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7-4AF1-9A8F-C1340CFD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.0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E7-4242-935E-C5C9592ED4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'Base Assumptions'!$T$7:$T$9</c:f>
              <c:numCache>
                <c:formatCode>"$"#,##0.00</c:formatCode>
                <c:ptCount val="3"/>
                <c:pt idx="0">
                  <c:v>76.148688104703908</c:v>
                </c:pt>
                <c:pt idx="1">
                  <c:v>2.15</c:v>
                </c:pt>
                <c:pt idx="2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C-47D6-B258-AA75CCA0D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BBY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Assumptions'!$V$14</c:f>
              <c:strCache>
                <c:ptCount val="1"/>
                <c:pt idx="0">
                  <c:v>Best Buy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'Base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97.950713359273664</c:v>
                </c:pt>
                <c:pt idx="2">
                  <c:v>101.599654128837</c:v>
                </c:pt>
                <c:pt idx="3">
                  <c:v>90.56636402939904</c:v>
                </c:pt>
                <c:pt idx="4">
                  <c:v>102.36921746649372</c:v>
                </c:pt>
                <c:pt idx="5">
                  <c:v>99.23908344141806</c:v>
                </c:pt>
                <c:pt idx="6">
                  <c:v>84.807609165585816</c:v>
                </c:pt>
                <c:pt idx="7">
                  <c:v>84.427150886294854</c:v>
                </c:pt>
                <c:pt idx="8">
                  <c:v>82.862083873757015</c:v>
                </c:pt>
                <c:pt idx="9">
                  <c:v>78.14958927799394</c:v>
                </c:pt>
                <c:pt idx="10">
                  <c:v>77.760484219628196</c:v>
                </c:pt>
                <c:pt idx="11">
                  <c:v>69.511456982274098</c:v>
                </c:pt>
                <c:pt idx="12">
                  <c:v>64.582792909641157</c:v>
                </c:pt>
                <c:pt idx="13">
                  <c:v>66.571552096843917</c:v>
                </c:pt>
                <c:pt idx="14">
                  <c:v>64.115866839602248</c:v>
                </c:pt>
                <c:pt idx="15">
                  <c:v>54.768698659749248</c:v>
                </c:pt>
                <c:pt idx="16">
                  <c:v>58.971033290099442</c:v>
                </c:pt>
                <c:pt idx="17">
                  <c:v>74.881106787721563</c:v>
                </c:pt>
                <c:pt idx="18">
                  <c:v>69.35581495892778</c:v>
                </c:pt>
                <c:pt idx="19">
                  <c:v>78.097708603545172</c:v>
                </c:pt>
                <c:pt idx="20">
                  <c:v>71.993082576740164</c:v>
                </c:pt>
                <c:pt idx="21">
                  <c:v>67.678339818417626</c:v>
                </c:pt>
                <c:pt idx="22">
                  <c:v>64.435797665369648</c:v>
                </c:pt>
                <c:pt idx="23">
                  <c:v>63.30306960657154</c:v>
                </c:pt>
                <c:pt idx="24">
                  <c:v>70.860354517942071</c:v>
                </c:pt>
                <c:pt idx="25">
                  <c:v>71.681798530047558</c:v>
                </c:pt>
                <c:pt idx="26">
                  <c:v>65.084306095979244</c:v>
                </c:pt>
                <c:pt idx="27">
                  <c:v>60.069174232598357</c:v>
                </c:pt>
                <c:pt idx="28">
                  <c:v>55.693904020752264</c:v>
                </c:pt>
                <c:pt idx="29">
                  <c:v>63.484651967142234</c:v>
                </c:pt>
                <c:pt idx="30">
                  <c:v>67.686986597492421</c:v>
                </c:pt>
                <c:pt idx="31">
                  <c:v>65.447470817120617</c:v>
                </c:pt>
                <c:pt idx="32">
                  <c:v>67.375702550799815</c:v>
                </c:pt>
                <c:pt idx="33">
                  <c:v>70.609597924773013</c:v>
                </c:pt>
                <c:pt idx="34">
                  <c:v>64.392563769995675</c:v>
                </c:pt>
                <c:pt idx="35">
                  <c:v>61.824470384781669</c:v>
                </c:pt>
                <c:pt idx="36">
                  <c:v>72.883700821444009</c:v>
                </c:pt>
                <c:pt idx="37">
                  <c:v>71.214872460008635</c:v>
                </c:pt>
                <c:pt idx="38">
                  <c:v>76.221357544314742</c:v>
                </c:pt>
                <c:pt idx="39">
                  <c:v>84.133160397751823</c:v>
                </c:pt>
                <c:pt idx="40">
                  <c:v>80.138348465196714</c:v>
                </c:pt>
                <c:pt idx="41">
                  <c:v>77.423259835711207</c:v>
                </c:pt>
                <c:pt idx="42">
                  <c:v>76.117596195417207</c:v>
                </c:pt>
                <c:pt idx="43">
                  <c:v>74.241245136186762</c:v>
                </c:pt>
                <c:pt idx="44">
                  <c:v>77.743190661478593</c:v>
                </c:pt>
                <c:pt idx="45">
                  <c:v>63.605706874189359</c:v>
                </c:pt>
                <c:pt idx="46">
                  <c:v>58.547341115434492</c:v>
                </c:pt>
                <c:pt idx="47">
                  <c:v>60.458279290964114</c:v>
                </c:pt>
                <c:pt idx="48">
                  <c:v>58.988326848249031</c:v>
                </c:pt>
                <c:pt idx="49">
                  <c:v>55.443147427583227</c:v>
                </c:pt>
                <c:pt idx="50">
                  <c:v>63.674881106787716</c:v>
                </c:pt>
                <c:pt idx="51">
                  <c:v>62.455685257241676</c:v>
                </c:pt>
                <c:pt idx="52">
                  <c:v>71.993082576740164</c:v>
                </c:pt>
                <c:pt idx="53">
                  <c:v>68.551664504971896</c:v>
                </c:pt>
                <c:pt idx="54">
                  <c:v>59.818417639429313</c:v>
                </c:pt>
                <c:pt idx="55">
                  <c:v>57.976653696498047</c:v>
                </c:pt>
                <c:pt idx="56">
                  <c:v>53.584089926502379</c:v>
                </c:pt>
                <c:pt idx="57">
                  <c:v>54.457414613056635</c:v>
                </c:pt>
                <c:pt idx="58">
                  <c:v>51.9239083441418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3-4ECE-B81D-8DB2175BF751}"/>
            </c:ext>
          </c:extLst>
        </c:ser>
        <c:ser>
          <c:idx val="1"/>
          <c:order val="1"/>
          <c:tx>
            <c:strRef>
              <c:f>'Base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'Base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100.98613619340402</c:v>
                </c:pt>
                <c:pt idx="2">
                  <c:v>103.60794423229802</c:v>
                </c:pt>
                <c:pt idx="3">
                  <c:v>102.36975971546339</c:v>
                </c:pt>
                <c:pt idx="4">
                  <c:v>104.42428670554229</c:v>
                </c:pt>
                <c:pt idx="5">
                  <c:v>105.56666069286867</c:v>
                </c:pt>
                <c:pt idx="6">
                  <c:v>109.50844832894488</c:v>
                </c:pt>
                <c:pt idx="7">
                  <c:v>103.40483510019895</c:v>
                </c:pt>
                <c:pt idx="8">
                  <c:v>100.74235928259282</c:v>
                </c:pt>
                <c:pt idx="9">
                  <c:v>104.38201059659862</c:v>
                </c:pt>
                <c:pt idx="10">
                  <c:v>98.149041664943454</c:v>
                </c:pt>
                <c:pt idx="11">
                  <c:v>95.540330029363503</c:v>
                </c:pt>
                <c:pt idx="12">
                  <c:v>89.876709999678326</c:v>
                </c:pt>
                <c:pt idx="13">
                  <c:v>94.898146744050322</c:v>
                </c:pt>
                <c:pt idx="14">
                  <c:v>90.164371349664791</c:v>
                </c:pt>
                <c:pt idx="15">
                  <c:v>82.383729212331744</c:v>
                </c:pt>
                <c:pt idx="16">
                  <c:v>89.631324758635571</c:v>
                </c:pt>
                <c:pt idx="17">
                  <c:v>92.504721598036909</c:v>
                </c:pt>
                <c:pt idx="18">
                  <c:v>88.216913200715013</c:v>
                </c:pt>
                <c:pt idx="19">
                  <c:v>93.525781533611791</c:v>
                </c:pt>
                <c:pt idx="20">
                  <c:v>92.953215971178722</c:v>
                </c:pt>
                <c:pt idx="21">
                  <c:v>91.238046659957632</c:v>
                </c:pt>
                <c:pt idx="22">
                  <c:v>94.972359696163451</c:v>
                </c:pt>
                <c:pt idx="23">
                  <c:v>98.392359052831353</c:v>
                </c:pt>
                <c:pt idx="24">
                  <c:v>102.25258137002164</c:v>
                </c:pt>
                <c:pt idx="25">
                  <c:v>105.28198624188367</c:v>
                </c:pt>
                <c:pt idx="26">
                  <c:v>103.75499156775436</c:v>
                </c:pt>
                <c:pt idx="27">
                  <c:v>99.258330001792146</c:v>
                </c:pt>
                <c:pt idx="28">
                  <c:v>94.601294935597863</c:v>
                </c:pt>
                <c:pt idx="29">
                  <c:v>104.75606225616565</c:v>
                </c:pt>
                <c:pt idx="30">
                  <c:v>109.59231126244732</c:v>
                </c:pt>
                <c:pt idx="31">
                  <c:v>113.92974813548574</c:v>
                </c:pt>
                <c:pt idx="32">
                  <c:v>118.03030094156246</c:v>
                </c:pt>
                <c:pt idx="33">
                  <c:v>120.26128473418898</c:v>
                </c:pt>
                <c:pt idx="34">
                  <c:v>114.12780251542847</c:v>
                </c:pt>
                <c:pt idx="35">
                  <c:v>121.25684114752065</c:v>
                </c:pt>
                <c:pt idx="36">
                  <c:v>125.55590785646342</c:v>
                </c:pt>
                <c:pt idx="37">
                  <c:v>125.42907952963233</c:v>
                </c:pt>
                <c:pt idx="38">
                  <c:v>129.77846399867656</c:v>
                </c:pt>
                <c:pt idx="39">
                  <c:v>132.13742492544242</c:v>
                </c:pt>
                <c:pt idx="40">
                  <c:v>131.62574615034671</c:v>
                </c:pt>
                <c:pt idx="41">
                  <c:v>137.15242834888818</c:v>
                </c:pt>
                <c:pt idx="42">
                  <c:v>136.53505930143325</c:v>
                </c:pt>
                <c:pt idx="43">
                  <c:v>138.78810019437819</c:v>
                </c:pt>
                <c:pt idx="44">
                  <c:v>136.81146233979882</c:v>
                </c:pt>
                <c:pt idx="45">
                  <c:v>116.58280373316423</c:v>
                </c:pt>
                <c:pt idx="46">
                  <c:v>121.37608734611725</c:v>
                </c:pt>
                <c:pt idx="47">
                  <c:v>133.32644048948382</c:v>
                </c:pt>
                <c:pt idx="48">
                  <c:v>144.27526342151577</c:v>
                </c:pt>
                <c:pt idx="49">
                  <c:v>143.32542953905255</c:v>
                </c:pt>
                <c:pt idx="50">
                  <c:v>148.43187802423523</c:v>
                </c:pt>
                <c:pt idx="51">
                  <c:v>154.30297265379082</c:v>
                </c:pt>
                <c:pt idx="52">
                  <c:v>157.16143499818486</c:v>
                </c:pt>
                <c:pt idx="53">
                  <c:v>157.3656929375922</c:v>
                </c:pt>
                <c:pt idx="54">
                  <c:v>159.22331435503659</c:v>
                </c:pt>
                <c:pt idx="55">
                  <c:v>159.4321675236769</c:v>
                </c:pt>
                <c:pt idx="56">
                  <c:v>158.75391168888459</c:v>
                </c:pt>
                <c:pt idx="57">
                  <c:v>146.3316285032879</c:v>
                </c:pt>
                <c:pt idx="58">
                  <c:v>163.66046770243133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3-4ECE-B81D-8DB2175BF751}"/>
            </c:ext>
          </c:extLst>
        </c:ser>
        <c:ser>
          <c:idx val="2"/>
          <c:order val="2"/>
          <c:tx>
            <c:strRef>
              <c:f>'Base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'Base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100.22781097222347</c:v>
                </c:pt>
                <c:pt idx="2">
                  <c:v>100.5145727297629</c:v>
                </c:pt>
                <c:pt idx="3">
                  <c:v>102.78954023169094</c:v>
                </c:pt>
                <c:pt idx="4">
                  <c:v>105.86816473158265</c:v>
                </c:pt>
                <c:pt idx="5">
                  <c:v>103.04754384251191</c:v>
                </c:pt>
                <c:pt idx="6">
                  <c:v>106.92681973833503</c:v>
                </c:pt>
                <c:pt idx="7">
                  <c:v>94.065575405431801</c:v>
                </c:pt>
                <c:pt idx="8">
                  <c:v>90.942959821248664</c:v>
                </c:pt>
                <c:pt idx="9">
                  <c:v>96.789265628959782</c:v>
                </c:pt>
                <c:pt idx="10">
                  <c:v>87.704082085723883</c:v>
                </c:pt>
                <c:pt idx="11">
                  <c:v>77.562429428122741</c:v>
                </c:pt>
                <c:pt idx="12">
                  <c:v>76.01338312614034</c:v>
                </c:pt>
                <c:pt idx="13">
                  <c:v>84.63973419548573</c:v>
                </c:pt>
                <c:pt idx="14">
                  <c:v>82.938973300007575</c:v>
                </c:pt>
                <c:pt idx="15">
                  <c:v>74.237892034676463</c:v>
                </c:pt>
                <c:pt idx="16">
                  <c:v>75.839877917910187</c:v>
                </c:pt>
                <c:pt idx="17">
                  <c:v>76.686296435697543</c:v>
                </c:pt>
                <c:pt idx="18">
                  <c:v>71.495621725857674</c:v>
                </c:pt>
                <c:pt idx="19">
                  <c:v>76.099316020610232</c:v>
                </c:pt>
                <c:pt idx="20">
                  <c:v>79.846618663559056</c:v>
                </c:pt>
                <c:pt idx="21">
                  <c:v>80.768450468703136</c:v>
                </c:pt>
                <c:pt idx="22">
                  <c:v>82.46593252560055</c:v>
                </c:pt>
                <c:pt idx="23">
                  <c:v>90.446557321953946</c:v>
                </c:pt>
                <c:pt idx="24">
                  <c:v>92.166239848408367</c:v>
                </c:pt>
                <c:pt idx="25">
                  <c:v>95.856914216702535</c:v>
                </c:pt>
                <c:pt idx="26">
                  <c:v>92.836557410755816</c:v>
                </c:pt>
                <c:pt idx="27">
                  <c:v>90.248734060916718</c:v>
                </c:pt>
                <c:pt idx="28">
                  <c:v>86.363310342754758</c:v>
                </c:pt>
                <c:pt idx="29">
                  <c:v>97.346326641997962</c:v>
                </c:pt>
                <c:pt idx="30">
                  <c:v>102.41568432435091</c:v>
                </c:pt>
                <c:pt idx="31">
                  <c:v>106.76000882554051</c:v>
                </c:pt>
                <c:pt idx="32">
                  <c:v>111.17271077296571</c:v>
                </c:pt>
                <c:pt idx="33">
                  <c:v>112.22385177463723</c:v>
                </c:pt>
                <c:pt idx="34">
                  <c:v>104.39009162304561</c:v>
                </c:pt>
                <c:pt idx="35">
                  <c:v>114.31547755259292</c:v>
                </c:pt>
                <c:pt idx="36">
                  <c:v>120.83449174244996</c:v>
                </c:pt>
                <c:pt idx="37">
                  <c:v>118.5701804659093</c:v>
                </c:pt>
                <c:pt idx="38">
                  <c:v>122.12164081279677</c:v>
                </c:pt>
                <c:pt idx="39">
                  <c:v>123.89808823218003</c:v>
                </c:pt>
                <c:pt idx="40">
                  <c:v>126.49902693634203</c:v>
                </c:pt>
                <c:pt idx="41">
                  <c:v>129.81229332216708</c:v>
                </c:pt>
                <c:pt idx="42">
                  <c:v>134.71948511304822</c:v>
                </c:pt>
                <c:pt idx="43">
                  <c:v>134.07334898523359</c:v>
                </c:pt>
                <c:pt idx="44">
                  <c:v>133.36682758022397</c:v>
                </c:pt>
                <c:pt idx="45">
                  <c:v>106.47884841724316</c:v>
                </c:pt>
                <c:pt idx="46">
                  <c:v>111.25133458976606</c:v>
                </c:pt>
                <c:pt idx="47">
                  <c:v>130.56451353989561</c:v>
                </c:pt>
                <c:pt idx="48">
                  <c:v>132.84357959004956</c:v>
                </c:pt>
                <c:pt idx="49">
                  <c:v>141.05925612715885</c:v>
                </c:pt>
                <c:pt idx="50">
                  <c:v>146.84100980031192</c:v>
                </c:pt>
                <c:pt idx="51">
                  <c:v>155.61169807634639</c:v>
                </c:pt>
                <c:pt idx="52">
                  <c:v>158.5104646182578</c:v>
                </c:pt>
                <c:pt idx="53">
                  <c:v>159.60901216107567</c:v>
                </c:pt>
                <c:pt idx="54">
                  <c:v>161.16243024783236</c:v>
                </c:pt>
                <c:pt idx="55">
                  <c:v>160.26566789600344</c:v>
                </c:pt>
                <c:pt idx="56">
                  <c:v>154.84458646673036</c:v>
                </c:pt>
                <c:pt idx="57">
                  <c:v>143.09643952284702</c:v>
                </c:pt>
                <c:pt idx="58">
                  <c:v>167.14207549115977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3-4ECE-B81D-8DB2175BF751}"/>
            </c:ext>
          </c:extLst>
        </c:ser>
        <c:ser>
          <c:idx val="3"/>
          <c:order val="3"/>
          <c:tx>
            <c:strRef>
              <c:f>'Base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'Base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101.82294510284071</c:v>
                </c:pt>
                <c:pt idx="2">
                  <c:v>101.9929232406261</c:v>
                </c:pt>
                <c:pt idx="3">
                  <c:v>99.688155605067578</c:v>
                </c:pt>
                <c:pt idx="4">
                  <c:v>103.61034377809737</c:v>
                </c:pt>
                <c:pt idx="5">
                  <c:v>101.32282661474873</c:v>
                </c:pt>
                <c:pt idx="6">
                  <c:v>104.40473673572276</c:v>
                </c:pt>
                <c:pt idx="7">
                  <c:v>100.84692848662829</c:v>
                </c:pt>
                <c:pt idx="8">
                  <c:v>98.910693666463004</c:v>
                </c:pt>
                <c:pt idx="9">
                  <c:v>101.24122084554033</c:v>
                </c:pt>
                <c:pt idx="10">
                  <c:v>98.192359609035776</c:v>
                </c:pt>
                <c:pt idx="11">
                  <c:v>96.454418095687274</c:v>
                </c:pt>
                <c:pt idx="12">
                  <c:v>90.310171621869657</c:v>
                </c:pt>
                <c:pt idx="13">
                  <c:v>95.386195672629015</c:v>
                </c:pt>
                <c:pt idx="14">
                  <c:v>90.95250486149672</c:v>
                </c:pt>
                <c:pt idx="15">
                  <c:v>89.512003308373394</c:v>
                </c:pt>
                <c:pt idx="16">
                  <c:v>95.434607351372975</c:v>
                </c:pt>
                <c:pt idx="17">
                  <c:v>99.988499685193403</c:v>
                </c:pt>
                <c:pt idx="18">
                  <c:v>96.428193892984353</c:v>
                </c:pt>
                <c:pt idx="19">
                  <c:v>96.926424703140867</c:v>
                </c:pt>
                <c:pt idx="20">
                  <c:v>95.304270450231527</c:v>
                </c:pt>
                <c:pt idx="21">
                  <c:v>96.63212119240842</c:v>
                </c:pt>
                <c:pt idx="22">
                  <c:v>98.185273556478165</c:v>
                </c:pt>
                <c:pt idx="23">
                  <c:v>96.107027273170814</c:v>
                </c:pt>
                <c:pt idx="24">
                  <c:v>97.9485006609777</c:v>
                </c:pt>
                <c:pt idx="25">
                  <c:v>101.83476487083638</c:v>
                </c:pt>
                <c:pt idx="26">
                  <c:v>101.1728869042779</c:v>
                </c:pt>
                <c:pt idx="27">
                  <c:v>97.309797571226454</c:v>
                </c:pt>
                <c:pt idx="28">
                  <c:v>98.918157254607692</c:v>
                </c:pt>
                <c:pt idx="29">
                  <c:v>105.26127785922222</c:v>
                </c:pt>
                <c:pt idx="30">
                  <c:v>109.45494316056532</c:v>
                </c:pt>
                <c:pt idx="31">
                  <c:v>110.67435406565171</c:v>
                </c:pt>
                <c:pt idx="32">
                  <c:v>113.51443812249811</c:v>
                </c:pt>
                <c:pt idx="33">
                  <c:v>115.60537540977134</c:v>
                </c:pt>
                <c:pt idx="34">
                  <c:v>110.31706019427403</c:v>
                </c:pt>
                <c:pt idx="35">
                  <c:v>112.34971179514106</c:v>
                </c:pt>
                <c:pt idx="36">
                  <c:v>113.69725247024441</c:v>
                </c:pt>
                <c:pt idx="37">
                  <c:v>116.99981762127025</c:v>
                </c:pt>
                <c:pt idx="38">
                  <c:v>119.57736923909737</c:v>
                </c:pt>
                <c:pt idx="39">
                  <c:v>122.88202535645169</c:v>
                </c:pt>
                <c:pt idx="40">
                  <c:v>122.12460184516164</c:v>
                </c:pt>
                <c:pt idx="41">
                  <c:v>128.64237622060162</c:v>
                </c:pt>
                <c:pt idx="42">
                  <c:v>124.41325161527151</c:v>
                </c:pt>
                <c:pt idx="43">
                  <c:v>129.01334849671139</c:v>
                </c:pt>
                <c:pt idx="44">
                  <c:v>127.31925919386281</c:v>
                </c:pt>
                <c:pt idx="45">
                  <c:v>111.27094741684344</c:v>
                </c:pt>
                <c:pt idx="46">
                  <c:v>113.6737290990491</c:v>
                </c:pt>
                <c:pt idx="47">
                  <c:v>120.82030351537907</c:v>
                </c:pt>
                <c:pt idx="48">
                  <c:v>122.57366590540005</c:v>
                </c:pt>
                <c:pt idx="49">
                  <c:v>130.40055944965766</c:v>
                </c:pt>
                <c:pt idx="50">
                  <c:v>132.26779238098337</c:v>
                </c:pt>
                <c:pt idx="51">
                  <c:v>135.7916514684392</c:v>
                </c:pt>
                <c:pt idx="52">
                  <c:v>137.09513664464959</c:v>
                </c:pt>
                <c:pt idx="53">
                  <c:v>134.30221549498984</c:v>
                </c:pt>
                <c:pt idx="54">
                  <c:v>139.78949196488105</c:v>
                </c:pt>
                <c:pt idx="55">
                  <c:v>142.58854080753122</c:v>
                </c:pt>
                <c:pt idx="56">
                  <c:v>142.23775216473098</c:v>
                </c:pt>
                <c:pt idx="57">
                  <c:v>132.36243764854575</c:v>
                </c:pt>
                <c:pt idx="58">
                  <c:v>143.60126549928793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A-454E-843D-8BF897FE4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 (Please note in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'Bear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'Bear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'Bear Assumptions'!$Q$7:$Q$12</c:f>
              <c:numCache>
                <c:formatCode>_(* #,##0_);_(* \(#,##0\);_(* "-"??_);_(@_)</c:formatCode>
                <c:ptCount val="6"/>
                <c:pt idx="0">
                  <c:v>78283750</c:v>
                </c:pt>
                <c:pt idx="1">
                  <c:v>79066587.5</c:v>
                </c:pt>
                <c:pt idx="2">
                  <c:v>79857253.375</c:v>
                </c:pt>
                <c:pt idx="3">
                  <c:v>80655825.908750057</c:v>
                </c:pt>
                <c:pt idx="4">
                  <c:v>81462384.167837143</c:v>
                </c:pt>
                <c:pt idx="5">
                  <c:v>83091631.851194382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3-4EE5-8358-7F7BC9976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80-47FC-A21A-A89073C2EA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'Bear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'Bear Assumptions'!$T$7:$T$9</c:f>
              <c:numCache>
                <c:formatCode>"$"#,##0.00</c:formatCode>
                <c:ptCount val="3"/>
                <c:pt idx="0">
                  <c:v>18.492191847845433</c:v>
                </c:pt>
                <c:pt idx="1">
                  <c:v>55.51</c:v>
                </c:pt>
                <c:pt idx="2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80-47FC-A21A-A89073C2E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BBY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'Bear Assumptions'!$V$14</c:f>
              <c:strCache>
                <c:ptCount val="1"/>
                <c:pt idx="0">
                  <c:v>Best Buy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'Bear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97.950713359273664</c:v>
                </c:pt>
                <c:pt idx="2">
                  <c:v>101.599654128837</c:v>
                </c:pt>
                <c:pt idx="3">
                  <c:v>90.56636402939904</c:v>
                </c:pt>
                <c:pt idx="4">
                  <c:v>102.36921746649372</c:v>
                </c:pt>
                <c:pt idx="5">
                  <c:v>99.23908344141806</c:v>
                </c:pt>
                <c:pt idx="6">
                  <c:v>84.807609165585816</c:v>
                </c:pt>
                <c:pt idx="7">
                  <c:v>84.427150886294854</c:v>
                </c:pt>
                <c:pt idx="8">
                  <c:v>82.862083873757015</c:v>
                </c:pt>
                <c:pt idx="9">
                  <c:v>78.14958927799394</c:v>
                </c:pt>
                <c:pt idx="10">
                  <c:v>77.760484219628196</c:v>
                </c:pt>
                <c:pt idx="11">
                  <c:v>69.511456982274098</c:v>
                </c:pt>
                <c:pt idx="12">
                  <c:v>64.582792909641157</c:v>
                </c:pt>
                <c:pt idx="13">
                  <c:v>66.571552096843917</c:v>
                </c:pt>
                <c:pt idx="14">
                  <c:v>64.115866839602248</c:v>
                </c:pt>
                <c:pt idx="15">
                  <c:v>54.768698659749248</c:v>
                </c:pt>
                <c:pt idx="16">
                  <c:v>58.971033290099442</c:v>
                </c:pt>
                <c:pt idx="17">
                  <c:v>74.881106787721563</c:v>
                </c:pt>
                <c:pt idx="18">
                  <c:v>69.35581495892778</c:v>
                </c:pt>
                <c:pt idx="19">
                  <c:v>78.097708603545172</c:v>
                </c:pt>
                <c:pt idx="20">
                  <c:v>71.993082576740164</c:v>
                </c:pt>
                <c:pt idx="21">
                  <c:v>67.678339818417626</c:v>
                </c:pt>
                <c:pt idx="22">
                  <c:v>64.435797665369648</c:v>
                </c:pt>
                <c:pt idx="23">
                  <c:v>63.30306960657154</c:v>
                </c:pt>
                <c:pt idx="24">
                  <c:v>70.860354517942071</c:v>
                </c:pt>
                <c:pt idx="25">
                  <c:v>71.681798530047558</c:v>
                </c:pt>
                <c:pt idx="26">
                  <c:v>65.084306095979244</c:v>
                </c:pt>
                <c:pt idx="27">
                  <c:v>60.069174232598357</c:v>
                </c:pt>
                <c:pt idx="28">
                  <c:v>55.693904020752264</c:v>
                </c:pt>
                <c:pt idx="29">
                  <c:v>63.484651967142234</c:v>
                </c:pt>
                <c:pt idx="30">
                  <c:v>67.686986597492421</c:v>
                </c:pt>
                <c:pt idx="31">
                  <c:v>65.447470817120617</c:v>
                </c:pt>
                <c:pt idx="32">
                  <c:v>67.375702550799815</c:v>
                </c:pt>
                <c:pt idx="33">
                  <c:v>70.609597924773013</c:v>
                </c:pt>
                <c:pt idx="34">
                  <c:v>64.392563769995675</c:v>
                </c:pt>
                <c:pt idx="35">
                  <c:v>61.824470384781669</c:v>
                </c:pt>
                <c:pt idx="36">
                  <c:v>72.883700821444009</c:v>
                </c:pt>
                <c:pt idx="37">
                  <c:v>71.214872460008635</c:v>
                </c:pt>
                <c:pt idx="38">
                  <c:v>76.221357544314742</c:v>
                </c:pt>
                <c:pt idx="39">
                  <c:v>84.133160397751823</c:v>
                </c:pt>
                <c:pt idx="40">
                  <c:v>80.138348465196714</c:v>
                </c:pt>
                <c:pt idx="41">
                  <c:v>77.423259835711207</c:v>
                </c:pt>
                <c:pt idx="42">
                  <c:v>76.117596195417207</c:v>
                </c:pt>
                <c:pt idx="43">
                  <c:v>74.241245136186762</c:v>
                </c:pt>
                <c:pt idx="44">
                  <c:v>77.743190661478593</c:v>
                </c:pt>
                <c:pt idx="45">
                  <c:v>63.605706874189359</c:v>
                </c:pt>
                <c:pt idx="46">
                  <c:v>58.547341115434492</c:v>
                </c:pt>
                <c:pt idx="47">
                  <c:v>60.458279290964114</c:v>
                </c:pt>
                <c:pt idx="48">
                  <c:v>58.988326848249031</c:v>
                </c:pt>
                <c:pt idx="49">
                  <c:v>55.443147427583227</c:v>
                </c:pt>
                <c:pt idx="50">
                  <c:v>63.674881106787716</c:v>
                </c:pt>
                <c:pt idx="51">
                  <c:v>62.455685257241676</c:v>
                </c:pt>
                <c:pt idx="52">
                  <c:v>71.993082576740164</c:v>
                </c:pt>
                <c:pt idx="53">
                  <c:v>68.551664504971896</c:v>
                </c:pt>
                <c:pt idx="54">
                  <c:v>59.818417639429313</c:v>
                </c:pt>
                <c:pt idx="55">
                  <c:v>57.976653696498047</c:v>
                </c:pt>
                <c:pt idx="56">
                  <c:v>53.584089926502379</c:v>
                </c:pt>
                <c:pt idx="57">
                  <c:v>54.457414613056635</c:v>
                </c:pt>
                <c:pt idx="58">
                  <c:v>51.9239083441418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0F-4E41-846D-8509E15A3A4E}"/>
            </c:ext>
          </c:extLst>
        </c:ser>
        <c:ser>
          <c:idx val="1"/>
          <c:order val="1"/>
          <c:tx>
            <c:strRef>
              <c:f>'Bear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'Bear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100.98613619340402</c:v>
                </c:pt>
                <c:pt idx="2">
                  <c:v>103.60794423229802</c:v>
                </c:pt>
                <c:pt idx="3">
                  <c:v>102.36975971546339</c:v>
                </c:pt>
                <c:pt idx="4">
                  <c:v>104.42428670554229</c:v>
                </c:pt>
                <c:pt idx="5">
                  <c:v>105.56666069286867</c:v>
                </c:pt>
                <c:pt idx="6">
                  <c:v>109.50844832894488</c:v>
                </c:pt>
                <c:pt idx="7">
                  <c:v>103.40483510019895</c:v>
                </c:pt>
                <c:pt idx="8">
                  <c:v>100.74235928259282</c:v>
                </c:pt>
                <c:pt idx="9">
                  <c:v>104.38201059659862</c:v>
                </c:pt>
                <c:pt idx="10">
                  <c:v>98.149041664943454</c:v>
                </c:pt>
                <c:pt idx="11">
                  <c:v>95.540330029363503</c:v>
                </c:pt>
                <c:pt idx="12">
                  <c:v>89.876709999678326</c:v>
                </c:pt>
                <c:pt idx="13">
                  <c:v>94.898146744050322</c:v>
                </c:pt>
                <c:pt idx="14">
                  <c:v>90.164371349664791</c:v>
                </c:pt>
                <c:pt idx="15">
                  <c:v>82.383729212331744</c:v>
                </c:pt>
                <c:pt idx="16">
                  <c:v>89.631324758635571</c:v>
                </c:pt>
                <c:pt idx="17">
                  <c:v>92.504721598036909</c:v>
                </c:pt>
                <c:pt idx="18">
                  <c:v>88.216913200715013</c:v>
                </c:pt>
                <c:pt idx="19">
                  <c:v>93.525781533611791</c:v>
                </c:pt>
                <c:pt idx="20">
                  <c:v>92.953215971178722</c:v>
                </c:pt>
                <c:pt idx="21">
                  <c:v>91.238046659957632</c:v>
                </c:pt>
                <c:pt idx="22">
                  <c:v>94.972359696163451</c:v>
                </c:pt>
                <c:pt idx="23">
                  <c:v>98.392359052831353</c:v>
                </c:pt>
                <c:pt idx="24">
                  <c:v>102.25258137002164</c:v>
                </c:pt>
                <c:pt idx="25">
                  <c:v>105.28198624188367</c:v>
                </c:pt>
                <c:pt idx="26">
                  <c:v>103.75499156775436</c:v>
                </c:pt>
                <c:pt idx="27">
                  <c:v>99.258330001792146</c:v>
                </c:pt>
                <c:pt idx="28">
                  <c:v>94.601294935597863</c:v>
                </c:pt>
                <c:pt idx="29">
                  <c:v>104.75606225616565</c:v>
                </c:pt>
                <c:pt idx="30">
                  <c:v>109.59231126244732</c:v>
                </c:pt>
                <c:pt idx="31">
                  <c:v>113.92974813548574</c:v>
                </c:pt>
                <c:pt idx="32">
                  <c:v>118.03030094156246</c:v>
                </c:pt>
                <c:pt idx="33">
                  <c:v>120.26128473418898</c:v>
                </c:pt>
                <c:pt idx="34">
                  <c:v>114.12780251542847</c:v>
                </c:pt>
                <c:pt idx="35">
                  <c:v>121.25684114752065</c:v>
                </c:pt>
                <c:pt idx="36">
                  <c:v>125.55590785646342</c:v>
                </c:pt>
                <c:pt idx="37">
                  <c:v>125.42907952963233</c:v>
                </c:pt>
                <c:pt idx="38">
                  <c:v>129.77846399867656</c:v>
                </c:pt>
                <c:pt idx="39">
                  <c:v>132.13742492544242</c:v>
                </c:pt>
                <c:pt idx="40">
                  <c:v>131.62574615034671</c:v>
                </c:pt>
                <c:pt idx="41">
                  <c:v>137.15242834888818</c:v>
                </c:pt>
                <c:pt idx="42">
                  <c:v>136.53505930143325</c:v>
                </c:pt>
                <c:pt idx="43">
                  <c:v>138.78810019437819</c:v>
                </c:pt>
                <c:pt idx="44">
                  <c:v>136.81146233979882</c:v>
                </c:pt>
                <c:pt idx="45">
                  <c:v>116.58280373316423</c:v>
                </c:pt>
                <c:pt idx="46">
                  <c:v>121.37608734611725</c:v>
                </c:pt>
                <c:pt idx="47">
                  <c:v>133.32644048948382</c:v>
                </c:pt>
                <c:pt idx="48">
                  <c:v>144.27526342151577</c:v>
                </c:pt>
                <c:pt idx="49">
                  <c:v>143.32542953905255</c:v>
                </c:pt>
                <c:pt idx="50">
                  <c:v>148.43187802423523</c:v>
                </c:pt>
                <c:pt idx="51">
                  <c:v>154.30297265379082</c:v>
                </c:pt>
                <c:pt idx="52">
                  <c:v>157.16143499818486</c:v>
                </c:pt>
                <c:pt idx="53">
                  <c:v>157.3656929375922</c:v>
                </c:pt>
                <c:pt idx="54">
                  <c:v>159.22331435503659</c:v>
                </c:pt>
                <c:pt idx="55">
                  <c:v>159.4321675236769</c:v>
                </c:pt>
                <c:pt idx="56">
                  <c:v>158.75391168888459</c:v>
                </c:pt>
                <c:pt idx="57">
                  <c:v>146.3316285032879</c:v>
                </c:pt>
                <c:pt idx="58">
                  <c:v>163.66046770243133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0F-4E41-846D-8509E15A3A4E}"/>
            </c:ext>
          </c:extLst>
        </c:ser>
        <c:ser>
          <c:idx val="2"/>
          <c:order val="2"/>
          <c:tx>
            <c:strRef>
              <c:f>'Bear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'Bear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100.22781097222347</c:v>
                </c:pt>
                <c:pt idx="2">
                  <c:v>100.5145727297629</c:v>
                </c:pt>
                <c:pt idx="3">
                  <c:v>102.78954023169094</c:v>
                </c:pt>
                <c:pt idx="4">
                  <c:v>105.86816473158265</c:v>
                </c:pt>
                <c:pt idx="5">
                  <c:v>103.04754384251191</c:v>
                </c:pt>
                <c:pt idx="6">
                  <c:v>106.92681973833503</c:v>
                </c:pt>
                <c:pt idx="7">
                  <c:v>94.065575405431801</c:v>
                </c:pt>
                <c:pt idx="8">
                  <c:v>90.942959821248664</c:v>
                </c:pt>
                <c:pt idx="9">
                  <c:v>96.789265628959782</c:v>
                </c:pt>
                <c:pt idx="10">
                  <c:v>87.704082085723883</c:v>
                </c:pt>
                <c:pt idx="11">
                  <c:v>77.562429428122741</c:v>
                </c:pt>
                <c:pt idx="12">
                  <c:v>76.01338312614034</c:v>
                </c:pt>
                <c:pt idx="13">
                  <c:v>84.63973419548573</c:v>
                </c:pt>
                <c:pt idx="14">
                  <c:v>82.938973300007575</c:v>
                </c:pt>
                <c:pt idx="15">
                  <c:v>74.237892034676463</c:v>
                </c:pt>
                <c:pt idx="16">
                  <c:v>75.839877917910187</c:v>
                </c:pt>
                <c:pt idx="17">
                  <c:v>76.686296435697543</c:v>
                </c:pt>
                <c:pt idx="18">
                  <c:v>71.495621725857674</c:v>
                </c:pt>
                <c:pt idx="19">
                  <c:v>76.099316020610232</c:v>
                </c:pt>
                <c:pt idx="20">
                  <c:v>79.846618663559056</c:v>
                </c:pt>
                <c:pt idx="21">
                  <c:v>80.768450468703136</c:v>
                </c:pt>
                <c:pt idx="22">
                  <c:v>82.46593252560055</c:v>
                </c:pt>
                <c:pt idx="23">
                  <c:v>90.446557321953946</c:v>
                </c:pt>
                <c:pt idx="24">
                  <c:v>92.166239848408367</c:v>
                </c:pt>
                <c:pt idx="25">
                  <c:v>95.856914216702535</c:v>
                </c:pt>
                <c:pt idx="26">
                  <c:v>92.836557410755816</c:v>
                </c:pt>
                <c:pt idx="27">
                  <c:v>90.248734060916718</c:v>
                </c:pt>
                <c:pt idx="28">
                  <c:v>86.363310342754758</c:v>
                </c:pt>
                <c:pt idx="29">
                  <c:v>97.346326641997962</c:v>
                </c:pt>
                <c:pt idx="30">
                  <c:v>102.41568432435091</c:v>
                </c:pt>
                <c:pt idx="31">
                  <c:v>106.76000882554051</c:v>
                </c:pt>
                <c:pt idx="32">
                  <c:v>111.17271077296571</c:v>
                </c:pt>
                <c:pt idx="33">
                  <c:v>112.22385177463723</c:v>
                </c:pt>
                <c:pt idx="34">
                  <c:v>104.39009162304561</c:v>
                </c:pt>
                <c:pt idx="35">
                  <c:v>114.31547755259292</c:v>
                </c:pt>
                <c:pt idx="36">
                  <c:v>120.83449174244996</c:v>
                </c:pt>
                <c:pt idx="37">
                  <c:v>118.5701804659093</c:v>
                </c:pt>
                <c:pt idx="38">
                  <c:v>122.12164081279677</c:v>
                </c:pt>
                <c:pt idx="39">
                  <c:v>123.89808823218003</c:v>
                </c:pt>
                <c:pt idx="40">
                  <c:v>126.49902693634203</c:v>
                </c:pt>
                <c:pt idx="41">
                  <c:v>129.81229332216708</c:v>
                </c:pt>
                <c:pt idx="42">
                  <c:v>134.71948511304822</c:v>
                </c:pt>
                <c:pt idx="43">
                  <c:v>134.07334898523359</c:v>
                </c:pt>
                <c:pt idx="44">
                  <c:v>133.36682758022397</c:v>
                </c:pt>
                <c:pt idx="45">
                  <c:v>106.47884841724316</c:v>
                </c:pt>
                <c:pt idx="46">
                  <c:v>111.25133458976606</c:v>
                </c:pt>
                <c:pt idx="47">
                  <c:v>130.56451353989561</c:v>
                </c:pt>
                <c:pt idx="48">
                  <c:v>132.84357959004956</c:v>
                </c:pt>
                <c:pt idx="49">
                  <c:v>141.05925612715885</c:v>
                </c:pt>
                <c:pt idx="50">
                  <c:v>146.84100980031192</c:v>
                </c:pt>
                <c:pt idx="51">
                  <c:v>155.61169807634639</c:v>
                </c:pt>
                <c:pt idx="52">
                  <c:v>158.5104646182578</c:v>
                </c:pt>
                <c:pt idx="53">
                  <c:v>159.60901216107567</c:v>
                </c:pt>
                <c:pt idx="54">
                  <c:v>161.16243024783236</c:v>
                </c:pt>
                <c:pt idx="55">
                  <c:v>160.26566789600344</c:v>
                </c:pt>
                <c:pt idx="56">
                  <c:v>154.84458646673036</c:v>
                </c:pt>
                <c:pt idx="57">
                  <c:v>143.09643952284702</c:v>
                </c:pt>
                <c:pt idx="58">
                  <c:v>167.14207549115977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0F-4E41-846D-8509E15A3A4E}"/>
            </c:ext>
          </c:extLst>
        </c:ser>
        <c:ser>
          <c:idx val="3"/>
          <c:order val="3"/>
          <c:tx>
            <c:strRef>
              <c:f>'Bear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'Bear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101.82294510284071</c:v>
                </c:pt>
                <c:pt idx="2">
                  <c:v>101.9929232406261</c:v>
                </c:pt>
                <c:pt idx="3">
                  <c:v>99.688155605067578</c:v>
                </c:pt>
                <c:pt idx="4">
                  <c:v>103.61034377809737</c:v>
                </c:pt>
                <c:pt idx="5">
                  <c:v>101.32282661474873</c:v>
                </c:pt>
                <c:pt idx="6">
                  <c:v>104.40473673572276</c:v>
                </c:pt>
                <c:pt idx="7">
                  <c:v>100.84692848662829</c:v>
                </c:pt>
                <c:pt idx="8">
                  <c:v>98.910693666463004</c:v>
                </c:pt>
                <c:pt idx="9">
                  <c:v>101.24122084554033</c:v>
                </c:pt>
                <c:pt idx="10">
                  <c:v>98.192359609035776</c:v>
                </c:pt>
                <c:pt idx="11">
                  <c:v>96.454418095687274</c:v>
                </c:pt>
                <c:pt idx="12">
                  <c:v>90.310171621869657</c:v>
                </c:pt>
                <c:pt idx="13">
                  <c:v>95.386195672629015</c:v>
                </c:pt>
                <c:pt idx="14">
                  <c:v>90.95250486149672</c:v>
                </c:pt>
                <c:pt idx="15">
                  <c:v>89.512003308373394</c:v>
                </c:pt>
                <c:pt idx="16">
                  <c:v>95.434607351372975</c:v>
                </c:pt>
                <c:pt idx="17">
                  <c:v>99.988499685193403</c:v>
                </c:pt>
                <c:pt idx="18">
                  <c:v>96.428193892984353</c:v>
                </c:pt>
                <c:pt idx="19">
                  <c:v>96.926424703140867</c:v>
                </c:pt>
                <c:pt idx="20">
                  <c:v>95.304270450231527</c:v>
                </c:pt>
                <c:pt idx="21">
                  <c:v>96.63212119240842</c:v>
                </c:pt>
                <c:pt idx="22">
                  <c:v>98.185273556478165</c:v>
                </c:pt>
                <c:pt idx="23">
                  <c:v>96.107027273170814</c:v>
                </c:pt>
                <c:pt idx="24">
                  <c:v>97.9485006609777</c:v>
                </c:pt>
                <c:pt idx="25">
                  <c:v>101.83476487083638</c:v>
                </c:pt>
                <c:pt idx="26">
                  <c:v>101.1728869042779</c:v>
                </c:pt>
                <c:pt idx="27">
                  <c:v>97.309797571226454</c:v>
                </c:pt>
                <c:pt idx="28">
                  <c:v>98.918157254607692</c:v>
                </c:pt>
                <c:pt idx="29">
                  <c:v>105.26127785922222</c:v>
                </c:pt>
                <c:pt idx="30">
                  <c:v>109.45494316056532</c:v>
                </c:pt>
                <c:pt idx="31">
                  <c:v>110.67435406565171</c:v>
                </c:pt>
                <c:pt idx="32">
                  <c:v>113.51443812249811</c:v>
                </c:pt>
                <c:pt idx="33">
                  <c:v>115.60537540977134</c:v>
                </c:pt>
                <c:pt idx="34">
                  <c:v>110.31706019427403</c:v>
                </c:pt>
                <c:pt idx="35">
                  <c:v>112.34971179514106</c:v>
                </c:pt>
                <c:pt idx="36">
                  <c:v>113.69725247024441</c:v>
                </c:pt>
                <c:pt idx="37">
                  <c:v>116.99981762127025</c:v>
                </c:pt>
                <c:pt idx="38">
                  <c:v>119.57736923909737</c:v>
                </c:pt>
                <c:pt idx="39">
                  <c:v>122.88202535645169</c:v>
                </c:pt>
                <c:pt idx="40">
                  <c:v>122.12460184516164</c:v>
                </c:pt>
                <c:pt idx="41">
                  <c:v>128.64237622060162</c:v>
                </c:pt>
                <c:pt idx="42">
                  <c:v>124.41325161527151</c:v>
                </c:pt>
                <c:pt idx="43">
                  <c:v>129.01334849671139</c:v>
                </c:pt>
                <c:pt idx="44">
                  <c:v>127.31925919386281</c:v>
                </c:pt>
                <c:pt idx="45">
                  <c:v>111.27094741684344</c:v>
                </c:pt>
                <c:pt idx="46">
                  <c:v>113.6737290990491</c:v>
                </c:pt>
                <c:pt idx="47">
                  <c:v>120.82030351537907</c:v>
                </c:pt>
                <c:pt idx="48">
                  <c:v>122.57366590540005</c:v>
                </c:pt>
                <c:pt idx="49">
                  <c:v>130.40055944965766</c:v>
                </c:pt>
                <c:pt idx="50">
                  <c:v>132.26779238098337</c:v>
                </c:pt>
                <c:pt idx="51">
                  <c:v>135.7916514684392</c:v>
                </c:pt>
                <c:pt idx="52">
                  <c:v>137.09513664464959</c:v>
                </c:pt>
                <c:pt idx="53">
                  <c:v>134.30221549498984</c:v>
                </c:pt>
                <c:pt idx="54">
                  <c:v>139.78949196488105</c:v>
                </c:pt>
                <c:pt idx="55">
                  <c:v>142.58854080753122</c:v>
                </c:pt>
                <c:pt idx="56">
                  <c:v>142.23775216473098</c:v>
                </c:pt>
                <c:pt idx="57">
                  <c:v>132.36243764854575</c:v>
                </c:pt>
                <c:pt idx="58">
                  <c:v>143.60126549928793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0F-4E41-846D-8509E15A3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'Bull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'Bull Assumptions'!$Q$7:$Q$12</c:f>
              <c:numCache>
                <c:formatCode>_(* #,##0_);_(* \(#,##0\);_(* "-"??_);_(@_)</c:formatCode>
                <c:ptCount val="6"/>
                <c:pt idx="0">
                  <c:v>2902761450</c:v>
                </c:pt>
                <c:pt idx="1">
                  <c:v>3047899522.5</c:v>
                </c:pt>
                <c:pt idx="2">
                  <c:v>3200294498.625</c:v>
                </c:pt>
                <c:pt idx="3">
                  <c:v>3328306278.5699997</c:v>
                </c:pt>
                <c:pt idx="4">
                  <c:v>3528004655.2842007</c:v>
                </c:pt>
                <c:pt idx="5">
                  <c:v>3704404888.0484114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0-4E29-8A4D-4BDF9C03D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.0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802-4BF4-BB4A-47A59AB874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'Bull Assumptions'!$T$7:$T$9</c:f>
              <c:numCache>
                <c:formatCode>"$"#,##0.00</c:formatCode>
                <c:ptCount val="3"/>
                <c:pt idx="0">
                  <c:v>172.58044186162064</c:v>
                </c:pt>
                <c:pt idx="1">
                  <c:v>98.58</c:v>
                </c:pt>
                <c:pt idx="2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02-4BF4-BB4A-47A59AB87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BBY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'Bull Assumptions'!$V$14</c:f>
              <c:strCache>
                <c:ptCount val="1"/>
                <c:pt idx="0">
                  <c:v>Best Buy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'Bull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97.950713359273664</c:v>
                </c:pt>
                <c:pt idx="2">
                  <c:v>101.599654128837</c:v>
                </c:pt>
                <c:pt idx="3">
                  <c:v>90.56636402939904</c:v>
                </c:pt>
                <c:pt idx="4">
                  <c:v>102.36921746649372</c:v>
                </c:pt>
                <c:pt idx="5">
                  <c:v>99.23908344141806</c:v>
                </c:pt>
                <c:pt idx="6">
                  <c:v>84.807609165585816</c:v>
                </c:pt>
                <c:pt idx="7">
                  <c:v>84.427150886294854</c:v>
                </c:pt>
                <c:pt idx="8">
                  <c:v>82.862083873757015</c:v>
                </c:pt>
                <c:pt idx="9">
                  <c:v>78.14958927799394</c:v>
                </c:pt>
                <c:pt idx="10">
                  <c:v>77.760484219628196</c:v>
                </c:pt>
                <c:pt idx="11">
                  <c:v>69.511456982274098</c:v>
                </c:pt>
                <c:pt idx="12">
                  <c:v>64.582792909641157</c:v>
                </c:pt>
                <c:pt idx="13">
                  <c:v>66.571552096843917</c:v>
                </c:pt>
                <c:pt idx="14">
                  <c:v>64.115866839602248</c:v>
                </c:pt>
                <c:pt idx="15">
                  <c:v>54.768698659749248</c:v>
                </c:pt>
                <c:pt idx="16">
                  <c:v>58.971033290099442</c:v>
                </c:pt>
                <c:pt idx="17">
                  <c:v>74.881106787721563</c:v>
                </c:pt>
                <c:pt idx="18">
                  <c:v>69.35581495892778</c:v>
                </c:pt>
                <c:pt idx="19">
                  <c:v>78.097708603545172</c:v>
                </c:pt>
                <c:pt idx="20">
                  <c:v>71.993082576740164</c:v>
                </c:pt>
                <c:pt idx="21">
                  <c:v>67.678339818417626</c:v>
                </c:pt>
                <c:pt idx="22">
                  <c:v>64.435797665369648</c:v>
                </c:pt>
                <c:pt idx="23">
                  <c:v>63.30306960657154</c:v>
                </c:pt>
                <c:pt idx="24">
                  <c:v>70.860354517942071</c:v>
                </c:pt>
                <c:pt idx="25">
                  <c:v>71.681798530047558</c:v>
                </c:pt>
                <c:pt idx="26">
                  <c:v>65.084306095979244</c:v>
                </c:pt>
                <c:pt idx="27">
                  <c:v>60.069174232598357</c:v>
                </c:pt>
                <c:pt idx="28">
                  <c:v>55.693904020752264</c:v>
                </c:pt>
                <c:pt idx="29">
                  <c:v>63.484651967142234</c:v>
                </c:pt>
                <c:pt idx="30">
                  <c:v>67.686986597492421</c:v>
                </c:pt>
                <c:pt idx="31">
                  <c:v>65.447470817120617</c:v>
                </c:pt>
                <c:pt idx="32">
                  <c:v>67.375702550799815</c:v>
                </c:pt>
                <c:pt idx="33">
                  <c:v>70.609597924773013</c:v>
                </c:pt>
                <c:pt idx="34">
                  <c:v>64.392563769995675</c:v>
                </c:pt>
                <c:pt idx="35">
                  <c:v>61.824470384781669</c:v>
                </c:pt>
                <c:pt idx="36">
                  <c:v>72.883700821444009</c:v>
                </c:pt>
                <c:pt idx="37">
                  <c:v>71.214872460008635</c:v>
                </c:pt>
                <c:pt idx="38">
                  <c:v>76.221357544314742</c:v>
                </c:pt>
                <c:pt idx="39">
                  <c:v>84.133160397751823</c:v>
                </c:pt>
                <c:pt idx="40">
                  <c:v>80.138348465196714</c:v>
                </c:pt>
                <c:pt idx="41">
                  <c:v>77.423259835711207</c:v>
                </c:pt>
                <c:pt idx="42">
                  <c:v>76.117596195417207</c:v>
                </c:pt>
                <c:pt idx="43">
                  <c:v>74.241245136186762</c:v>
                </c:pt>
                <c:pt idx="44">
                  <c:v>77.743190661478593</c:v>
                </c:pt>
                <c:pt idx="45">
                  <c:v>63.605706874189359</c:v>
                </c:pt>
                <c:pt idx="46">
                  <c:v>58.547341115434492</c:v>
                </c:pt>
                <c:pt idx="47">
                  <c:v>60.458279290964114</c:v>
                </c:pt>
                <c:pt idx="48">
                  <c:v>58.988326848249031</c:v>
                </c:pt>
                <c:pt idx="49">
                  <c:v>55.443147427583227</c:v>
                </c:pt>
                <c:pt idx="50">
                  <c:v>63.674881106787716</c:v>
                </c:pt>
                <c:pt idx="51">
                  <c:v>62.455685257241676</c:v>
                </c:pt>
                <c:pt idx="52">
                  <c:v>71.993082576740164</c:v>
                </c:pt>
                <c:pt idx="53">
                  <c:v>68.551664504971896</c:v>
                </c:pt>
                <c:pt idx="54">
                  <c:v>59.818417639429313</c:v>
                </c:pt>
                <c:pt idx="55">
                  <c:v>57.976653696498047</c:v>
                </c:pt>
                <c:pt idx="56">
                  <c:v>53.584089926502379</c:v>
                </c:pt>
                <c:pt idx="57">
                  <c:v>54.457414613056635</c:v>
                </c:pt>
                <c:pt idx="58">
                  <c:v>51.9239083441418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5-49CC-B5FA-933ACE2B56E2}"/>
            </c:ext>
          </c:extLst>
        </c:ser>
        <c:ser>
          <c:idx val="1"/>
          <c:order val="1"/>
          <c:tx>
            <c:strRef>
              <c:f>'Bull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'Bull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100.98613619340402</c:v>
                </c:pt>
                <c:pt idx="2">
                  <c:v>103.60794423229802</c:v>
                </c:pt>
                <c:pt idx="3">
                  <c:v>102.36975971546339</c:v>
                </c:pt>
                <c:pt idx="4">
                  <c:v>104.42428670554229</c:v>
                </c:pt>
                <c:pt idx="5">
                  <c:v>105.56666069286867</c:v>
                </c:pt>
                <c:pt idx="6">
                  <c:v>109.50844832894488</c:v>
                </c:pt>
                <c:pt idx="7">
                  <c:v>103.40483510019895</c:v>
                </c:pt>
                <c:pt idx="8">
                  <c:v>100.74235928259282</c:v>
                </c:pt>
                <c:pt idx="9">
                  <c:v>104.38201059659862</c:v>
                </c:pt>
                <c:pt idx="10">
                  <c:v>98.149041664943454</c:v>
                </c:pt>
                <c:pt idx="11">
                  <c:v>95.540330029363503</c:v>
                </c:pt>
                <c:pt idx="12">
                  <c:v>89.876709999678326</c:v>
                </c:pt>
                <c:pt idx="13">
                  <c:v>94.898146744050322</c:v>
                </c:pt>
                <c:pt idx="14">
                  <c:v>90.164371349664791</c:v>
                </c:pt>
                <c:pt idx="15">
                  <c:v>82.383729212331744</c:v>
                </c:pt>
                <c:pt idx="16">
                  <c:v>89.631324758635571</c:v>
                </c:pt>
                <c:pt idx="17">
                  <c:v>92.504721598036909</c:v>
                </c:pt>
                <c:pt idx="18">
                  <c:v>88.216913200715013</c:v>
                </c:pt>
                <c:pt idx="19">
                  <c:v>93.525781533611791</c:v>
                </c:pt>
                <c:pt idx="20">
                  <c:v>92.953215971178722</c:v>
                </c:pt>
                <c:pt idx="21">
                  <c:v>91.238046659957632</c:v>
                </c:pt>
                <c:pt idx="22">
                  <c:v>94.972359696163451</c:v>
                </c:pt>
                <c:pt idx="23">
                  <c:v>98.392359052831353</c:v>
                </c:pt>
                <c:pt idx="24">
                  <c:v>102.25258137002164</c:v>
                </c:pt>
                <c:pt idx="25">
                  <c:v>105.28198624188367</c:v>
                </c:pt>
                <c:pt idx="26">
                  <c:v>103.75499156775436</c:v>
                </c:pt>
                <c:pt idx="27">
                  <c:v>99.258330001792146</c:v>
                </c:pt>
                <c:pt idx="28">
                  <c:v>94.601294935597863</c:v>
                </c:pt>
                <c:pt idx="29">
                  <c:v>104.75606225616565</c:v>
                </c:pt>
                <c:pt idx="30">
                  <c:v>109.59231126244732</c:v>
                </c:pt>
                <c:pt idx="31">
                  <c:v>113.92974813548574</c:v>
                </c:pt>
                <c:pt idx="32">
                  <c:v>118.03030094156246</c:v>
                </c:pt>
                <c:pt idx="33">
                  <c:v>120.26128473418898</c:v>
                </c:pt>
                <c:pt idx="34">
                  <c:v>114.12780251542847</c:v>
                </c:pt>
                <c:pt idx="35">
                  <c:v>121.25684114752065</c:v>
                </c:pt>
                <c:pt idx="36">
                  <c:v>125.55590785646342</c:v>
                </c:pt>
                <c:pt idx="37">
                  <c:v>125.42907952963233</c:v>
                </c:pt>
                <c:pt idx="38">
                  <c:v>129.77846399867656</c:v>
                </c:pt>
                <c:pt idx="39">
                  <c:v>132.13742492544242</c:v>
                </c:pt>
                <c:pt idx="40">
                  <c:v>131.62574615034671</c:v>
                </c:pt>
                <c:pt idx="41">
                  <c:v>137.15242834888818</c:v>
                </c:pt>
                <c:pt idx="42">
                  <c:v>136.53505930143325</c:v>
                </c:pt>
                <c:pt idx="43">
                  <c:v>138.78810019437819</c:v>
                </c:pt>
                <c:pt idx="44">
                  <c:v>136.81146233979882</c:v>
                </c:pt>
                <c:pt idx="45">
                  <c:v>116.58280373316423</c:v>
                </c:pt>
                <c:pt idx="46">
                  <c:v>121.37608734611725</c:v>
                </c:pt>
                <c:pt idx="47">
                  <c:v>133.32644048948382</c:v>
                </c:pt>
                <c:pt idx="48">
                  <c:v>144.27526342151577</c:v>
                </c:pt>
                <c:pt idx="49">
                  <c:v>143.32542953905255</c:v>
                </c:pt>
                <c:pt idx="50">
                  <c:v>148.43187802423523</c:v>
                </c:pt>
                <c:pt idx="51">
                  <c:v>154.30297265379082</c:v>
                </c:pt>
                <c:pt idx="52">
                  <c:v>157.16143499818486</c:v>
                </c:pt>
                <c:pt idx="53">
                  <c:v>157.3656929375922</c:v>
                </c:pt>
                <c:pt idx="54">
                  <c:v>159.22331435503659</c:v>
                </c:pt>
                <c:pt idx="55">
                  <c:v>159.4321675236769</c:v>
                </c:pt>
                <c:pt idx="56">
                  <c:v>158.75391168888459</c:v>
                </c:pt>
                <c:pt idx="57">
                  <c:v>146.3316285032879</c:v>
                </c:pt>
                <c:pt idx="58">
                  <c:v>163.66046770243133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55-49CC-B5FA-933ACE2B56E2}"/>
            </c:ext>
          </c:extLst>
        </c:ser>
        <c:ser>
          <c:idx val="2"/>
          <c:order val="2"/>
          <c:tx>
            <c:strRef>
              <c:f>'Bull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'Bull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100.22781097222347</c:v>
                </c:pt>
                <c:pt idx="2">
                  <c:v>100.5145727297629</c:v>
                </c:pt>
                <c:pt idx="3">
                  <c:v>102.78954023169094</c:v>
                </c:pt>
                <c:pt idx="4">
                  <c:v>105.86816473158265</c:v>
                </c:pt>
                <c:pt idx="5">
                  <c:v>103.04754384251191</c:v>
                </c:pt>
                <c:pt idx="6">
                  <c:v>106.92681973833503</c:v>
                </c:pt>
                <c:pt idx="7">
                  <c:v>94.065575405431801</c:v>
                </c:pt>
                <c:pt idx="8">
                  <c:v>90.942959821248664</c:v>
                </c:pt>
                <c:pt idx="9">
                  <c:v>96.789265628959782</c:v>
                </c:pt>
                <c:pt idx="10">
                  <c:v>87.704082085723883</c:v>
                </c:pt>
                <c:pt idx="11">
                  <c:v>77.562429428122741</c:v>
                </c:pt>
                <c:pt idx="12">
                  <c:v>76.01338312614034</c:v>
                </c:pt>
                <c:pt idx="13">
                  <c:v>84.63973419548573</c:v>
                </c:pt>
                <c:pt idx="14">
                  <c:v>82.938973300007575</c:v>
                </c:pt>
                <c:pt idx="15">
                  <c:v>74.237892034676463</c:v>
                </c:pt>
                <c:pt idx="16">
                  <c:v>75.839877917910187</c:v>
                </c:pt>
                <c:pt idx="17">
                  <c:v>76.686296435697543</c:v>
                </c:pt>
                <c:pt idx="18">
                  <c:v>71.495621725857674</c:v>
                </c:pt>
                <c:pt idx="19">
                  <c:v>76.099316020610232</c:v>
                </c:pt>
                <c:pt idx="20">
                  <c:v>79.846618663559056</c:v>
                </c:pt>
                <c:pt idx="21">
                  <c:v>80.768450468703136</c:v>
                </c:pt>
                <c:pt idx="22">
                  <c:v>82.46593252560055</c:v>
                </c:pt>
                <c:pt idx="23">
                  <c:v>90.446557321953946</c:v>
                </c:pt>
                <c:pt idx="24">
                  <c:v>92.166239848408367</c:v>
                </c:pt>
                <c:pt idx="25">
                  <c:v>95.856914216702535</c:v>
                </c:pt>
                <c:pt idx="26">
                  <c:v>92.836557410755816</c:v>
                </c:pt>
                <c:pt idx="27">
                  <c:v>90.248734060916718</c:v>
                </c:pt>
                <c:pt idx="28">
                  <c:v>86.363310342754758</c:v>
                </c:pt>
                <c:pt idx="29">
                  <c:v>97.346326641997962</c:v>
                </c:pt>
                <c:pt idx="30">
                  <c:v>102.41568432435091</c:v>
                </c:pt>
                <c:pt idx="31">
                  <c:v>106.76000882554051</c:v>
                </c:pt>
                <c:pt idx="32">
                  <c:v>111.17271077296571</c:v>
                </c:pt>
                <c:pt idx="33">
                  <c:v>112.22385177463723</c:v>
                </c:pt>
                <c:pt idx="34">
                  <c:v>104.39009162304561</c:v>
                </c:pt>
                <c:pt idx="35">
                  <c:v>114.31547755259292</c:v>
                </c:pt>
                <c:pt idx="36">
                  <c:v>120.83449174244996</c:v>
                </c:pt>
                <c:pt idx="37">
                  <c:v>118.5701804659093</c:v>
                </c:pt>
                <c:pt idx="38">
                  <c:v>122.12164081279677</c:v>
                </c:pt>
                <c:pt idx="39">
                  <c:v>123.89808823218003</c:v>
                </c:pt>
                <c:pt idx="40">
                  <c:v>126.49902693634203</c:v>
                </c:pt>
                <c:pt idx="41">
                  <c:v>129.81229332216708</c:v>
                </c:pt>
                <c:pt idx="42">
                  <c:v>134.71948511304822</c:v>
                </c:pt>
                <c:pt idx="43">
                  <c:v>134.07334898523359</c:v>
                </c:pt>
                <c:pt idx="44">
                  <c:v>133.36682758022397</c:v>
                </c:pt>
                <c:pt idx="45">
                  <c:v>106.47884841724316</c:v>
                </c:pt>
                <c:pt idx="46">
                  <c:v>111.25133458976606</c:v>
                </c:pt>
                <c:pt idx="47">
                  <c:v>130.56451353989561</c:v>
                </c:pt>
                <c:pt idx="48">
                  <c:v>132.84357959004956</c:v>
                </c:pt>
                <c:pt idx="49">
                  <c:v>141.05925612715885</c:v>
                </c:pt>
                <c:pt idx="50">
                  <c:v>146.84100980031192</c:v>
                </c:pt>
                <c:pt idx="51">
                  <c:v>155.61169807634639</c:v>
                </c:pt>
                <c:pt idx="52">
                  <c:v>158.5104646182578</c:v>
                </c:pt>
                <c:pt idx="53">
                  <c:v>159.60901216107567</c:v>
                </c:pt>
                <c:pt idx="54">
                  <c:v>161.16243024783236</c:v>
                </c:pt>
                <c:pt idx="55">
                  <c:v>160.26566789600344</c:v>
                </c:pt>
                <c:pt idx="56">
                  <c:v>154.84458646673036</c:v>
                </c:pt>
                <c:pt idx="57">
                  <c:v>143.09643952284702</c:v>
                </c:pt>
                <c:pt idx="58">
                  <c:v>167.14207549115977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55-49CC-B5FA-933ACE2B56E2}"/>
            </c:ext>
          </c:extLst>
        </c:ser>
        <c:ser>
          <c:idx val="3"/>
          <c:order val="3"/>
          <c:tx>
            <c:strRef>
              <c:f>'Bull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'Bull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101.82294510284071</c:v>
                </c:pt>
                <c:pt idx="2">
                  <c:v>101.9929232406261</c:v>
                </c:pt>
                <c:pt idx="3">
                  <c:v>99.688155605067578</c:v>
                </c:pt>
                <c:pt idx="4">
                  <c:v>103.61034377809737</c:v>
                </c:pt>
                <c:pt idx="5">
                  <c:v>101.32282661474873</c:v>
                </c:pt>
                <c:pt idx="6">
                  <c:v>104.40473673572276</c:v>
                </c:pt>
                <c:pt idx="7">
                  <c:v>100.84692848662829</c:v>
                </c:pt>
                <c:pt idx="8">
                  <c:v>98.910693666463004</c:v>
                </c:pt>
                <c:pt idx="9">
                  <c:v>101.24122084554033</c:v>
                </c:pt>
                <c:pt idx="10">
                  <c:v>98.192359609035776</c:v>
                </c:pt>
                <c:pt idx="11">
                  <c:v>96.454418095687274</c:v>
                </c:pt>
                <c:pt idx="12">
                  <c:v>90.310171621869657</c:v>
                </c:pt>
                <c:pt idx="13">
                  <c:v>95.386195672629015</c:v>
                </c:pt>
                <c:pt idx="14">
                  <c:v>90.95250486149672</c:v>
                </c:pt>
                <c:pt idx="15">
                  <c:v>89.512003308373394</c:v>
                </c:pt>
                <c:pt idx="16">
                  <c:v>95.434607351372975</c:v>
                </c:pt>
                <c:pt idx="17">
                  <c:v>99.988499685193403</c:v>
                </c:pt>
                <c:pt idx="18">
                  <c:v>96.428193892984353</c:v>
                </c:pt>
                <c:pt idx="19">
                  <c:v>96.926424703140867</c:v>
                </c:pt>
                <c:pt idx="20">
                  <c:v>95.304270450231527</c:v>
                </c:pt>
                <c:pt idx="21">
                  <c:v>96.63212119240842</c:v>
                </c:pt>
                <c:pt idx="22">
                  <c:v>98.185273556478165</c:v>
                </c:pt>
                <c:pt idx="23">
                  <c:v>96.107027273170814</c:v>
                </c:pt>
                <c:pt idx="24">
                  <c:v>97.9485006609777</c:v>
                </c:pt>
                <c:pt idx="25">
                  <c:v>101.83476487083638</c:v>
                </c:pt>
                <c:pt idx="26">
                  <c:v>101.1728869042779</c:v>
                </c:pt>
                <c:pt idx="27">
                  <c:v>97.309797571226454</c:v>
                </c:pt>
                <c:pt idx="28">
                  <c:v>98.918157254607692</c:v>
                </c:pt>
                <c:pt idx="29">
                  <c:v>105.26127785922222</c:v>
                </c:pt>
                <c:pt idx="30">
                  <c:v>109.45494316056532</c:v>
                </c:pt>
                <c:pt idx="31">
                  <c:v>110.67435406565171</c:v>
                </c:pt>
                <c:pt idx="32">
                  <c:v>113.51443812249811</c:v>
                </c:pt>
                <c:pt idx="33">
                  <c:v>115.60537540977134</c:v>
                </c:pt>
                <c:pt idx="34">
                  <c:v>110.31706019427403</c:v>
                </c:pt>
                <c:pt idx="35">
                  <c:v>112.34971179514106</c:v>
                </c:pt>
                <c:pt idx="36">
                  <c:v>113.69725247024441</c:v>
                </c:pt>
                <c:pt idx="37">
                  <c:v>116.99981762127025</c:v>
                </c:pt>
                <c:pt idx="38">
                  <c:v>119.57736923909737</c:v>
                </c:pt>
                <c:pt idx="39">
                  <c:v>122.88202535645169</c:v>
                </c:pt>
                <c:pt idx="40">
                  <c:v>122.12460184516164</c:v>
                </c:pt>
                <c:pt idx="41">
                  <c:v>128.64237622060162</c:v>
                </c:pt>
                <c:pt idx="42">
                  <c:v>124.41325161527151</c:v>
                </c:pt>
                <c:pt idx="43">
                  <c:v>129.01334849671139</c:v>
                </c:pt>
                <c:pt idx="44">
                  <c:v>127.31925919386281</c:v>
                </c:pt>
                <c:pt idx="45">
                  <c:v>111.27094741684344</c:v>
                </c:pt>
                <c:pt idx="46">
                  <c:v>113.6737290990491</c:v>
                </c:pt>
                <c:pt idx="47">
                  <c:v>120.82030351537907</c:v>
                </c:pt>
                <c:pt idx="48">
                  <c:v>122.57366590540005</c:v>
                </c:pt>
                <c:pt idx="49">
                  <c:v>130.40055944965766</c:v>
                </c:pt>
                <c:pt idx="50">
                  <c:v>132.26779238098337</c:v>
                </c:pt>
                <c:pt idx="51">
                  <c:v>135.7916514684392</c:v>
                </c:pt>
                <c:pt idx="52">
                  <c:v>137.09513664464959</c:v>
                </c:pt>
                <c:pt idx="53">
                  <c:v>134.30221549498984</c:v>
                </c:pt>
                <c:pt idx="54">
                  <c:v>139.78949196488105</c:v>
                </c:pt>
                <c:pt idx="55">
                  <c:v>142.58854080753122</c:v>
                </c:pt>
                <c:pt idx="56">
                  <c:v>142.23775216473098</c:v>
                </c:pt>
                <c:pt idx="57">
                  <c:v>132.36243764854575</c:v>
                </c:pt>
                <c:pt idx="58">
                  <c:v>143.60126549928793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55-49CC-B5FA-933ACE2B5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467AF-9725-9CF4-C007-1D70B4422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E658E-833F-7947-7C40-F6E708349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B5B30A-4157-F3C8-4D90-932080E7B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FE38F5-1748-4F77-BDE1-EC60CC898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98F377-D668-4D38-8B7E-C41699F2A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F1EEA8-B701-4362-9DEA-5556FB863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FFBA52-B62E-4E07-BF13-3845454AB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3B5378-A610-4446-9F7A-188DFF7DC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E8A9BE-455B-4F4A-AAFF-BEB493F7D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2030-83BF-4DB4-8B12-F4BEE296ED06}">
  <dimension ref="B2:C28"/>
  <sheetViews>
    <sheetView showGridLines="0" tabSelected="1" workbookViewId="0"/>
  </sheetViews>
  <sheetFormatPr defaultRowHeight="15" x14ac:dyDescent="0.25"/>
  <cols>
    <col min="2" max="2" width="41" bestFit="1" customWidth="1"/>
    <col min="3" max="3" width="20.42578125" bestFit="1" customWidth="1"/>
  </cols>
  <sheetData>
    <row r="2" spans="2:3" x14ac:dyDescent="0.25">
      <c r="B2" s="3" t="s">
        <v>101</v>
      </c>
    </row>
    <row r="3" spans="2:3" x14ac:dyDescent="0.25">
      <c r="B3" s="61" t="s">
        <v>102</v>
      </c>
      <c r="C3" s="62" t="s">
        <v>121</v>
      </c>
    </row>
    <row r="4" spans="2:3" x14ac:dyDescent="0.25">
      <c r="B4" s="63" t="s">
        <v>103</v>
      </c>
      <c r="C4" s="64">
        <v>1.33</v>
      </c>
    </row>
    <row r="5" spans="2:3" x14ac:dyDescent="0.25">
      <c r="B5" s="63" t="s">
        <v>33</v>
      </c>
      <c r="C5" s="65">
        <v>15596980000</v>
      </c>
    </row>
    <row r="6" spans="2:3" x14ac:dyDescent="0.25">
      <c r="B6" s="63" t="s">
        <v>104</v>
      </c>
      <c r="C6" s="65">
        <v>4050000000</v>
      </c>
    </row>
    <row r="7" spans="2:3" x14ac:dyDescent="0.25">
      <c r="B7" s="63" t="s">
        <v>105</v>
      </c>
      <c r="C7" s="65">
        <v>45000000</v>
      </c>
    </row>
    <row r="8" spans="2:3" x14ac:dyDescent="0.25">
      <c r="B8" s="63" t="s">
        <v>106</v>
      </c>
      <c r="C8" s="66">
        <v>0.23</v>
      </c>
    </row>
    <row r="9" spans="2:3" x14ac:dyDescent="0.25">
      <c r="B9" s="42" t="s">
        <v>107</v>
      </c>
      <c r="C9" s="67">
        <v>4.58E-2</v>
      </c>
    </row>
    <row r="11" spans="2:3" x14ac:dyDescent="0.25">
      <c r="B11" s="3" t="s">
        <v>108</v>
      </c>
    </row>
    <row r="12" spans="2:3" x14ac:dyDescent="0.25">
      <c r="B12" t="s">
        <v>109</v>
      </c>
      <c r="C12" s="68">
        <f>C5+C6</f>
        <v>19646980000</v>
      </c>
    </row>
    <row r="13" spans="2:3" x14ac:dyDescent="0.25">
      <c r="B13" t="s">
        <v>110</v>
      </c>
      <c r="C13" s="69">
        <f>C5/C12</f>
        <v>0.79386144842617035</v>
      </c>
    </row>
    <row r="14" spans="2:3" x14ac:dyDescent="0.25">
      <c r="B14" t="s">
        <v>111</v>
      </c>
      <c r="C14" s="69">
        <f>C6/C12</f>
        <v>0.20613855157382965</v>
      </c>
    </row>
    <row r="16" spans="2:3" ht="18" x14ac:dyDescent="0.35">
      <c r="B16" s="3" t="s">
        <v>112</v>
      </c>
    </row>
    <row r="17" spans="2:3" x14ac:dyDescent="0.25">
      <c r="B17" t="s">
        <v>113</v>
      </c>
      <c r="C17" t="s">
        <v>122</v>
      </c>
    </row>
    <row r="18" spans="2:3" x14ac:dyDescent="0.25">
      <c r="B18" t="s">
        <v>123</v>
      </c>
      <c r="C18" s="21">
        <f>9%-C9</f>
        <v>4.4199999999999996E-2</v>
      </c>
    </row>
    <row r="19" spans="2:3" x14ac:dyDescent="0.25">
      <c r="B19" t="s">
        <v>114</v>
      </c>
      <c r="C19" s="21">
        <f>C9+(1.33*C18)</f>
        <v>0.104586</v>
      </c>
    </row>
    <row r="21" spans="2:3" ht="18" x14ac:dyDescent="0.35">
      <c r="B21" s="3" t="s">
        <v>115</v>
      </c>
    </row>
    <row r="22" spans="2:3" x14ac:dyDescent="0.25">
      <c r="B22" t="s">
        <v>116</v>
      </c>
      <c r="C22" s="69">
        <f>C7/C6</f>
        <v>1.1111111111111112E-2</v>
      </c>
    </row>
    <row r="23" spans="2:3" x14ac:dyDescent="0.25">
      <c r="B23" t="s">
        <v>117</v>
      </c>
      <c r="C23" t="s">
        <v>118</v>
      </c>
    </row>
    <row r="24" spans="2:3" x14ac:dyDescent="0.25">
      <c r="B24" t="s">
        <v>114</v>
      </c>
      <c r="C24" s="69">
        <f>C22*(1-C8)</f>
        <v>8.5555555555555558E-3</v>
      </c>
    </row>
    <row r="26" spans="2:3" x14ac:dyDescent="0.25">
      <c r="B26" s="3" t="s">
        <v>119</v>
      </c>
    </row>
    <row r="27" spans="2:3" ht="18" x14ac:dyDescent="0.35">
      <c r="B27" t="s">
        <v>113</v>
      </c>
      <c r="C27" t="s">
        <v>120</v>
      </c>
    </row>
    <row r="28" spans="2:3" x14ac:dyDescent="0.25">
      <c r="B28" t="s">
        <v>114</v>
      </c>
      <c r="C28" s="21">
        <f>(C13*C19)+(C14*C24)</f>
        <v>8.4790423275231105E-2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0.23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f>'WACC Input'!C28</f>
        <v>8.4790423275231105E-2</v>
      </c>
      <c r="C7" s="41"/>
      <c r="P7">
        <v>2026</v>
      </c>
      <c r="Q7" s="26">
        <f>D28</f>
        <v>1471734500</v>
      </c>
      <c r="R7" s="26"/>
      <c r="S7" t="s">
        <v>41</v>
      </c>
      <c r="T7" s="16">
        <f>B40</f>
        <v>76.148688104703908</v>
      </c>
    </row>
    <row r="8" spans="1:26" x14ac:dyDescent="0.25">
      <c r="A8" s="40" t="s">
        <v>4</v>
      </c>
      <c r="B8" s="32">
        <v>1.4999999999999999E-2</v>
      </c>
      <c r="C8" s="41"/>
      <c r="P8">
        <v>2027</v>
      </c>
      <c r="Q8" s="26">
        <f>E28</f>
        <v>1515886535</v>
      </c>
      <c r="R8" s="26"/>
      <c r="S8" t="s">
        <v>55</v>
      </c>
      <c r="T8" s="16">
        <v>2.15</v>
      </c>
    </row>
    <row r="9" spans="1:26" x14ac:dyDescent="0.25">
      <c r="A9" s="40" t="s">
        <v>5</v>
      </c>
      <c r="B9" s="33" t="s">
        <v>79</v>
      </c>
      <c r="C9" s="41"/>
      <c r="P9">
        <v>2028</v>
      </c>
      <c r="Q9" s="26">
        <f>F28</f>
        <v>1546204265.7000003</v>
      </c>
      <c r="R9" s="26"/>
      <c r="S9" t="s">
        <v>8</v>
      </c>
      <c r="T9" s="16">
        <f>B12</f>
        <v>74</v>
      </c>
    </row>
    <row r="10" spans="1:26" x14ac:dyDescent="0.25">
      <c r="A10" s="40" t="s">
        <v>6</v>
      </c>
      <c r="B10" s="34">
        <v>46196</v>
      </c>
      <c r="C10" s="41"/>
      <c r="P10">
        <v>2029</v>
      </c>
      <c r="Q10" s="26">
        <f>G28</f>
        <v>1577128351.0139997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1608670918.0342798</v>
      </c>
      <c r="R11" s="26"/>
    </row>
    <row r="12" spans="1:26" x14ac:dyDescent="0.25">
      <c r="A12" s="40" t="s">
        <v>8</v>
      </c>
      <c r="B12" s="35">
        <v>74</v>
      </c>
      <c r="C12" s="41" t="s">
        <v>78</v>
      </c>
      <c r="P12">
        <v>2031</v>
      </c>
      <c r="Q12" s="26">
        <f>I28</f>
        <v>1640844336.3949661</v>
      </c>
      <c r="R12" s="26"/>
    </row>
    <row r="13" spans="1:26" x14ac:dyDescent="0.25">
      <c r="A13" s="40" t="s">
        <v>9</v>
      </c>
      <c r="B13" s="36">
        <v>210770000</v>
      </c>
      <c r="C13" s="41"/>
    </row>
    <row r="14" spans="1:26" x14ac:dyDescent="0.25">
      <c r="A14" s="40" t="s">
        <v>10</v>
      </c>
      <c r="B14" s="35">
        <v>4050000000</v>
      </c>
      <c r="C14" s="41"/>
      <c r="P14" s="6" t="s">
        <v>16</v>
      </c>
      <c r="Q14" s="6" t="s">
        <v>85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86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923000000</v>
      </c>
      <c r="C15" s="41"/>
      <c r="P15" s="56">
        <v>44348</v>
      </c>
      <c r="Q15" s="57">
        <v>115.65</v>
      </c>
      <c r="R15" s="6">
        <v>4352.34</v>
      </c>
      <c r="S15" s="6">
        <v>14639.33</v>
      </c>
      <c r="T15" s="6">
        <v>34433.839999999997</v>
      </c>
      <c r="U15" s="56">
        <v>44348</v>
      </c>
      <c r="V15" s="58">
        <f t="shared" ref="V15:V46" si="0">(Q15/$Q$15)*100</f>
        <v>100</v>
      </c>
      <c r="W15" s="58">
        <f>(R15/$R$15)*100</f>
        <v>100</v>
      </c>
      <c r="X15" s="58">
        <f>(S15/$S$15)*100</f>
        <v>100</v>
      </c>
      <c r="Y15" s="58">
        <f>(T15/$T$15)*100</f>
        <v>100</v>
      </c>
      <c r="Z15" t="s">
        <v>69</v>
      </c>
    </row>
    <row r="16" spans="1:26" x14ac:dyDescent="0.25">
      <c r="A16" s="40" t="s">
        <v>12</v>
      </c>
      <c r="B16" s="35" t="s">
        <v>124</v>
      </c>
      <c r="C16" s="41"/>
      <c r="P16" s="56">
        <v>44378</v>
      </c>
      <c r="Q16" s="6">
        <v>113.28</v>
      </c>
      <c r="R16" s="6">
        <v>4395.26</v>
      </c>
      <c r="S16" s="6">
        <v>14672.68</v>
      </c>
      <c r="T16" s="6">
        <v>35061.550000000003</v>
      </c>
      <c r="U16" s="56">
        <v>44378</v>
      </c>
      <c r="V16" s="59">
        <f t="shared" si="0"/>
        <v>97.950713359273664</v>
      </c>
      <c r="W16" s="59">
        <f>(R16/$R$15)*100</f>
        <v>100.98613619340402</v>
      </c>
      <c r="X16" s="59">
        <f>(S16/$S$15)*100</f>
        <v>100.22781097222347</v>
      </c>
      <c r="Y16" s="59">
        <f>(T16/$T$15)*100</f>
        <v>101.82294510284071</v>
      </c>
      <c r="Z16" t="s">
        <v>74</v>
      </c>
    </row>
    <row r="17" spans="1:25" x14ac:dyDescent="0.25">
      <c r="A17" s="42" t="s">
        <v>84</v>
      </c>
      <c r="B17" s="43"/>
      <c r="C17" s="44"/>
      <c r="P17" s="56">
        <v>44409</v>
      </c>
      <c r="Q17" s="6">
        <v>117.5</v>
      </c>
      <c r="R17" s="6">
        <v>4509.37</v>
      </c>
      <c r="S17" s="6">
        <v>14714.66</v>
      </c>
      <c r="T17" s="6">
        <v>35120.080000000002</v>
      </c>
      <c r="U17" s="56">
        <v>44409</v>
      </c>
      <c r="V17" s="59">
        <f t="shared" si="0"/>
        <v>101.599654128837</v>
      </c>
      <c r="W17" s="59">
        <f>(R17/$R$15)*100</f>
        <v>103.60794423229802</v>
      </c>
      <c r="X17" s="59">
        <f>(S17/$S$15)*100</f>
        <v>100.5145727297629</v>
      </c>
      <c r="Y17" s="59">
        <f>(T17/$T$15)*100</f>
        <v>101.9929232406261</v>
      </c>
    </row>
    <row r="18" spans="1:25" x14ac:dyDescent="0.25">
      <c r="P18" s="56">
        <v>44440</v>
      </c>
      <c r="Q18" s="6">
        <v>104.74</v>
      </c>
      <c r="R18" s="6">
        <v>4455.4799999999996</v>
      </c>
      <c r="S18" s="6">
        <v>15047.7</v>
      </c>
      <c r="T18" s="6">
        <v>34326.46</v>
      </c>
      <c r="U18" s="56">
        <v>44440</v>
      </c>
      <c r="V18" s="59">
        <f t="shared" si="0"/>
        <v>90.56636402939904</v>
      </c>
      <c r="W18" s="59">
        <f t="shared" ref="W18:W75" si="1">(R18/$R$15)*100</f>
        <v>102.36975971546339</v>
      </c>
      <c r="X18" s="59">
        <f t="shared" ref="X18:X75" si="2">(S18/$S$15)*100</f>
        <v>102.78954023169094</v>
      </c>
      <c r="Y18" s="59">
        <f t="shared" ref="Y18:Y75" si="3">(T18/$T$15)*100</f>
        <v>99.688155605067578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6">
        <v>44470</v>
      </c>
      <c r="Q19" s="6">
        <v>118.39</v>
      </c>
      <c r="R19" s="6">
        <v>4544.8999999999996</v>
      </c>
      <c r="S19" s="6">
        <v>15498.39</v>
      </c>
      <c r="T19" s="6">
        <v>35677.019999999997</v>
      </c>
      <c r="U19" s="56">
        <v>44470</v>
      </c>
      <c r="V19" s="59">
        <f t="shared" si="0"/>
        <v>102.36921746649372</v>
      </c>
      <c r="W19" s="59">
        <f t="shared" si="1"/>
        <v>104.42428670554229</v>
      </c>
      <c r="X19" s="59">
        <f t="shared" si="2"/>
        <v>105.86816473158265</v>
      </c>
      <c r="Y19" s="59">
        <f t="shared" si="3"/>
        <v>103.61034377809737</v>
      </c>
    </row>
    <row r="20" spans="1:25" x14ac:dyDescent="0.25">
      <c r="A20" t="s">
        <v>16</v>
      </c>
      <c r="C20" s="7">
        <v>46196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23863689647.974491</v>
      </c>
      <c r="P20" s="56">
        <v>44501</v>
      </c>
      <c r="Q20" s="6">
        <v>114.77</v>
      </c>
      <c r="R20" s="6">
        <v>4594.62</v>
      </c>
      <c r="S20" s="6">
        <v>15085.47</v>
      </c>
      <c r="T20" s="6">
        <v>34889.339999999997</v>
      </c>
      <c r="U20" s="56">
        <v>44501</v>
      </c>
      <c r="V20" s="59">
        <f t="shared" si="0"/>
        <v>99.23908344141806</v>
      </c>
      <c r="W20" s="59">
        <f t="shared" si="1"/>
        <v>105.56666069286867</v>
      </c>
      <c r="X20" s="59">
        <f t="shared" si="2"/>
        <v>103.04754384251191</v>
      </c>
      <c r="Y20" s="59">
        <f t="shared" si="3"/>
        <v>101.32282661474873</v>
      </c>
    </row>
    <row r="21" spans="1:25" x14ac:dyDescent="0.25">
      <c r="A21" t="s">
        <v>18</v>
      </c>
      <c r="B21" t="s">
        <v>83</v>
      </c>
      <c r="D21" s="5">
        <v>62627000000</v>
      </c>
      <c r="E21" s="5">
        <f>D21*1.03</f>
        <v>64505810000</v>
      </c>
      <c r="F21" s="5">
        <f>E21*1.02</f>
        <v>65795926200</v>
      </c>
      <c r="G21" s="5">
        <f>F21*1.02</f>
        <v>67111844724</v>
      </c>
      <c r="H21" s="5">
        <f>G21*1.02</f>
        <v>68454081618.480003</v>
      </c>
      <c r="I21" s="5">
        <f>H21*1.02</f>
        <v>69823163250.849609</v>
      </c>
      <c r="L21" t="s">
        <v>19</v>
      </c>
      <c r="M21" s="13">
        <f>(I22+I25)*6.5</f>
        <v>31769539279.136574</v>
      </c>
      <c r="P21" s="56">
        <v>44531</v>
      </c>
      <c r="Q21" s="6">
        <v>98.08</v>
      </c>
      <c r="R21" s="6">
        <v>4766.18</v>
      </c>
      <c r="S21" s="6">
        <v>15653.37</v>
      </c>
      <c r="T21" s="6">
        <v>35950.559999999998</v>
      </c>
      <c r="U21" s="56">
        <v>44531</v>
      </c>
      <c r="V21" s="59">
        <f t="shared" si="0"/>
        <v>84.807609165585816</v>
      </c>
      <c r="W21" s="59">
        <f t="shared" si="1"/>
        <v>109.50844832894488</v>
      </c>
      <c r="X21" s="59">
        <f t="shared" si="2"/>
        <v>106.92681973833503</v>
      </c>
      <c r="Y21" s="59">
        <f t="shared" si="3"/>
        <v>104.40473673572276</v>
      </c>
    </row>
    <row r="22" spans="1:25" x14ac:dyDescent="0.25">
      <c r="A22" t="s">
        <v>77</v>
      </c>
      <c r="B22" t="s">
        <v>80</v>
      </c>
      <c r="C22" s="25">
        <v>0.05</v>
      </c>
      <c r="D22" s="5">
        <f>D21*$C$22</f>
        <v>3131350000</v>
      </c>
      <c r="E22" s="5">
        <f t="shared" ref="E22:I22" si="4">E21*$C$22</f>
        <v>3225290500</v>
      </c>
      <c r="F22" s="5">
        <f t="shared" si="4"/>
        <v>3289796310</v>
      </c>
      <c r="G22" s="5">
        <f t="shared" si="4"/>
        <v>3355592236.2000003</v>
      </c>
      <c r="H22" s="5">
        <f t="shared" si="4"/>
        <v>3422704080.9240003</v>
      </c>
      <c r="I22" s="5">
        <f t="shared" si="4"/>
        <v>3491158162.5424805</v>
      </c>
      <c r="L22" t="s">
        <v>20</v>
      </c>
      <c r="M22" s="13">
        <f>(M20+M21)/2</f>
        <v>27816614463.555534</v>
      </c>
      <c r="P22" s="56">
        <v>44562</v>
      </c>
      <c r="Q22" s="6">
        <v>97.64</v>
      </c>
      <c r="R22" s="6">
        <v>4500.53</v>
      </c>
      <c r="S22" s="6">
        <v>13770.57</v>
      </c>
      <c r="T22" s="6">
        <v>34725.47</v>
      </c>
      <c r="U22" s="56">
        <v>44562</v>
      </c>
      <c r="V22" s="59">
        <f t="shared" si="0"/>
        <v>84.427150886294854</v>
      </c>
      <c r="W22" s="59">
        <f t="shared" si="1"/>
        <v>103.40483510019895</v>
      </c>
      <c r="X22" s="59">
        <f t="shared" si="2"/>
        <v>94.065575405431801</v>
      </c>
      <c r="Y22" s="59">
        <f t="shared" si="3"/>
        <v>100.84692848662829</v>
      </c>
    </row>
    <row r="23" spans="1:25" x14ac:dyDescent="0.25">
      <c r="A23" t="s">
        <v>21</v>
      </c>
      <c r="B23" t="s">
        <v>22</v>
      </c>
      <c r="C23" s="25"/>
      <c r="D23" s="5">
        <f>D22*$B$6</f>
        <v>720210500</v>
      </c>
      <c r="E23" s="30">
        <f t="shared" ref="E23:I23" si="5">E22*$B$6</f>
        <v>741816815</v>
      </c>
      <c r="F23" s="5">
        <f t="shared" si="5"/>
        <v>756653151.30000007</v>
      </c>
      <c r="G23" s="30">
        <f t="shared" si="5"/>
        <v>771786214.32600009</v>
      </c>
      <c r="H23" s="30">
        <f t="shared" si="5"/>
        <v>787221938.6125201</v>
      </c>
      <c r="I23" s="5">
        <f t="shared" si="5"/>
        <v>802966377.38477051</v>
      </c>
      <c r="P23" s="56">
        <v>44593</v>
      </c>
      <c r="Q23" s="6">
        <v>95.83</v>
      </c>
      <c r="R23" s="6">
        <v>4384.6499999999996</v>
      </c>
      <c r="S23" s="6">
        <v>13313.44</v>
      </c>
      <c r="T23" s="6">
        <v>34058.75</v>
      </c>
      <c r="U23" s="56">
        <v>44593</v>
      </c>
      <c r="V23" s="59">
        <f t="shared" si="0"/>
        <v>82.862083873757015</v>
      </c>
      <c r="W23" s="59">
        <f t="shared" si="1"/>
        <v>100.74235928259282</v>
      </c>
      <c r="X23" s="59">
        <f t="shared" si="2"/>
        <v>90.942959821248664</v>
      </c>
      <c r="Y23" s="59">
        <f t="shared" si="3"/>
        <v>98.910693666463004</v>
      </c>
    </row>
    <row r="24" spans="1:25" x14ac:dyDescent="0.25">
      <c r="A24" t="s">
        <v>23</v>
      </c>
      <c r="B24" t="s">
        <v>24</v>
      </c>
      <c r="C24" s="25"/>
      <c r="D24" s="5">
        <f>D22*(1-$B$6)</f>
        <v>2411139500</v>
      </c>
      <c r="E24" s="5">
        <f t="shared" ref="E24:I24" si="6">E22*(1-$B$6)</f>
        <v>2483473685</v>
      </c>
      <c r="F24" s="5">
        <f t="shared" si="6"/>
        <v>2533143158.7000003</v>
      </c>
      <c r="G24" s="5">
        <f t="shared" si="6"/>
        <v>2583806021.8740001</v>
      </c>
      <c r="H24" s="5">
        <f t="shared" si="6"/>
        <v>2635482142.31148</v>
      </c>
      <c r="I24" s="5">
        <f t="shared" si="6"/>
        <v>2688191785.1577101</v>
      </c>
      <c r="P24" s="56">
        <v>44621</v>
      </c>
      <c r="Q24" s="6">
        <v>90.38</v>
      </c>
      <c r="R24" s="6">
        <v>4543.0600000000004</v>
      </c>
      <c r="S24" s="6">
        <v>14169.3</v>
      </c>
      <c r="T24" s="6">
        <v>34861.24</v>
      </c>
      <c r="U24" s="56">
        <v>44621</v>
      </c>
      <c r="V24" s="59">
        <f t="shared" si="0"/>
        <v>78.14958927799394</v>
      </c>
      <c r="W24" s="59">
        <f t="shared" si="1"/>
        <v>104.38201059659862</v>
      </c>
      <c r="X24" s="59">
        <f t="shared" si="2"/>
        <v>96.789265628959782</v>
      </c>
      <c r="Y24" s="59">
        <f t="shared" si="3"/>
        <v>101.24122084554033</v>
      </c>
    </row>
    <row r="25" spans="1:25" x14ac:dyDescent="0.25">
      <c r="A25" s="4" t="s">
        <v>25</v>
      </c>
      <c r="B25" s="8" t="s">
        <v>81</v>
      </c>
      <c r="C25" s="25">
        <v>0.02</v>
      </c>
      <c r="D25" s="12">
        <f>D21*$C$25</f>
        <v>1252540000</v>
      </c>
      <c r="E25" s="12">
        <f t="shared" ref="E25:I25" si="7">E21*$C$25</f>
        <v>1290116200</v>
      </c>
      <c r="F25" s="12">
        <f t="shared" si="7"/>
        <v>1315918524</v>
      </c>
      <c r="G25" s="12">
        <f t="shared" si="7"/>
        <v>1342236894.48</v>
      </c>
      <c r="H25" s="12">
        <f t="shared" si="7"/>
        <v>1369081632.3696001</v>
      </c>
      <c r="I25" s="12">
        <f t="shared" si="7"/>
        <v>1396463265.0169923</v>
      </c>
      <c r="P25" s="56">
        <v>44652</v>
      </c>
      <c r="Q25" s="6">
        <v>89.93</v>
      </c>
      <c r="R25" s="6">
        <v>4271.78</v>
      </c>
      <c r="S25" s="6">
        <v>12839.29</v>
      </c>
      <c r="T25" s="6">
        <v>33811.4</v>
      </c>
      <c r="U25" s="56">
        <v>44652</v>
      </c>
      <c r="V25" s="59">
        <f t="shared" si="0"/>
        <v>77.760484219628196</v>
      </c>
      <c r="W25" s="59">
        <f t="shared" si="1"/>
        <v>98.149041664943454</v>
      </c>
      <c r="X25" s="59">
        <f t="shared" si="2"/>
        <v>87.704082085723883</v>
      </c>
      <c r="Y25" s="59">
        <f t="shared" si="3"/>
        <v>98.192359609035776</v>
      </c>
    </row>
    <row r="26" spans="1:25" x14ac:dyDescent="0.25">
      <c r="A26" t="s">
        <v>26</v>
      </c>
      <c r="B26" t="s">
        <v>92</v>
      </c>
      <c r="C26" s="46">
        <v>2.5000000000000001E-2</v>
      </c>
      <c r="D26" s="10">
        <f>D21*$C$26</f>
        <v>1565675000</v>
      </c>
      <c r="E26" s="10">
        <f t="shared" ref="E26:I26" si="8">E21*$C$26</f>
        <v>1612645250</v>
      </c>
      <c r="F26" s="10">
        <f t="shared" si="8"/>
        <v>1644898155</v>
      </c>
      <c r="G26" s="10">
        <f t="shared" si="8"/>
        <v>1677796118.1000001</v>
      </c>
      <c r="H26" s="10">
        <f t="shared" si="8"/>
        <v>1711352040.4620001</v>
      </c>
      <c r="I26" s="10">
        <f t="shared" si="8"/>
        <v>1745579081.2712402</v>
      </c>
      <c r="P26" s="56">
        <v>44682</v>
      </c>
      <c r="Q26" s="6">
        <v>80.39</v>
      </c>
      <c r="R26" s="6">
        <v>4158.24</v>
      </c>
      <c r="S26" s="6">
        <v>11354.62</v>
      </c>
      <c r="T26" s="6">
        <v>33212.959999999999</v>
      </c>
      <c r="U26" s="56">
        <v>44682</v>
      </c>
      <c r="V26" s="59">
        <f t="shared" si="0"/>
        <v>69.511456982274098</v>
      </c>
      <c r="W26" s="59">
        <f t="shared" si="1"/>
        <v>95.540330029363503</v>
      </c>
      <c r="X26" s="59">
        <f t="shared" si="2"/>
        <v>77.562429428122741</v>
      </c>
      <c r="Y26" s="59">
        <f t="shared" si="3"/>
        <v>96.454418095687274</v>
      </c>
    </row>
    <row r="27" spans="1:25" x14ac:dyDescent="0.25">
      <c r="A27" t="s">
        <v>27</v>
      </c>
      <c r="B27" t="s">
        <v>82</v>
      </c>
      <c r="C27" s="25">
        <v>0.01</v>
      </c>
      <c r="D27" s="10">
        <f>D21*$C$27</f>
        <v>626270000</v>
      </c>
      <c r="E27" s="10">
        <f t="shared" ref="E27:I27" si="9">E21*$C$27</f>
        <v>645058100</v>
      </c>
      <c r="F27" s="10">
        <f t="shared" si="9"/>
        <v>657959262</v>
      </c>
      <c r="G27" s="10">
        <f t="shared" si="9"/>
        <v>671118447.24000001</v>
      </c>
      <c r="H27" s="10">
        <f t="shared" si="9"/>
        <v>684540816.18480003</v>
      </c>
      <c r="I27" s="10">
        <f t="shared" si="9"/>
        <v>698231632.50849617</v>
      </c>
      <c r="P27" s="56">
        <v>44713</v>
      </c>
      <c r="Q27" s="59">
        <v>74.69</v>
      </c>
      <c r="R27" s="6">
        <v>3911.74</v>
      </c>
      <c r="S27" s="6">
        <v>11127.85</v>
      </c>
      <c r="T27" s="6">
        <v>31097.26</v>
      </c>
      <c r="U27" s="56">
        <v>44713</v>
      </c>
      <c r="V27" s="59">
        <f t="shared" si="0"/>
        <v>64.582792909641157</v>
      </c>
      <c r="W27" s="59">
        <f t="shared" si="1"/>
        <v>89.876709999678326</v>
      </c>
      <c r="X27" s="59">
        <f t="shared" si="2"/>
        <v>76.01338312614034</v>
      </c>
      <c r="Y27" s="59">
        <f t="shared" si="3"/>
        <v>90.310171621869657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1471734500</v>
      </c>
      <c r="E28" s="12">
        <f t="shared" ref="E28:I28" si="10">E24+E25-E26-E27</f>
        <v>1515886535</v>
      </c>
      <c r="F28" s="12">
        <f t="shared" si="10"/>
        <v>1546204265.7000003</v>
      </c>
      <c r="G28" s="12">
        <f t="shared" si="10"/>
        <v>1577128351.0139997</v>
      </c>
      <c r="H28" s="12">
        <f t="shared" si="10"/>
        <v>1608670918.0342798</v>
      </c>
      <c r="I28" s="12">
        <f t="shared" si="10"/>
        <v>1640844336.3949661</v>
      </c>
      <c r="P28" s="56">
        <v>44743</v>
      </c>
      <c r="Q28" s="6">
        <v>76.989999999999995</v>
      </c>
      <c r="R28" s="6">
        <v>4130.29</v>
      </c>
      <c r="S28" s="6">
        <v>12390.69</v>
      </c>
      <c r="T28" s="6">
        <v>32845.129999999997</v>
      </c>
      <c r="U28" s="56">
        <v>44743</v>
      </c>
      <c r="V28" s="59">
        <f t="shared" si="0"/>
        <v>66.571552096843917</v>
      </c>
      <c r="W28" s="59">
        <f t="shared" si="1"/>
        <v>94.898146744050322</v>
      </c>
      <c r="X28" s="59">
        <f t="shared" si="2"/>
        <v>84.63973419548573</v>
      </c>
      <c r="Y28" s="59">
        <f t="shared" si="3"/>
        <v>95.386195672629015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6">
        <v>44774</v>
      </c>
      <c r="Q29" s="6">
        <v>74.150000000000006</v>
      </c>
      <c r="R29" s="6">
        <v>3924.26</v>
      </c>
      <c r="S29" s="6">
        <v>12141.71</v>
      </c>
      <c r="T29" s="6">
        <v>31318.44</v>
      </c>
      <c r="U29" s="56">
        <v>44774</v>
      </c>
      <c r="V29" s="59">
        <f t="shared" si="0"/>
        <v>64.115866839602248</v>
      </c>
      <c r="W29" s="59">
        <f t="shared" si="1"/>
        <v>90.164371349664791</v>
      </c>
      <c r="X29" s="59">
        <f t="shared" si="2"/>
        <v>82.938973300007575</v>
      </c>
      <c r="Y29" s="59">
        <f t="shared" si="3"/>
        <v>90.95250486149672</v>
      </c>
    </row>
    <row r="30" spans="1:25" x14ac:dyDescent="0.25">
      <c r="A30" t="s">
        <v>36</v>
      </c>
      <c r="C30" s="13">
        <f>-G39</f>
        <v>-18723980000</v>
      </c>
      <c r="D30" s="5">
        <f>D28</f>
        <v>1471734500</v>
      </c>
      <c r="E30" s="5">
        <f t="shared" ref="E30:I30" si="11">E28</f>
        <v>1515886535</v>
      </c>
      <c r="F30" s="5">
        <f t="shared" si="11"/>
        <v>1546204265.7000003</v>
      </c>
      <c r="G30" s="5">
        <f t="shared" si="11"/>
        <v>1577128351.0139997</v>
      </c>
      <c r="H30" s="5">
        <f t="shared" si="11"/>
        <v>1608670918.0342798</v>
      </c>
      <c r="I30" s="5">
        <f t="shared" si="11"/>
        <v>1640844336.3949661</v>
      </c>
      <c r="J30" s="13">
        <f>I28+M22</f>
        <v>29457458799.9505</v>
      </c>
      <c r="K30" t="s">
        <v>38</v>
      </c>
      <c r="P30" s="56">
        <v>44805</v>
      </c>
      <c r="Q30" s="6">
        <v>63.34</v>
      </c>
      <c r="R30" s="6">
        <v>3585.62</v>
      </c>
      <c r="S30" s="6">
        <v>10867.93</v>
      </c>
      <c r="T30" s="6">
        <v>30822.42</v>
      </c>
      <c r="U30" s="56">
        <v>44805</v>
      </c>
      <c r="V30" s="59">
        <f t="shared" si="0"/>
        <v>54.768698659749248</v>
      </c>
      <c r="W30" s="59">
        <f t="shared" si="1"/>
        <v>82.383729212331744</v>
      </c>
      <c r="X30" s="59">
        <f t="shared" si="2"/>
        <v>74.237892034676463</v>
      </c>
      <c r="Y30" s="59">
        <f t="shared" si="3"/>
        <v>89.512003308373394</v>
      </c>
    </row>
    <row r="31" spans="1:25" x14ac:dyDescent="0.25">
      <c r="A31" t="s">
        <v>37</v>
      </c>
      <c r="D31" s="6">
        <f>1/(1+$B$7)^D29</f>
        <v>0.96012345384633146</v>
      </c>
      <c r="E31" s="6">
        <f t="shared" ref="E31:I31" si="12">1/(1+$B$7)^E29</f>
        <v>0.88507736908987322</v>
      </c>
      <c r="F31" s="6">
        <f t="shared" si="12"/>
        <v>0.81589710795714976</v>
      </c>
      <c r="G31" s="6">
        <f t="shared" si="12"/>
        <v>0.75212418034975759</v>
      </c>
      <c r="H31" s="6">
        <f t="shared" si="12"/>
        <v>0.69333593310947772</v>
      </c>
      <c r="I31" s="6">
        <f t="shared" si="12"/>
        <v>0.66568809077284097</v>
      </c>
      <c r="J31" t="s">
        <v>39</v>
      </c>
      <c r="P31" s="56">
        <v>44835</v>
      </c>
      <c r="Q31" s="6">
        <v>68.2</v>
      </c>
      <c r="R31" s="6">
        <v>3901.06</v>
      </c>
      <c r="S31" s="6">
        <v>11102.45</v>
      </c>
      <c r="T31" s="6">
        <v>32861.800000000003</v>
      </c>
      <c r="U31" s="56">
        <v>44835</v>
      </c>
      <c r="V31" s="59">
        <f t="shared" si="0"/>
        <v>58.971033290099442</v>
      </c>
      <c r="W31" s="59">
        <f t="shared" si="1"/>
        <v>89.631324758635571</v>
      </c>
      <c r="X31" s="59">
        <f t="shared" si="2"/>
        <v>75.839877917910187</v>
      </c>
      <c r="Y31" s="59">
        <f t="shared" si="3"/>
        <v>95.434607351372975</v>
      </c>
    </row>
    <row r="32" spans="1:25" x14ac:dyDescent="0.25">
      <c r="A32" t="s">
        <v>40</v>
      </c>
      <c r="C32" s="13">
        <f>-G39</f>
        <v>-18723980000</v>
      </c>
      <c r="D32" s="5">
        <f>D30*D31</f>
        <v>1413046811.2848036</v>
      </c>
      <c r="E32" s="5">
        <f t="shared" ref="E32:I32" si="13">E30*E31</f>
        <v>1341676866.2365639</v>
      </c>
      <c r="F32" s="5">
        <f t="shared" si="13"/>
        <v>1261543588.6956387</v>
      </c>
      <c r="G32" s="5">
        <f t="shared" si="13"/>
        <v>1186196368.3127694</v>
      </c>
      <c r="H32" s="5">
        <f t="shared" si="13"/>
        <v>1115349352.0213776</v>
      </c>
      <c r="I32" s="5">
        <f t="shared" si="13"/>
        <v>1092290533.5501943</v>
      </c>
      <c r="J32" s="14">
        <f>M22</f>
        <v>27816614463.555534</v>
      </c>
      <c r="P32" s="56">
        <v>44866</v>
      </c>
      <c r="Q32" s="6">
        <v>86.6</v>
      </c>
      <c r="R32" s="6">
        <v>4026.12</v>
      </c>
      <c r="S32" s="6">
        <v>11226.36</v>
      </c>
      <c r="T32" s="6">
        <v>34429.879999999997</v>
      </c>
      <c r="U32" s="56">
        <v>44866</v>
      </c>
      <c r="V32" s="59">
        <f t="shared" si="0"/>
        <v>74.881106787721563</v>
      </c>
      <c r="W32" s="59">
        <f t="shared" si="1"/>
        <v>92.504721598036909</v>
      </c>
      <c r="X32" s="59">
        <f t="shared" si="2"/>
        <v>76.686296435697543</v>
      </c>
      <c r="Y32" s="59">
        <f t="shared" si="3"/>
        <v>99.988499685193403</v>
      </c>
    </row>
    <row r="33" spans="1:25" x14ac:dyDescent="0.25">
      <c r="A33" t="s">
        <v>56</v>
      </c>
      <c r="C33" s="29">
        <v>-18724</v>
      </c>
      <c r="D33" s="45">
        <v>1413</v>
      </c>
      <c r="E33" s="24">
        <v>1342</v>
      </c>
      <c r="F33" s="24">
        <v>1262</v>
      </c>
      <c r="G33" s="24">
        <v>1186</v>
      </c>
      <c r="H33" s="24">
        <v>1115</v>
      </c>
      <c r="I33" s="24">
        <v>1092</v>
      </c>
      <c r="J33" s="24">
        <v>27817</v>
      </c>
      <c r="P33" s="56">
        <v>44896</v>
      </c>
      <c r="Q33" s="6">
        <v>80.209999999999994</v>
      </c>
      <c r="R33" s="6">
        <v>3839.5</v>
      </c>
      <c r="S33" s="6">
        <v>10466.48</v>
      </c>
      <c r="T33" s="6">
        <v>33203.93</v>
      </c>
      <c r="U33" s="56">
        <v>44896</v>
      </c>
      <c r="V33" s="59">
        <f t="shared" si="0"/>
        <v>69.35581495892778</v>
      </c>
      <c r="W33" s="59">
        <f t="shared" si="1"/>
        <v>88.216913200715013</v>
      </c>
      <c r="X33" s="59">
        <f t="shared" si="2"/>
        <v>71.495621725857674</v>
      </c>
      <c r="Y33" s="59">
        <f t="shared" si="3"/>
        <v>96.428193892984353</v>
      </c>
    </row>
    <row r="34" spans="1:25" x14ac:dyDescent="0.25">
      <c r="P34" s="56">
        <v>44927</v>
      </c>
      <c r="Q34" s="6">
        <v>90.32</v>
      </c>
      <c r="R34" s="6">
        <v>4070.56</v>
      </c>
      <c r="S34" s="6">
        <v>11140.43</v>
      </c>
      <c r="T34" s="6">
        <v>33375.49</v>
      </c>
      <c r="U34" s="56">
        <v>44927</v>
      </c>
      <c r="V34" s="59">
        <f t="shared" si="0"/>
        <v>78.097708603545172</v>
      </c>
      <c r="W34" s="59">
        <f t="shared" si="1"/>
        <v>93.525781533611791</v>
      </c>
      <c r="X34" s="59">
        <f t="shared" si="2"/>
        <v>76.099316020610232</v>
      </c>
      <c r="Y34" s="59">
        <f t="shared" si="3"/>
        <v>96.926424703140867</v>
      </c>
    </row>
    <row r="35" spans="1:25" x14ac:dyDescent="0.25">
      <c r="A35" s="3" t="s">
        <v>41</v>
      </c>
      <c r="F35" s="3" t="s">
        <v>31</v>
      </c>
      <c r="P35" s="56">
        <v>44958</v>
      </c>
      <c r="Q35" s="6">
        <v>83.26</v>
      </c>
      <c r="R35" s="6">
        <v>4045.64</v>
      </c>
      <c r="S35" s="6">
        <v>11689.01</v>
      </c>
      <c r="T35" s="6">
        <v>32816.92</v>
      </c>
      <c r="U35" s="56">
        <v>44958</v>
      </c>
      <c r="V35" s="59">
        <f t="shared" si="0"/>
        <v>71.993082576740164</v>
      </c>
      <c r="W35" s="59">
        <f t="shared" si="1"/>
        <v>92.953215971178722</v>
      </c>
      <c r="X35" s="59">
        <f t="shared" si="2"/>
        <v>79.846618663559056</v>
      </c>
      <c r="Y35" s="59">
        <f t="shared" si="3"/>
        <v>95.304270450231527</v>
      </c>
    </row>
    <row r="36" spans="1:25" x14ac:dyDescent="0.25">
      <c r="A36" s="13" t="s">
        <v>42</v>
      </c>
      <c r="B36" s="17">
        <f>SUM(D32:I32)</f>
        <v>7410103520.101347</v>
      </c>
      <c r="C36" t="s">
        <v>45</v>
      </c>
      <c r="F36" t="s">
        <v>33</v>
      </c>
      <c r="G36" s="15">
        <f>B13*B12</f>
        <v>15596980000</v>
      </c>
      <c r="H36" t="s">
        <v>34</v>
      </c>
      <c r="L36" s="3" t="s">
        <v>51</v>
      </c>
      <c r="P36" s="56">
        <v>44986</v>
      </c>
      <c r="Q36" s="6">
        <v>78.27</v>
      </c>
      <c r="R36" s="6">
        <v>3970.99</v>
      </c>
      <c r="S36" s="6">
        <v>11823.96</v>
      </c>
      <c r="T36" s="6">
        <v>33274.15</v>
      </c>
      <c r="U36" s="56">
        <v>44986</v>
      </c>
      <c r="V36" s="59">
        <f t="shared" si="0"/>
        <v>67.678339818417626</v>
      </c>
      <c r="W36" s="59">
        <f t="shared" si="1"/>
        <v>91.238046659957632</v>
      </c>
      <c r="X36" s="59">
        <f t="shared" si="2"/>
        <v>80.768450468703136</v>
      </c>
      <c r="Y36" s="59">
        <f t="shared" si="3"/>
        <v>96.63212119240842</v>
      </c>
    </row>
    <row r="37" spans="1:25" x14ac:dyDescent="0.25">
      <c r="A37" t="s">
        <v>11</v>
      </c>
      <c r="B37" s="19">
        <f>B15</f>
        <v>923000000</v>
      </c>
      <c r="F37" t="s">
        <v>10</v>
      </c>
      <c r="G37" s="14">
        <f>B14</f>
        <v>4050000000</v>
      </c>
      <c r="L37" t="s">
        <v>52</v>
      </c>
      <c r="M37" s="21">
        <f>(B40/B12)-1</f>
        <v>2.9036325739242086E-2</v>
      </c>
      <c r="P37" s="56">
        <v>45017</v>
      </c>
      <c r="Q37" s="6">
        <v>74.52</v>
      </c>
      <c r="R37" s="6">
        <v>4133.5200000000004</v>
      </c>
      <c r="S37" s="6">
        <v>12072.46</v>
      </c>
      <c r="T37" s="6">
        <v>33808.959999999999</v>
      </c>
      <c r="U37" s="56">
        <v>45017</v>
      </c>
      <c r="V37" s="59">
        <f t="shared" si="0"/>
        <v>64.435797665369648</v>
      </c>
      <c r="W37" s="59">
        <f t="shared" si="1"/>
        <v>94.972359696163451</v>
      </c>
      <c r="X37" s="59">
        <f t="shared" si="2"/>
        <v>82.46593252560055</v>
      </c>
      <c r="Y37" s="59">
        <f t="shared" si="3"/>
        <v>98.185273556478165</v>
      </c>
    </row>
    <row r="38" spans="1:25" x14ac:dyDescent="0.25">
      <c r="A38" t="s">
        <v>10</v>
      </c>
      <c r="B38" s="19">
        <f>B14</f>
        <v>4050000000</v>
      </c>
      <c r="C38" s="3"/>
      <c r="F38" t="s">
        <v>11</v>
      </c>
      <c r="G38" s="14">
        <f>B15</f>
        <v>923000000</v>
      </c>
      <c r="L38" t="s">
        <v>53</v>
      </c>
      <c r="M38" s="23">
        <f>IRR(C33:J33)</f>
        <v>0.10985879183116887</v>
      </c>
      <c r="N38" t="s">
        <v>57</v>
      </c>
      <c r="P38" s="56">
        <v>45047</v>
      </c>
      <c r="Q38" s="6">
        <v>73.209999999999994</v>
      </c>
      <c r="R38" s="6">
        <v>4282.37</v>
      </c>
      <c r="S38" s="6">
        <v>13240.77</v>
      </c>
      <c r="T38" s="6">
        <v>33093.339999999997</v>
      </c>
      <c r="U38" s="56">
        <v>45047</v>
      </c>
      <c r="V38" s="59">
        <f t="shared" si="0"/>
        <v>63.30306960657154</v>
      </c>
      <c r="W38" s="59">
        <f t="shared" si="1"/>
        <v>98.392359052831353</v>
      </c>
      <c r="X38" s="59">
        <f t="shared" si="2"/>
        <v>90.446557321953946</v>
      </c>
      <c r="Y38" s="59">
        <f t="shared" si="3"/>
        <v>96.107027273170814</v>
      </c>
    </row>
    <row r="39" spans="1:25" x14ac:dyDescent="0.25">
      <c r="A39" t="s">
        <v>44</v>
      </c>
      <c r="B39" s="17">
        <f>(((B36+B37)-B38)+(M22))/2</f>
        <v>16049858991.828442</v>
      </c>
      <c r="C39" t="s">
        <v>75</v>
      </c>
      <c r="F39" t="s">
        <v>30</v>
      </c>
      <c r="G39" s="13">
        <f>G36+G37-G38</f>
        <v>18723980000</v>
      </c>
      <c r="H39" t="s">
        <v>32</v>
      </c>
      <c r="P39" s="56">
        <v>45078</v>
      </c>
      <c r="Q39" s="6">
        <v>81.95</v>
      </c>
      <c r="R39" s="6">
        <v>4450.38</v>
      </c>
      <c r="S39" s="6">
        <v>13492.52</v>
      </c>
      <c r="T39" s="6">
        <v>33727.43</v>
      </c>
      <c r="U39" s="56">
        <v>45078</v>
      </c>
      <c r="V39" s="59">
        <f t="shared" si="0"/>
        <v>70.860354517942071</v>
      </c>
      <c r="W39" s="59">
        <f t="shared" si="1"/>
        <v>102.25258137002164</v>
      </c>
      <c r="X39" s="59">
        <f t="shared" si="2"/>
        <v>92.166239848408367</v>
      </c>
      <c r="Y39" s="59">
        <f t="shared" si="3"/>
        <v>97.9485006609777</v>
      </c>
    </row>
    <row r="40" spans="1:25" x14ac:dyDescent="0.25">
      <c r="A40" t="s">
        <v>72</v>
      </c>
      <c r="B40" s="20">
        <f>B39/B13</f>
        <v>76.148688104703908</v>
      </c>
      <c r="C40" t="s">
        <v>76</v>
      </c>
      <c r="F40" t="s">
        <v>48</v>
      </c>
      <c r="G40" s="16">
        <f>G39/B13</f>
        <v>88.836077240594008</v>
      </c>
      <c r="H40" t="s">
        <v>49</v>
      </c>
      <c r="L40" s="47" t="s">
        <v>95</v>
      </c>
      <c r="M40" s="48"/>
      <c r="P40" s="56">
        <v>45108</v>
      </c>
      <c r="Q40" s="6">
        <v>82.9</v>
      </c>
      <c r="R40" s="6">
        <v>4582.2299999999996</v>
      </c>
      <c r="S40" s="6">
        <v>14032.81</v>
      </c>
      <c r="T40" s="6">
        <v>35065.620000000003</v>
      </c>
      <c r="U40" s="56">
        <v>45108</v>
      </c>
      <c r="V40" s="59">
        <f t="shared" si="0"/>
        <v>71.681798530047558</v>
      </c>
      <c r="W40" s="59">
        <f t="shared" si="1"/>
        <v>105.28198624188367</v>
      </c>
      <c r="X40" s="59">
        <f t="shared" si="2"/>
        <v>95.856914216702535</v>
      </c>
      <c r="Y40" s="59">
        <f t="shared" si="3"/>
        <v>101.83476487083638</v>
      </c>
    </row>
    <row r="41" spans="1:25" x14ac:dyDescent="0.25">
      <c r="A41" t="s">
        <v>46</v>
      </c>
      <c r="B41" s="22">
        <f>(B40/B12)-1</f>
        <v>2.9036325739242086E-2</v>
      </c>
      <c r="C41" t="s">
        <v>47</v>
      </c>
      <c r="F41" t="s">
        <v>46</v>
      </c>
      <c r="G41" s="21">
        <f>(G40/B12)-1</f>
        <v>0.20048753027829735</v>
      </c>
      <c r="H41" t="s">
        <v>50</v>
      </c>
      <c r="L41" s="49" t="s">
        <v>41</v>
      </c>
      <c r="M41" s="50">
        <f>B40</f>
        <v>76.148688104703908</v>
      </c>
      <c r="P41" s="56">
        <v>45139</v>
      </c>
      <c r="Q41" s="6">
        <v>75.27</v>
      </c>
      <c r="R41" s="6">
        <v>4515.7700000000004</v>
      </c>
      <c r="S41" s="6">
        <v>13590.65</v>
      </c>
      <c r="T41" s="6">
        <v>34837.71</v>
      </c>
      <c r="U41" s="56">
        <v>45139</v>
      </c>
      <c r="V41" s="59">
        <f t="shared" si="0"/>
        <v>65.084306095979244</v>
      </c>
      <c r="W41" s="59">
        <f t="shared" si="1"/>
        <v>103.75499156775436</v>
      </c>
      <c r="X41" s="59">
        <f t="shared" si="2"/>
        <v>92.836557410755816</v>
      </c>
      <c r="Y41" s="59">
        <f t="shared" si="3"/>
        <v>101.1728869042779</v>
      </c>
    </row>
    <row r="42" spans="1:25" x14ac:dyDescent="0.25">
      <c r="L42" s="49" t="s">
        <v>8</v>
      </c>
      <c r="M42" s="50">
        <f>B12</f>
        <v>74</v>
      </c>
      <c r="P42" s="56">
        <v>45170</v>
      </c>
      <c r="Q42" s="6">
        <v>69.47</v>
      </c>
      <c r="R42" s="6">
        <v>4320.0600000000004</v>
      </c>
      <c r="S42" s="6">
        <v>13211.81</v>
      </c>
      <c r="T42" s="6">
        <v>33507.5</v>
      </c>
      <c r="U42" s="56">
        <v>45170</v>
      </c>
      <c r="V42" s="59">
        <f t="shared" si="0"/>
        <v>60.069174232598357</v>
      </c>
      <c r="W42" s="59">
        <f t="shared" si="1"/>
        <v>99.258330001792146</v>
      </c>
      <c r="X42" s="59">
        <f t="shared" si="2"/>
        <v>90.248734060916718</v>
      </c>
      <c r="Y42" s="59">
        <f t="shared" si="3"/>
        <v>97.309797571226454</v>
      </c>
    </row>
    <row r="43" spans="1:25" x14ac:dyDescent="0.25">
      <c r="L43" s="49" t="s">
        <v>99</v>
      </c>
      <c r="M43" s="50">
        <f>(B40-B12)</f>
        <v>2.1486881047039077</v>
      </c>
      <c r="P43" s="56">
        <v>45200</v>
      </c>
      <c r="Q43" s="6">
        <v>64.41</v>
      </c>
      <c r="R43" s="6">
        <v>4117.37</v>
      </c>
      <c r="S43" s="6">
        <v>12643.01</v>
      </c>
      <c r="T43" s="6">
        <v>34061.32</v>
      </c>
      <c r="U43" s="56">
        <v>45200</v>
      </c>
      <c r="V43" s="59">
        <f t="shared" si="0"/>
        <v>55.693904020752264</v>
      </c>
      <c r="W43" s="59">
        <f t="shared" si="1"/>
        <v>94.601294935597863</v>
      </c>
      <c r="X43" s="59">
        <f t="shared" si="2"/>
        <v>86.363310342754758</v>
      </c>
      <c r="Y43" s="59">
        <f t="shared" si="3"/>
        <v>98.918157254607692</v>
      </c>
    </row>
    <row r="44" spans="1:25" x14ac:dyDescent="0.25">
      <c r="L44" s="49" t="s">
        <v>100</v>
      </c>
      <c r="M44" s="54">
        <f>((B40-B12)/(B12))</f>
        <v>2.9036325739241996E-2</v>
      </c>
      <c r="P44" s="56">
        <v>45231</v>
      </c>
      <c r="Q44" s="6">
        <v>73.42</v>
      </c>
      <c r="R44" s="6">
        <v>4559.34</v>
      </c>
      <c r="S44" s="6">
        <v>14250.85</v>
      </c>
      <c r="T44" s="6">
        <v>36245.5</v>
      </c>
      <c r="U44" s="56">
        <v>45231</v>
      </c>
      <c r="V44" s="59">
        <f t="shared" si="0"/>
        <v>63.484651967142234</v>
      </c>
      <c r="W44" s="59">
        <f t="shared" si="1"/>
        <v>104.75606225616565</v>
      </c>
      <c r="X44" s="59">
        <f t="shared" si="2"/>
        <v>97.346326641997962</v>
      </c>
      <c r="Y44" s="59">
        <f t="shared" si="3"/>
        <v>105.26127785922222</v>
      </c>
    </row>
    <row r="45" spans="1:25" x14ac:dyDescent="0.25">
      <c r="L45" s="52"/>
      <c r="M45" s="51"/>
      <c r="P45" s="56">
        <v>45261</v>
      </c>
      <c r="Q45" s="6">
        <v>78.28</v>
      </c>
      <c r="R45" s="6">
        <v>4769.83</v>
      </c>
      <c r="S45" s="6">
        <v>14992.97</v>
      </c>
      <c r="T45" s="6">
        <v>37689.54</v>
      </c>
      <c r="U45" s="56">
        <v>45261</v>
      </c>
      <c r="V45" s="59">
        <f t="shared" si="0"/>
        <v>67.686986597492421</v>
      </c>
      <c r="W45" s="59">
        <f t="shared" si="1"/>
        <v>109.59231126244732</v>
      </c>
      <c r="X45" s="59">
        <f t="shared" si="2"/>
        <v>102.41568432435091</v>
      </c>
      <c r="Y45" s="59">
        <f t="shared" si="3"/>
        <v>109.45494316056532</v>
      </c>
    </row>
    <row r="46" spans="1:25" x14ac:dyDescent="0.25">
      <c r="L46" s="52" t="s">
        <v>54</v>
      </c>
      <c r="M46" s="50"/>
      <c r="P46" s="56">
        <v>45292</v>
      </c>
      <c r="Q46" s="6">
        <v>75.69</v>
      </c>
      <c r="R46" s="6">
        <v>4958.6099999999997</v>
      </c>
      <c r="S46" s="6">
        <v>15628.95</v>
      </c>
      <c r="T46" s="6">
        <v>38109.43</v>
      </c>
      <c r="U46" s="56">
        <v>45292</v>
      </c>
      <c r="V46" s="59">
        <f t="shared" si="0"/>
        <v>65.447470817120617</v>
      </c>
      <c r="W46" s="59">
        <f t="shared" si="1"/>
        <v>113.92974813548574</v>
      </c>
      <c r="X46" s="59">
        <f t="shared" si="2"/>
        <v>106.76000882554051</v>
      </c>
      <c r="Y46" s="59">
        <f t="shared" si="3"/>
        <v>110.67435406565171</v>
      </c>
    </row>
    <row r="47" spans="1:25" x14ac:dyDescent="0.25">
      <c r="L47" s="49" t="s">
        <v>41</v>
      </c>
      <c r="M47" s="50">
        <f>B40</f>
        <v>76.148688104703908</v>
      </c>
      <c r="P47" s="56">
        <v>45323</v>
      </c>
      <c r="Q47" s="6">
        <v>77.92</v>
      </c>
      <c r="R47" s="6">
        <v>5137.08</v>
      </c>
      <c r="S47" s="6">
        <v>16274.94</v>
      </c>
      <c r="T47" s="6">
        <v>39087.379999999997</v>
      </c>
      <c r="U47" s="56">
        <v>45323</v>
      </c>
      <c r="V47" s="59">
        <f t="shared" ref="V47:V75" si="14">(Q47/$Q$15)*100</f>
        <v>67.375702550799815</v>
      </c>
      <c r="W47" s="59">
        <f t="shared" si="1"/>
        <v>118.03030094156246</v>
      </c>
      <c r="X47" s="59">
        <f t="shared" si="2"/>
        <v>111.17271077296571</v>
      </c>
      <c r="Y47" s="59">
        <f t="shared" si="3"/>
        <v>113.51443812249811</v>
      </c>
    </row>
    <row r="48" spans="1:25" x14ac:dyDescent="0.25">
      <c r="L48" s="49" t="s">
        <v>31</v>
      </c>
      <c r="M48" s="50">
        <f>G40</f>
        <v>88.836077240594008</v>
      </c>
      <c r="P48" s="56">
        <v>45352</v>
      </c>
      <c r="Q48" s="6">
        <v>81.66</v>
      </c>
      <c r="R48" s="6">
        <v>5234.18</v>
      </c>
      <c r="S48" s="6">
        <v>16428.82</v>
      </c>
      <c r="T48" s="6">
        <v>39807.370000000003</v>
      </c>
      <c r="U48" s="56">
        <v>45352</v>
      </c>
      <c r="V48" s="59">
        <f t="shared" si="14"/>
        <v>70.609597924773013</v>
      </c>
      <c r="W48" s="59">
        <f t="shared" si="1"/>
        <v>120.26128473418898</v>
      </c>
      <c r="X48" s="59">
        <f t="shared" si="2"/>
        <v>112.22385177463723</v>
      </c>
      <c r="Y48" s="59">
        <f t="shared" si="3"/>
        <v>115.60537540977134</v>
      </c>
    </row>
    <row r="49" spans="12:25" x14ac:dyDescent="0.25">
      <c r="L49" s="49" t="s">
        <v>99</v>
      </c>
      <c r="M49" s="50">
        <f>-(G40-B40)</f>
        <v>-12.687389135890101</v>
      </c>
      <c r="P49" s="56">
        <v>45383</v>
      </c>
      <c r="Q49" s="6">
        <v>74.47</v>
      </c>
      <c r="R49" s="6">
        <v>4967.2299999999996</v>
      </c>
      <c r="S49" s="6">
        <v>15282.01</v>
      </c>
      <c r="T49" s="6">
        <v>37986.400000000001</v>
      </c>
      <c r="U49" s="56">
        <v>45383</v>
      </c>
      <c r="V49" s="59">
        <f t="shared" si="14"/>
        <v>64.392563769995675</v>
      </c>
      <c r="W49" s="59">
        <f t="shared" si="1"/>
        <v>114.12780251542847</v>
      </c>
      <c r="X49" s="59">
        <f t="shared" si="2"/>
        <v>104.39009162304561</v>
      </c>
      <c r="Y49" s="59">
        <f t="shared" si="3"/>
        <v>110.31706019427403</v>
      </c>
    </row>
    <row r="50" spans="12:25" x14ac:dyDescent="0.25">
      <c r="L50" s="53" t="s">
        <v>100</v>
      </c>
      <c r="M50" s="55">
        <f>((B40-G40)/(G40))</f>
        <v>-0.14281798037444798</v>
      </c>
      <c r="P50" s="56">
        <v>45413</v>
      </c>
      <c r="Q50" s="6">
        <v>71.5</v>
      </c>
      <c r="R50" s="6">
        <v>5277.51</v>
      </c>
      <c r="S50" s="6">
        <v>16735.02</v>
      </c>
      <c r="T50" s="6">
        <v>38686.32</v>
      </c>
      <c r="U50" s="56">
        <v>45413</v>
      </c>
      <c r="V50" s="59">
        <f t="shared" si="14"/>
        <v>61.824470384781669</v>
      </c>
      <c r="W50" s="59">
        <f t="shared" si="1"/>
        <v>121.25684114752065</v>
      </c>
      <c r="X50" s="59">
        <f t="shared" si="2"/>
        <v>114.31547755259292</v>
      </c>
      <c r="Y50" s="59">
        <f t="shared" si="3"/>
        <v>112.34971179514106</v>
      </c>
    </row>
    <row r="51" spans="12:25" x14ac:dyDescent="0.25">
      <c r="P51" s="56">
        <v>45444</v>
      </c>
      <c r="Q51" s="6">
        <v>84.29</v>
      </c>
      <c r="R51" s="6">
        <v>5464.62</v>
      </c>
      <c r="S51" s="6">
        <v>17689.36</v>
      </c>
      <c r="T51" s="6">
        <v>39150.33</v>
      </c>
      <c r="U51" s="56">
        <v>45444</v>
      </c>
      <c r="V51" s="59">
        <f t="shared" si="14"/>
        <v>72.883700821444009</v>
      </c>
      <c r="W51" s="59">
        <f t="shared" si="1"/>
        <v>125.55590785646342</v>
      </c>
      <c r="X51" s="59">
        <f t="shared" si="2"/>
        <v>120.83449174244996</v>
      </c>
      <c r="Y51" s="59">
        <f t="shared" si="3"/>
        <v>113.69725247024441</v>
      </c>
    </row>
    <row r="52" spans="12:25" x14ac:dyDescent="0.25">
      <c r="P52" s="56">
        <v>45474</v>
      </c>
      <c r="Q52" s="6">
        <v>82.36</v>
      </c>
      <c r="R52" s="6">
        <v>5459.1</v>
      </c>
      <c r="S52" s="6">
        <v>17357.88</v>
      </c>
      <c r="T52" s="6">
        <v>40287.53</v>
      </c>
      <c r="U52" s="56">
        <v>45474</v>
      </c>
      <c r="V52" s="59">
        <f t="shared" si="14"/>
        <v>71.214872460008635</v>
      </c>
      <c r="W52" s="59">
        <f t="shared" si="1"/>
        <v>125.42907952963233</v>
      </c>
      <c r="X52" s="59">
        <f t="shared" si="2"/>
        <v>118.5701804659093</v>
      </c>
      <c r="Y52" s="59">
        <f t="shared" si="3"/>
        <v>116.99981762127025</v>
      </c>
    </row>
    <row r="53" spans="12:25" x14ac:dyDescent="0.25">
      <c r="P53" s="56">
        <v>45505</v>
      </c>
      <c r="Q53" s="6">
        <v>88.15</v>
      </c>
      <c r="R53" s="6">
        <v>5648.4</v>
      </c>
      <c r="S53" s="6">
        <v>17877.79</v>
      </c>
      <c r="T53" s="6">
        <v>41175.08</v>
      </c>
      <c r="U53" s="56">
        <v>45505</v>
      </c>
      <c r="V53" s="59">
        <f t="shared" si="14"/>
        <v>76.221357544314742</v>
      </c>
      <c r="W53" s="59">
        <f t="shared" si="1"/>
        <v>129.77846399867656</v>
      </c>
      <c r="X53" s="59">
        <f t="shared" si="2"/>
        <v>122.12164081279677</v>
      </c>
      <c r="Y53" s="59">
        <f t="shared" si="3"/>
        <v>119.57736923909737</v>
      </c>
    </row>
    <row r="54" spans="12:25" x14ac:dyDescent="0.25">
      <c r="P54" s="56">
        <v>45536</v>
      </c>
      <c r="Q54" s="6">
        <v>97.3</v>
      </c>
      <c r="R54" s="6">
        <v>5751.07</v>
      </c>
      <c r="S54" s="6">
        <v>18137.849999999999</v>
      </c>
      <c r="T54" s="6">
        <v>42313</v>
      </c>
      <c r="U54" s="56">
        <v>45536</v>
      </c>
      <c r="V54" s="59">
        <f t="shared" si="14"/>
        <v>84.133160397751823</v>
      </c>
      <c r="W54" s="59">
        <f t="shared" si="1"/>
        <v>132.13742492544242</v>
      </c>
      <c r="X54" s="59">
        <f t="shared" si="2"/>
        <v>123.89808823218003</v>
      </c>
      <c r="Y54" s="59">
        <f t="shared" si="3"/>
        <v>122.88202535645169</v>
      </c>
    </row>
    <row r="55" spans="12:25" x14ac:dyDescent="0.25">
      <c r="P55" s="56">
        <v>45566</v>
      </c>
      <c r="Q55" s="6">
        <v>92.68</v>
      </c>
      <c r="R55" s="6">
        <v>5728.8</v>
      </c>
      <c r="S55" s="6">
        <v>18518.61</v>
      </c>
      <c r="T55" s="6">
        <v>42052.19</v>
      </c>
      <c r="U55" s="56">
        <v>45566</v>
      </c>
      <c r="V55" s="59">
        <f t="shared" si="14"/>
        <v>80.138348465196714</v>
      </c>
      <c r="W55" s="59">
        <f t="shared" si="1"/>
        <v>131.62574615034671</v>
      </c>
      <c r="X55" s="59">
        <f t="shared" si="2"/>
        <v>126.49902693634203</v>
      </c>
      <c r="Y55" s="59">
        <f t="shared" si="3"/>
        <v>122.12460184516164</v>
      </c>
    </row>
    <row r="56" spans="12:25" x14ac:dyDescent="0.25">
      <c r="P56" s="56">
        <v>45597</v>
      </c>
      <c r="Q56" s="6">
        <v>89.54</v>
      </c>
      <c r="R56" s="6">
        <v>5969.34</v>
      </c>
      <c r="S56" s="6">
        <v>19003.650000000001</v>
      </c>
      <c r="T56" s="6">
        <v>44296.51</v>
      </c>
      <c r="U56" s="56">
        <v>45597</v>
      </c>
      <c r="V56" s="59">
        <f t="shared" si="14"/>
        <v>77.423259835711207</v>
      </c>
      <c r="W56" s="59">
        <f t="shared" si="1"/>
        <v>137.15242834888818</v>
      </c>
      <c r="X56" s="59">
        <f t="shared" si="2"/>
        <v>129.81229332216708</v>
      </c>
      <c r="Y56" s="59">
        <f t="shared" si="3"/>
        <v>128.64237622060162</v>
      </c>
    </row>
    <row r="57" spans="12:25" x14ac:dyDescent="0.25">
      <c r="P57" s="56">
        <v>45627</v>
      </c>
      <c r="Q57" s="6">
        <v>88.03</v>
      </c>
      <c r="R57" s="6">
        <v>5942.47</v>
      </c>
      <c r="S57" s="6">
        <v>19722.03</v>
      </c>
      <c r="T57" s="6">
        <v>42840.26</v>
      </c>
      <c r="U57" s="56">
        <v>45627</v>
      </c>
      <c r="V57" s="59">
        <f t="shared" si="14"/>
        <v>76.117596195417207</v>
      </c>
      <c r="W57" s="59">
        <f t="shared" si="1"/>
        <v>136.53505930143325</v>
      </c>
      <c r="X57" s="59">
        <f t="shared" si="2"/>
        <v>134.71948511304822</v>
      </c>
      <c r="Y57" s="59">
        <f t="shared" si="3"/>
        <v>124.41325161527151</v>
      </c>
    </row>
    <row r="58" spans="12:25" x14ac:dyDescent="0.25">
      <c r="P58" s="56">
        <v>45658</v>
      </c>
      <c r="Q58" s="6">
        <v>85.86</v>
      </c>
      <c r="R58" s="6">
        <v>6040.53</v>
      </c>
      <c r="S58" s="6">
        <v>19627.439999999999</v>
      </c>
      <c r="T58" s="6">
        <v>44424.25</v>
      </c>
      <c r="U58" s="56">
        <v>45658</v>
      </c>
      <c r="V58" s="59">
        <f t="shared" si="14"/>
        <v>74.241245136186762</v>
      </c>
      <c r="W58" s="59">
        <f t="shared" si="1"/>
        <v>138.78810019437819</v>
      </c>
      <c r="X58" s="59">
        <f t="shared" si="2"/>
        <v>134.07334898523359</v>
      </c>
      <c r="Y58" s="59">
        <f t="shared" si="3"/>
        <v>129.01334849671139</v>
      </c>
    </row>
    <row r="59" spans="12:25" x14ac:dyDescent="0.25">
      <c r="P59" s="56">
        <v>45689</v>
      </c>
      <c r="Q59" s="6">
        <v>89.91</v>
      </c>
      <c r="R59" s="6">
        <v>5954.5</v>
      </c>
      <c r="S59" s="6">
        <v>19524.009999999998</v>
      </c>
      <c r="T59" s="6">
        <v>43840.91</v>
      </c>
      <c r="U59" s="56">
        <v>45689</v>
      </c>
      <c r="V59" s="59">
        <f t="shared" si="14"/>
        <v>77.743190661478593</v>
      </c>
      <c r="W59" s="59">
        <f t="shared" si="1"/>
        <v>136.81146233979882</v>
      </c>
      <c r="X59" s="59">
        <f t="shared" si="2"/>
        <v>133.36682758022397</v>
      </c>
      <c r="Y59" s="59">
        <f t="shared" si="3"/>
        <v>127.31925919386281</v>
      </c>
    </row>
    <row r="60" spans="12:25" x14ac:dyDescent="0.25">
      <c r="P60" s="56">
        <v>45717</v>
      </c>
      <c r="Q60" s="6">
        <v>73.56</v>
      </c>
      <c r="R60" s="6">
        <v>5074.08</v>
      </c>
      <c r="S60" s="6">
        <v>15587.79</v>
      </c>
      <c r="T60" s="6">
        <v>38314.86</v>
      </c>
      <c r="U60" s="56">
        <v>45717</v>
      </c>
      <c r="V60" s="59">
        <f t="shared" si="14"/>
        <v>63.605706874189359</v>
      </c>
      <c r="W60" s="59">
        <f t="shared" si="1"/>
        <v>116.58280373316423</v>
      </c>
      <c r="X60" s="59">
        <f t="shared" si="2"/>
        <v>106.47884841724316</v>
      </c>
      <c r="Y60" s="59">
        <f t="shared" si="3"/>
        <v>111.27094741684344</v>
      </c>
    </row>
    <row r="61" spans="12:25" x14ac:dyDescent="0.25">
      <c r="P61" s="56">
        <v>45748</v>
      </c>
      <c r="Q61" s="6">
        <v>67.709999999999994</v>
      </c>
      <c r="R61" s="6">
        <v>5282.7</v>
      </c>
      <c r="S61" s="6">
        <v>16286.45</v>
      </c>
      <c r="T61" s="6">
        <v>39142.230000000003</v>
      </c>
      <c r="U61" s="56">
        <v>45748</v>
      </c>
      <c r="V61" s="59">
        <f t="shared" si="14"/>
        <v>58.547341115434492</v>
      </c>
      <c r="W61" s="59">
        <f t="shared" si="1"/>
        <v>121.37608734611725</v>
      </c>
      <c r="X61" s="59">
        <f t="shared" si="2"/>
        <v>111.25133458976606</v>
      </c>
      <c r="Y61" s="59">
        <f t="shared" si="3"/>
        <v>113.6737290990491</v>
      </c>
    </row>
    <row r="62" spans="12:25" x14ac:dyDescent="0.25">
      <c r="P62" s="56">
        <v>45778</v>
      </c>
      <c r="Q62" s="6">
        <v>69.92</v>
      </c>
      <c r="R62" s="6">
        <v>5802.82</v>
      </c>
      <c r="S62" s="6">
        <v>19113.77</v>
      </c>
      <c r="T62" s="6">
        <v>41603.07</v>
      </c>
      <c r="U62" s="56">
        <v>45778</v>
      </c>
      <c r="V62" s="59">
        <f t="shared" si="14"/>
        <v>60.458279290964114</v>
      </c>
      <c r="W62" s="59">
        <f t="shared" si="1"/>
        <v>133.32644048948382</v>
      </c>
      <c r="X62" s="59">
        <f t="shared" si="2"/>
        <v>130.56451353989561</v>
      </c>
      <c r="Y62" s="59">
        <f t="shared" si="3"/>
        <v>120.82030351537907</v>
      </c>
    </row>
    <row r="63" spans="12:25" x14ac:dyDescent="0.25">
      <c r="P63" s="56">
        <v>45809</v>
      </c>
      <c r="Q63" s="6">
        <v>68.22</v>
      </c>
      <c r="R63" s="6">
        <v>6279.35</v>
      </c>
      <c r="S63" s="6">
        <v>19447.41</v>
      </c>
      <c r="T63" s="6">
        <v>42206.82</v>
      </c>
      <c r="U63" s="56">
        <v>45809</v>
      </c>
      <c r="V63" s="59">
        <f t="shared" si="14"/>
        <v>58.988326848249031</v>
      </c>
      <c r="W63" s="59">
        <f t="shared" si="1"/>
        <v>144.27526342151577</v>
      </c>
      <c r="X63" s="59">
        <f t="shared" si="2"/>
        <v>132.84357959004956</v>
      </c>
      <c r="Y63" s="59">
        <f t="shared" si="3"/>
        <v>122.57366590540005</v>
      </c>
    </row>
    <row r="64" spans="12:25" x14ac:dyDescent="0.25">
      <c r="P64" s="56">
        <v>45839</v>
      </c>
      <c r="Q64" s="6">
        <v>64.12</v>
      </c>
      <c r="R64" s="6">
        <v>6238.01</v>
      </c>
      <c r="S64" s="6">
        <v>20650.13</v>
      </c>
      <c r="T64" s="6">
        <v>44901.919999999998</v>
      </c>
      <c r="U64" s="56">
        <v>45839</v>
      </c>
      <c r="V64" s="59">
        <f t="shared" si="14"/>
        <v>55.443147427583227</v>
      </c>
      <c r="W64" s="59">
        <f t="shared" si="1"/>
        <v>143.32542953905255</v>
      </c>
      <c r="X64" s="59">
        <f t="shared" si="2"/>
        <v>141.05925612715885</v>
      </c>
      <c r="Y64" s="59">
        <f t="shared" si="3"/>
        <v>130.40055944965766</v>
      </c>
    </row>
    <row r="65" spans="16:25" x14ac:dyDescent="0.25">
      <c r="P65" s="56">
        <v>45870</v>
      </c>
      <c r="Q65" s="6">
        <v>73.64</v>
      </c>
      <c r="R65" s="6">
        <v>6460.26</v>
      </c>
      <c r="S65" s="6">
        <v>21496.54</v>
      </c>
      <c r="T65" s="6">
        <v>45544.88</v>
      </c>
      <c r="U65" s="56">
        <v>45870</v>
      </c>
      <c r="V65" s="59">
        <f t="shared" si="14"/>
        <v>63.674881106787716</v>
      </c>
      <c r="W65" s="59">
        <f t="shared" si="1"/>
        <v>148.43187802423523</v>
      </c>
      <c r="X65" s="59">
        <f t="shared" si="2"/>
        <v>146.84100980031192</v>
      </c>
      <c r="Y65" s="59">
        <f t="shared" si="3"/>
        <v>132.26779238098337</v>
      </c>
    </row>
    <row r="66" spans="16:25" x14ac:dyDescent="0.25">
      <c r="P66" s="56">
        <v>45901</v>
      </c>
      <c r="Q66" s="6">
        <v>72.23</v>
      </c>
      <c r="R66" s="6">
        <v>6715.79</v>
      </c>
      <c r="S66" s="6">
        <v>22780.51</v>
      </c>
      <c r="T66" s="6">
        <v>46758.28</v>
      </c>
      <c r="U66" s="56">
        <v>45901</v>
      </c>
      <c r="V66" s="59">
        <f t="shared" si="14"/>
        <v>62.455685257241676</v>
      </c>
      <c r="W66" s="59">
        <f t="shared" si="1"/>
        <v>154.30297265379082</v>
      </c>
      <c r="X66" s="59">
        <f t="shared" si="2"/>
        <v>155.61169807634639</v>
      </c>
      <c r="Y66" s="59">
        <f t="shared" si="3"/>
        <v>135.7916514684392</v>
      </c>
    </row>
    <row r="67" spans="16:25" x14ac:dyDescent="0.25">
      <c r="P67" s="56">
        <v>45931</v>
      </c>
      <c r="Q67" s="6">
        <v>83.26</v>
      </c>
      <c r="R67" s="6">
        <v>6840.2</v>
      </c>
      <c r="S67" s="6">
        <v>23204.87</v>
      </c>
      <c r="T67" s="6">
        <v>47207.12</v>
      </c>
      <c r="U67" s="56">
        <v>45931</v>
      </c>
      <c r="V67" s="59">
        <f t="shared" si="14"/>
        <v>71.993082576740164</v>
      </c>
      <c r="W67" s="59">
        <f t="shared" si="1"/>
        <v>157.16143499818486</v>
      </c>
      <c r="X67" s="59">
        <f t="shared" si="2"/>
        <v>158.5104646182578</v>
      </c>
      <c r="Y67" s="59">
        <f t="shared" si="3"/>
        <v>137.09513664464959</v>
      </c>
    </row>
    <row r="68" spans="16:25" x14ac:dyDescent="0.25">
      <c r="P68" s="56">
        <v>45962</v>
      </c>
      <c r="Q68" s="6">
        <v>79.28</v>
      </c>
      <c r="R68" s="6">
        <v>6849.09</v>
      </c>
      <c r="S68" s="6">
        <v>23365.69</v>
      </c>
      <c r="T68" s="6">
        <v>46245.41</v>
      </c>
      <c r="U68" s="56">
        <v>45962</v>
      </c>
      <c r="V68" s="59">
        <f t="shared" si="14"/>
        <v>68.551664504971896</v>
      </c>
      <c r="W68" s="59">
        <f t="shared" si="1"/>
        <v>157.3656929375922</v>
      </c>
      <c r="X68" s="59">
        <f t="shared" si="2"/>
        <v>159.60901216107567</v>
      </c>
      <c r="Y68" s="59">
        <f t="shared" si="3"/>
        <v>134.30221549498984</v>
      </c>
    </row>
    <row r="69" spans="16:25" x14ac:dyDescent="0.25">
      <c r="P69" s="56">
        <v>45992</v>
      </c>
      <c r="Q69" s="6">
        <v>69.180000000000007</v>
      </c>
      <c r="R69" s="6">
        <v>6929.94</v>
      </c>
      <c r="S69" s="6">
        <v>23593.1</v>
      </c>
      <c r="T69" s="6">
        <v>48134.89</v>
      </c>
      <c r="U69" s="56">
        <v>45992</v>
      </c>
      <c r="V69" s="59">
        <f t="shared" si="14"/>
        <v>59.818417639429313</v>
      </c>
      <c r="W69" s="59">
        <f t="shared" si="1"/>
        <v>159.22331435503659</v>
      </c>
      <c r="X69" s="59">
        <f t="shared" si="2"/>
        <v>161.16243024783236</v>
      </c>
      <c r="Y69" s="59">
        <f t="shared" si="3"/>
        <v>139.78949196488105</v>
      </c>
    </row>
    <row r="70" spans="16:25" x14ac:dyDescent="0.25">
      <c r="P70" s="56">
        <v>46023</v>
      </c>
      <c r="Q70" s="6">
        <v>67.05</v>
      </c>
      <c r="R70" s="6">
        <v>6939.03</v>
      </c>
      <c r="S70" s="6">
        <v>23461.82</v>
      </c>
      <c r="T70" s="6">
        <v>49098.71</v>
      </c>
      <c r="U70" s="56">
        <v>46023</v>
      </c>
      <c r="V70" s="59">
        <f t="shared" si="14"/>
        <v>57.976653696498047</v>
      </c>
      <c r="W70" s="59">
        <f t="shared" si="1"/>
        <v>159.4321675236769</v>
      </c>
      <c r="X70" s="59">
        <f t="shared" si="2"/>
        <v>160.26566789600344</v>
      </c>
      <c r="Y70" s="59">
        <f t="shared" si="3"/>
        <v>142.58854080753122</v>
      </c>
    </row>
    <row r="71" spans="16:25" x14ac:dyDescent="0.25">
      <c r="P71" s="56">
        <v>46054</v>
      </c>
      <c r="Q71" s="6">
        <v>61.97</v>
      </c>
      <c r="R71" s="6">
        <v>6909.51</v>
      </c>
      <c r="S71" s="6">
        <v>22668.21</v>
      </c>
      <c r="T71" s="6">
        <v>48977.919999999998</v>
      </c>
      <c r="U71" s="56">
        <v>46054</v>
      </c>
      <c r="V71" s="59">
        <f t="shared" si="14"/>
        <v>53.584089926502379</v>
      </c>
      <c r="W71" s="59">
        <f t="shared" si="1"/>
        <v>158.75391168888459</v>
      </c>
      <c r="X71" s="59">
        <f t="shared" si="2"/>
        <v>154.84458646673036</v>
      </c>
      <c r="Y71" s="59">
        <f t="shared" si="3"/>
        <v>142.23775216473098</v>
      </c>
    </row>
    <row r="72" spans="16:25" x14ac:dyDescent="0.25">
      <c r="P72" s="56">
        <v>46082</v>
      </c>
      <c r="Q72" s="6">
        <v>62.98</v>
      </c>
      <c r="R72" s="6">
        <v>6368.85</v>
      </c>
      <c r="S72" s="6">
        <v>20948.36</v>
      </c>
      <c r="T72" s="6">
        <v>45577.47</v>
      </c>
      <c r="U72" s="56">
        <v>46082</v>
      </c>
      <c r="V72" s="59">
        <f t="shared" si="14"/>
        <v>54.457414613056635</v>
      </c>
      <c r="W72" s="59">
        <f t="shared" si="1"/>
        <v>146.3316285032879</v>
      </c>
      <c r="X72" s="59">
        <f t="shared" si="2"/>
        <v>143.09643952284702</v>
      </c>
      <c r="Y72" s="59">
        <f t="shared" si="3"/>
        <v>132.36243764854575</v>
      </c>
    </row>
    <row r="73" spans="16:25" x14ac:dyDescent="0.25">
      <c r="P73" s="56">
        <v>46113</v>
      </c>
      <c r="Q73" s="6">
        <v>60.05</v>
      </c>
      <c r="R73" s="6">
        <v>7123.06</v>
      </c>
      <c r="S73" s="6">
        <v>24468.48</v>
      </c>
      <c r="T73" s="6">
        <v>49447.43</v>
      </c>
      <c r="U73" s="56">
        <v>46113</v>
      </c>
      <c r="V73" s="59">
        <f t="shared" si="14"/>
        <v>51.9239083441418</v>
      </c>
      <c r="W73" s="59">
        <f t="shared" si="1"/>
        <v>163.66046770243133</v>
      </c>
      <c r="X73" s="59">
        <f t="shared" si="2"/>
        <v>167.14207549115977</v>
      </c>
      <c r="Y73" s="59">
        <f t="shared" si="3"/>
        <v>143.60126549928793</v>
      </c>
    </row>
    <row r="74" spans="16:25" x14ac:dyDescent="0.25">
      <c r="P74" s="56">
        <v>46143</v>
      </c>
      <c r="Q74" s="6">
        <v>77.95</v>
      </c>
      <c r="R74" s="6">
        <v>7473.47</v>
      </c>
      <c r="S74" s="6">
        <v>26343.97</v>
      </c>
      <c r="T74" s="6">
        <v>50579.7</v>
      </c>
      <c r="U74" s="56">
        <v>46143</v>
      </c>
      <c r="V74" s="59">
        <f t="shared" si="14"/>
        <v>67.401642888024199</v>
      </c>
      <c r="W74" s="59">
        <f t="shared" si="1"/>
        <v>171.71153908012701</v>
      </c>
      <c r="X74" s="59">
        <f t="shared" si="2"/>
        <v>179.95338584484401</v>
      </c>
      <c r="Y74" s="59">
        <f t="shared" si="3"/>
        <v>146.88951333920352</v>
      </c>
    </row>
    <row r="75" spans="16:25" x14ac:dyDescent="0.25">
      <c r="P75" s="56">
        <v>46174</v>
      </c>
      <c r="Q75" s="60">
        <v>75.150000000000006</v>
      </c>
      <c r="R75" s="6">
        <v>7425.29</v>
      </c>
      <c r="S75" s="6">
        <v>25883.49</v>
      </c>
      <c r="T75" s="6">
        <v>51200.15</v>
      </c>
      <c r="U75" s="56">
        <v>46174</v>
      </c>
      <c r="V75" s="59">
        <f t="shared" si="14"/>
        <v>64.980544747081709</v>
      </c>
      <c r="W75" s="59">
        <f t="shared" si="1"/>
        <v>170.60454835789483</v>
      </c>
      <c r="X75" s="59">
        <f t="shared" si="2"/>
        <v>176.80788669973288</v>
      </c>
      <c r="Y75" s="59">
        <f t="shared" si="3"/>
        <v>148.69137453156549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47BF-7BCC-47B5-A736-A8E8D9AFBCFB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0.25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v>9.4799999999999995E-2</v>
      </c>
      <c r="C7" s="41"/>
      <c r="P7">
        <v>2026</v>
      </c>
      <c r="Q7" s="26">
        <f>D28</f>
        <v>78283750</v>
      </c>
      <c r="R7" s="26"/>
      <c r="S7" t="s">
        <v>41</v>
      </c>
      <c r="T7" s="16">
        <f>B40</f>
        <v>18.492191847845433</v>
      </c>
    </row>
    <row r="8" spans="1:26" x14ac:dyDescent="0.25">
      <c r="A8" s="40" t="s">
        <v>4</v>
      </c>
      <c r="B8" s="32">
        <v>0.01</v>
      </c>
      <c r="C8" s="41"/>
      <c r="P8">
        <v>2027</v>
      </c>
      <c r="Q8" s="26">
        <f>E28</f>
        <v>79066587.5</v>
      </c>
      <c r="R8" s="26"/>
      <c r="S8" t="s">
        <v>73</v>
      </c>
      <c r="T8" s="16">
        <v>55.51</v>
      </c>
    </row>
    <row r="9" spans="1:26" x14ac:dyDescent="0.25">
      <c r="A9" s="40" t="s">
        <v>5</v>
      </c>
      <c r="B9" s="33" t="s">
        <v>89</v>
      </c>
      <c r="C9" s="41"/>
      <c r="P9">
        <v>2028</v>
      </c>
      <c r="Q9" s="26">
        <f>F28</f>
        <v>79857253.375</v>
      </c>
      <c r="R9" s="26"/>
      <c r="S9" t="s">
        <v>8</v>
      </c>
      <c r="T9" s="16">
        <f>B12</f>
        <v>74</v>
      </c>
    </row>
    <row r="10" spans="1:26" x14ac:dyDescent="0.25">
      <c r="A10" s="40" t="s">
        <v>6</v>
      </c>
      <c r="B10" s="34">
        <v>46196</v>
      </c>
      <c r="C10" s="41"/>
      <c r="P10">
        <v>2029</v>
      </c>
      <c r="Q10" s="26">
        <f>G28</f>
        <v>80655825.908750057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81462384.167837143</v>
      </c>
      <c r="R11" s="26"/>
    </row>
    <row r="12" spans="1:26" x14ac:dyDescent="0.25">
      <c r="A12" s="40" t="s">
        <v>8</v>
      </c>
      <c r="B12" s="35">
        <v>74</v>
      </c>
      <c r="C12" s="41" t="s">
        <v>78</v>
      </c>
      <c r="P12">
        <v>2031</v>
      </c>
      <c r="Q12" s="26">
        <f>I28</f>
        <v>83091631.851194382</v>
      </c>
      <c r="R12" s="26"/>
    </row>
    <row r="13" spans="1:26" x14ac:dyDescent="0.25">
      <c r="A13" s="40" t="s">
        <v>9</v>
      </c>
      <c r="B13" s="36">
        <v>210770000</v>
      </c>
      <c r="C13" s="41"/>
    </row>
    <row r="14" spans="1:26" x14ac:dyDescent="0.25">
      <c r="A14" s="40" t="s">
        <v>10</v>
      </c>
      <c r="B14" s="35">
        <v>4050000000</v>
      </c>
      <c r="C14" s="41"/>
      <c r="P14" s="6" t="s">
        <v>16</v>
      </c>
      <c r="Q14" s="6" t="s">
        <v>85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86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923000000</v>
      </c>
      <c r="C15" s="41"/>
      <c r="P15" s="56">
        <v>44348</v>
      </c>
      <c r="Q15" s="57">
        <v>115.65</v>
      </c>
      <c r="R15" s="6">
        <v>4352.34</v>
      </c>
      <c r="S15" s="6">
        <v>14639.33</v>
      </c>
      <c r="T15" s="6">
        <v>34433.839999999997</v>
      </c>
      <c r="U15" s="56">
        <v>44348</v>
      </c>
      <c r="V15" s="58">
        <f t="shared" ref="V15:V75" si="0">(Q15/$Q$15)*100</f>
        <v>100</v>
      </c>
      <c r="W15" s="58">
        <f>(R15/$R$15)*100</f>
        <v>100</v>
      </c>
      <c r="X15" s="58">
        <f>(S15/$S$15)*100</f>
        <v>100</v>
      </c>
      <c r="Y15" s="58">
        <f>(T15/$T$15)*100</f>
        <v>100</v>
      </c>
      <c r="Z15" t="s">
        <v>69</v>
      </c>
    </row>
    <row r="16" spans="1:26" x14ac:dyDescent="0.25">
      <c r="A16" s="40" t="s">
        <v>12</v>
      </c>
      <c r="B16" s="35" t="s">
        <v>97</v>
      </c>
      <c r="C16" s="41"/>
      <c r="P16" s="56">
        <v>44378</v>
      </c>
      <c r="Q16" s="6">
        <v>113.28</v>
      </c>
      <c r="R16" s="6">
        <v>4395.26</v>
      </c>
      <c r="S16" s="6">
        <v>14672.68</v>
      </c>
      <c r="T16" s="6">
        <v>35061.550000000003</v>
      </c>
      <c r="U16" s="56">
        <v>44378</v>
      </c>
      <c r="V16" s="59">
        <f t="shared" si="0"/>
        <v>97.950713359273664</v>
      </c>
      <c r="W16" s="59">
        <f>(R16/$R$15)*100</f>
        <v>100.98613619340402</v>
      </c>
      <c r="X16" s="59">
        <f>(S16/$S$15)*100</f>
        <v>100.22781097222347</v>
      </c>
      <c r="Y16" s="59">
        <f>(T16/$T$15)*100</f>
        <v>101.82294510284071</v>
      </c>
      <c r="Z16" t="s">
        <v>74</v>
      </c>
    </row>
    <row r="17" spans="1:25" x14ac:dyDescent="0.25">
      <c r="A17" s="42" t="s">
        <v>87</v>
      </c>
      <c r="B17" s="43"/>
      <c r="C17" s="44"/>
      <c r="P17" s="56">
        <v>44409</v>
      </c>
      <c r="Q17" s="6">
        <v>117.5</v>
      </c>
      <c r="R17" s="6">
        <v>4509.37</v>
      </c>
      <c r="S17" s="6">
        <v>14714.66</v>
      </c>
      <c r="T17" s="6">
        <v>35120.080000000002</v>
      </c>
      <c r="U17" s="56">
        <v>44409</v>
      </c>
      <c r="V17" s="59">
        <f t="shared" si="0"/>
        <v>101.599654128837</v>
      </c>
      <c r="W17" s="59">
        <f>(R17/$R$15)*100</f>
        <v>103.60794423229802</v>
      </c>
      <c r="X17" s="59">
        <f>(S17/$S$15)*100</f>
        <v>100.5145727297629</v>
      </c>
      <c r="Y17" s="59">
        <f>(T17/$T$15)*100</f>
        <v>101.9929232406261</v>
      </c>
    </row>
    <row r="18" spans="1:25" x14ac:dyDescent="0.25">
      <c r="P18" s="56">
        <v>44440</v>
      </c>
      <c r="Q18" s="6">
        <v>104.74</v>
      </c>
      <c r="R18" s="6">
        <v>4455.4799999999996</v>
      </c>
      <c r="S18" s="6">
        <v>15047.7</v>
      </c>
      <c r="T18" s="6">
        <v>34326.46</v>
      </c>
      <c r="U18" s="56">
        <v>44440</v>
      </c>
      <c r="V18" s="59">
        <f t="shared" si="0"/>
        <v>90.56636402939904</v>
      </c>
      <c r="W18" s="59">
        <f t="shared" ref="W18:W75" si="1">(R18/$R$15)*100</f>
        <v>102.36975971546339</v>
      </c>
      <c r="X18" s="59">
        <f t="shared" ref="X18:X75" si="2">(S18/$S$15)*100</f>
        <v>102.78954023169094</v>
      </c>
      <c r="Y18" s="59">
        <f t="shared" ref="Y18:Y75" si="3">(T18/$T$15)*100</f>
        <v>99.688155605067578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6">
        <v>44470</v>
      </c>
      <c r="Q19" s="6">
        <v>118.39</v>
      </c>
      <c r="R19" s="6">
        <v>4544.8999999999996</v>
      </c>
      <c r="S19" s="6">
        <v>15498.39</v>
      </c>
      <c r="T19" s="6">
        <v>35677.019999999997</v>
      </c>
      <c r="U19" s="56">
        <v>44470</v>
      </c>
      <c r="V19" s="59">
        <f t="shared" si="0"/>
        <v>102.36921746649372</v>
      </c>
      <c r="W19" s="59">
        <f t="shared" si="1"/>
        <v>104.42428670554229</v>
      </c>
      <c r="X19" s="59">
        <f t="shared" si="2"/>
        <v>105.86816473158265</v>
      </c>
      <c r="Y19" s="59">
        <f t="shared" si="3"/>
        <v>103.61034377809737</v>
      </c>
    </row>
    <row r="20" spans="1:25" x14ac:dyDescent="0.25">
      <c r="A20" t="s">
        <v>16</v>
      </c>
      <c r="C20" s="7">
        <v>46196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989652690.6804992</v>
      </c>
      <c r="P20" s="56">
        <v>44501</v>
      </c>
      <c r="Q20" s="6">
        <v>114.77</v>
      </c>
      <c r="R20" s="6">
        <v>4594.62</v>
      </c>
      <c r="S20" s="6">
        <v>15085.47</v>
      </c>
      <c r="T20" s="6">
        <v>34889.339999999997</v>
      </c>
      <c r="U20" s="56">
        <v>44501</v>
      </c>
      <c r="V20" s="59">
        <f t="shared" si="0"/>
        <v>99.23908344141806</v>
      </c>
      <c r="W20" s="59">
        <f t="shared" si="1"/>
        <v>105.56666069286867</v>
      </c>
      <c r="X20" s="59">
        <f t="shared" si="2"/>
        <v>103.04754384251191</v>
      </c>
      <c r="Y20" s="59">
        <f t="shared" si="3"/>
        <v>101.32282661474873</v>
      </c>
    </row>
    <row r="21" spans="1:25" x14ac:dyDescent="0.25">
      <c r="A21" t="s">
        <v>18</v>
      </c>
      <c r="B21" t="s">
        <v>83</v>
      </c>
      <c r="D21" s="5">
        <v>62627000000</v>
      </c>
      <c r="E21" s="5">
        <f>D21*1.01</f>
        <v>63253270000</v>
      </c>
      <c r="F21" s="5">
        <f>E21*1.01</f>
        <v>63885802700</v>
      </c>
      <c r="G21" s="5">
        <f>F21*1.01</f>
        <v>64524660727</v>
      </c>
      <c r="H21" s="5">
        <f>G21*1.01</f>
        <v>65169907334.270004</v>
      </c>
      <c r="I21" s="5">
        <f>H21*1.02</f>
        <v>66473305480.955406</v>
      </c>
      <c r="L21" t="s">
        <v>19</v>
      </c>
      <c r="M21" s="13">
        <f>(I22+I25)*5.5</f>
        <v>20108174907.98901</v>
      </c>
      <c r="P21" s="56">
        <v>44531</v>
      </c>
      <c r="Q21" s="6">
        <v>98.08</v>
      </c>
      <c r="R21" s="6">
        <v>4766.18</v>
      </c>
      <c r="S21" s="6">
        <v>15653.37</v>
      </c>
      <c r="T21" s="6">
        <v>35950.559999999998</v>
      </c>
      <c r="U21" s="56">
        <v>44531</v>
      </c>
      <c r="V21" s="59">
        <f t="shared" si="0"/>
        <v>84.807609165585816</v>
      </c>
      <c r="W21" s="59">
        <f t="shared" si="1"/>
        <v>109.50844832894488</v>
      </c>
      <c r="X21" s="59">
        <f t="shared" si="2"/>
        <v>106.92681973833503</v>
      </c>
      <c r="Y21" s="59">
        <f t="shared" si="3"/>
        <v>104.40473673572276</v>
      </c>
    </row>
    <row r="22" spans="1:25" x14ac:dyDescent="0.25">
      <c r="A22" t="s">
        <v>77</v>
      </c>
      <c r="B22" t="s">
        <v>90</v>
      </c>
      <c r="C22" s="46">
        <v>3.5000000000000003E-2</v>
      </c>
      <c r="D22" s="5">
        <f>D21*$C$22</f>
        <v>2191945000</v>
      </c>
      <c r="E22" s="5">
        <f t="shared" ref="E22:I22" si="4">E21*$C$22</f>
        <v>2213864450</v>
      </c>
      <c r="F22" s="5">
        <f t="shared" si="4"/>
        <v>2236003094.5</v>
      </c>
      <c r="G22" s="5">
        <f t="shared" si="4"/>
        <v>2258363125.4450002</v>
      </c>
      <c r="H22" s="5">
        <f t="shared" si="4"/>
        <v>2280946756.6994505</v>
      </c>
      <c r="I22" s="5">
        <f t="shared" si="4"/>
        <v>2326565691.8334394</v>
      </c>
      <c r="L22" t="s">
        <v>20</v>
      </c>
      <c r="M22" s="13">
        <f>(M20+M21)/2</f>
        <v>10548913799.334755</v>
      </c>
      <c r="P22" s="56">
        <v>44562</v>
      </c>
      <c r="Q22" s="6">
        <v>97.64</v>
      </c>
      <c r="R22" s="6">
        <v>4500.53</v>
      </c>
      <c r="S22" s="6">
        <v>13770.57</v>
      </c>
      <c r="T22" s="6">
        <v>34725.47</v>
      </c>
      <c r="U22" s="56">
        <v>44562</v>
      </c>
      <c r="V22" s="59">
        <f t="shared" si="0"/>
        <v>84.427150886294854</v>
      </c>
      <c r="W22" s="59">
        <f t="shared" si="1"/>
        <v>103.40483510019895</v>
      </c>
      <c r="X22" s="59">
        <f t="shared" si="2"/>
        <v>94.065575405431801</v>
      </c>
      <c r="Y22" s="59">
        <f t="shared" si="3"/>
        <v>100.84692848662829</v>
      </c>
    </row>
    <row r="23" spans="1:25" x14ac:dyDescent="0.25">
      <c r="A23" t="s">
        <v>21</v>
      </c>
      <c r="B23" t="s">
        <v>22</v>
      </c>
      <c r="C23" s="25"/>
      <c r="D23" s="5">
        <f>D22*$B$6</f>
        <v>547986250</v>
      </c>
      <c r="E23" s="30">
        <f t="shared" ref="E23:I23" si="5">E22*$B$6</f>
        <v>553466112.5</v>
      </c>
      <c r="F23" s="5">
        <f t="shared" si="5"/>
        <v>559000773.625</v>
      </c>
      <c r="G23" s="30">
        <f t="shared" si="5"/>
        <v>564590781.36125004</v>
      </c>
      <c r="H23" s="30">
        <f t="shared" si="5"/>
        <v>570236689.17486262</v>
      </c>
      <c r="I23" s="5">
        <f t="shared" si="5"/>
        <v>581641422.95835984</v>
      </c>
      <c r="P23" s="56">
        <v>44593</v>
      </c>
      <c r="Q23" s="6">
        <v>95.83</v>
      </c>
      <c r="R23" s="6">
        <v>4384.6499999999996</v>
      </c>
      <c r="S23" s="6">
        <v>13313.44</v>
      </c>
      <c r="T23" s="6">
        <v>34058.75</v>
      </c>
      <c r="U23" s="56">
        <v>44593</v>
      </c>
      <c r="V23" s="59">
        <f t="shared" si="0"/>
        <v>82.862083873757015</v>
      </c>
      <c r="W23" s="59">
        <f t="shared" si="1"/>
        <v>100.74235928259282</v>
      </c>
      <c r="X23" s="59">
        <f t="shared" si="2"/>
        <v>90.942959821248664</v>
      </c>
      <c r="Y23" s="59">
        <f t="shared" si="3"/>
        <v>98.910693666463004</v>
      </c>
    </row>
    <row r="24" spans="1:25" x14ac:dyDescent="0.25">
      <c r="A24" t="s">
        <v>23</v>
      </c>
      <c r="B24" t="s">
        <v>24</v>
      </c>
      <c r="C24" s="25"/>
      <c r="D24" s="5">
        <f>D22*(1-$B$6)</f>
        <v>1643958750</v>
      </c>
      <c r="E24" s="5">
        <f t="shared" ref="E24:I24" si="6">E22*(1-$B$6)</f>
        <v>1660398337.5</v>
      </c>
      <c r="F24" s="5">
        <f t="shared" si="6"/>
        <v>1677002320.875</v>
      </c>
      <c r="G24" s="5">
        <f t="shared" si="6"/>
        <v>1693772344.0837502</v>
      </c>
      <c r="H24" s="5">
        <f t="shared" si="6"/>
        <v>1710710067.5245879</v>
      </c>
      <c r="I24" s="5">
        <f t="shared" si="6"/>
        <v>1744924268.8750796</v>
      </c>
      <c r="P24" s="56">
        <v>44621</v>
      </c>
      <c r="Q24" s="6">
        <v>90.38</v>
      </c>
      <c r="R24" s="6">
        <v>4543.0600000000004</v>
      </c>
      <c r="S24" s="6">
        <v>14169.3</v>
      </c>
      <c r="T24" s="6">
        <v>34861.24</v>
      </c>
      <c r="U24" s="56">
        <v>44621</v>
      </c>
      <c r="V24" s="59">
        <f t="shared" si="0"/>
        <v>78.14958927799394</v>
      </c>
      <c r="W24" s="59">
        <f t="shared" si="1"/>
        <v>104.38201059659862</v>
      </c>
      <c r="X24" s="59">
        <f t="shared" si="2"/>
        <v>96.789265628959782</v>
      </c>
      <c r="Y24" s="59">
        <f t="shared" si="3"/>
        <v>101.24122084554033</v>
      </c>
    </row>
    <row r="25" spans="1:25" x14ac:dyDescent="0.25">
      <c r="A25" s="4" t="s">
        <v>25</v>
      </c>
      <c r="B25" s="8" t="s">
        <v>81</v>
      </c>
      <c r="C25" s="25">
        <v>0.02</v>
      </c>
      <c r="D25" s="12">
        <f>D21*$C$25</f>
        <v>1252540000</v>
      </c>
      <c r="E25" s="12">
        <f t="shared" ref="E25:I25" si="7">E21*$C$25</f>
        <v>1265065400</v>
      </c>
      <c r="F25" s="12">
        <f t="shared" si="7"/>
        <v>1277716054</v>
      </c>
      <c r="G25" s="12">
        <f t="shared" si="7"/>
        <v>1290493214.54</v>
      </c>
      <c r="H25" s="12">
        <f t="shared" si="7"/>
        <v>1303398146.6854</v>
      </c>
      <c r="I25" s="12">
        <f t="shared" si="7"/>
        <v>1329466109.6191082</v>
      </c>
      <c r="P25" s="56">
        <v>44652</v>
      </c>
      <c r="Q25" s="6">
        <v>89.93</v>
      </c>
      <c r="R25" s="6">
        <v>4271.78</v>
      </c>
      <c r="S25" s="6">
        <v>12839.29</v>
      </c>
      <c r="T25" s="6">
        <v>33811.4</v>
      </c>
      <c r="U25" s="56">
        <v>44652</v>
      </c>
      <c r="V25" s="59">
        <f t="shared" si="0"/>
        <v>77.760484219628196</v>
      </c>
      <c r="W25" s="59">
        <f t="shared" si="1"/>
        <v>98.149041664943454</v>
      </c>
      <c r="X25" s="59">
        <f t="shared" si="2"/>
        <v>87.704082085723883</v>
      </c>
      <c r="Y25" s="59">
        <f t="shared" si="3"/>
        <v>98.192359609035776</v>
      </c>
    </row>
    <row r="26" spans="1:25" x14ac:dyDescent="0.25">
      <c r="A26" t="s">
        <v>26</v>
      </c>
      <c r="B26" t="s">
        <v>96</v>
      </c>
      <c r="C26" s="46">
        <v>3.5000000000000003E-2</v>
      </c>
      <c r="D26" s="10">
        <f>D21*$C$26</f>
        <v>2191945000</v>
      </c>
      <c r="E26" s="10">
        <f t="shared" ref="E26:I26" si="8">E21*$C$26</f>
        <v>2213864450</v>
      </c>
      <c r="F26" s="10">
        <f t="shared" si="8"/>
        <v>2236003094.5</v>
      </c>
      <c r="G26" s="10">
        <f t="shared" si="8"/>
        <v>2258363125.4450002</v>
      </c>
      <c r="H26" s="10">
        <f t="shared" si="8"/>
        <v>2280946756.6994505</v>
      </c>
      <c r="I26" s="10">
        <f t="shared" si="8"/>
        <v>2326565691.8334394</v>
      </c>
      <c r="P26" s="56">
        <v>44682</v>
      </c>
      <c r="Q26" s="6">
        <v>80.39</v>
      </c>
      <c r="R26" s="6">
        <v>4158.24</v>
      </c>
      <c r="S26" s="6">
        <v>11354.62</v>
      </c>
      <c r="T26" s="6">
        <v>33212.959999999999</v>
      </c>
      <c r="U26" s="56">
        <v>44682</v>
      </c>
      <c r="V26" s="59">
        <f t="shared" si="0"/>
        <v>69.511456982274098</v>
      </c>
      <c r="W26" s="59">
        <f t="shared" si="1"/>
        <v>95.540330029363503</v>
      </c>
      <c r="X26" s="59">
        <f t="shared" si="2"/>
        <v>77.562429428122741</v>
      </c>
      <c r="Y26" s="59">
        <f t="shared" si="3"/>
        <v>96.454418095687274</v>
      </c>
    </row>
    <row r="27" spans="1:25" x14ac:dyDescent="0.25">
      <c r="A27" t="s">
        <v>27</v>
      </c>
      <c r="B27" t="s">
        <v>82</v>
      </c>
      <c r="C27" s="25">
        <v>0.01</v>
      </c>
      <c r="D27" s="10">
        <f>D21*$C$27</f>
        <v>626270000</v>
      </c>
      <c r="E27" s="10">
        <f t="shared" ref="E27:I27" si="9">E21*$C$27</f>
        <v>632532700</v>
      </c>
      <c r="F27" s="10">
        <f t="shared" si="9"/>
        <v>638858027</v>
      </c>
      <c r="G27" s="10">
        <f t="shared" si="9"/>
        <v>645246607.26999998</v>
      </c>
      <c r="H27" s="10">
        <f t="shared" si="9"/>
        <v>651699073.3427</v>
      </c>
      <c r="I27" s="10">
        <f t="shared" si="9"/>
        <v>664733054.8095541</v>
      </c>
      <c r="P27" s="56">
        <v>44713</v>
      </c>
      <c r="Q27" s="59">
        <v>74.69</v>
      </c>
      <c r="R27" s="6">
        <v>3911.74</v>
      </c>
      <c r="S27" s="6">
        <v>11127.85</v>
      </c>
      <c r="T27" s="6">
        <v>31097.26</v>
      </c>
      <c r="U27" s="56">
        <v>44713</v>
      </c>
      <c r="V27" s="59">
        <f t="shared" si="0"/>
        <v>64.582792909641157</v>
      </c>
      <c r="W27" s="59">
        <f t="shared" si="1"/>
        <v>89.876709999678326</v>
      </c>
      <c r="X27" s="59">
        <f t="shared" si="2"/>
        <v>76.01338312614034</v>
      </c>
      <c r="Y27" s="59">
        <f t="shared" si="3"/>
        <v>90.310171621869657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78283750</v>
      </c>
      <c r="E28" s="12">
        <f t="shared" ref="E28:I28" si="10">E24+E25-E26-E27</f>
        <v>79066587.5</v>
      </c>
      <c r="F28" s="12">
        <f t="shared" si="10"/>
        <v>79857253.375</v>
      </c>
      <c r="G28" s="12">
        <f t="shared" si="10"/>
        <v>80655825.908750057</v>
      </c>
      <c r="H28" s="12">
        <f t="shared" si="10"/>
        <v>81462384.167837143</v>
      </c>
      <c r="I28" s="12">
        <f t="shared" si="10"/>
        <v>83091631.851194382</v>
      </c>
      <c r="P28" s="56">
        <v>44743</v>
      </c>
      <c r="Q28" s="6">
        <v>76.989999999999995</v>
      </c>
      <c r="R28" s="6">
        <v>4130.29</v>
      </c>
      <c r="S28" s="6">
        <v>12390.69</v>
      </c>
      <c r="T28" s="6">
        <v>32845.129999999997</v>
      </c>
      <c r="U28" s="56">
        <v>44743</v>
      </c>
      <c r="V28" s="59">
        <f t="shared" si="0"/>
        <v>66.571552096843917</v>
      </c>
      <c r="W28" s="59">
        <f t="shared" si="1"/>
        <v>94.898146744050322</v>
      </c>
      <c r="X28" s="59">
        <f t="shared" si="2"/>
        <v>84.63973419548573</v>
      </c>
      <c r="Y28" s="59">
        <f t="shared" si="3"/>
        <v>95.386195672629015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6">
        <v>44774</v>
      </c>
      <c r="Q29" s="6">
        <v>74.150000000000006</v>
      </c>
      <c r="R29" s="6">
        <v>3924.26</v>
      </c>
      <c r="S29" s="6">
        <v>12141.71</v>
      </c>
      <c r="T29" s="6">
        <v>31318.44</v>
      </c>
      <c r="U29" s="56">
        <v>44774</v>
      </c>
      <c r="V29" s="59">
        <f t="shared" si="0"/>
        <v>64.115866839602248</v>
      </c>
      <c r="W29" s="59">
        <f t="shared" si="1"/>
        <v>90.164371349664791</v>
      </c>
      <c r="X29" s="59">
        <f t="shared" si="2"/>
        <v>82.938973300007575</v>
      </c>
      <c r="Y29" s="59">
        <f t="shared" si="3"/>
        <v>90.95250486149672</v>
      </c>
    </row>
    <row r="30" spans="1:25" x14ac:dyDescent="0.25">
      <c r="A30" t="s">
        <v>36</v>
      </c>
      <c r="C30" s="13">
        <f>-G39</f>
        <v>-18723980000</v>
      </c>
      <c r="D30" s="5">
        <f>D28</f>
        <v>78283750</v>
      </c>
      <c r="E30" s="5">
        <f t="shared" ref="E30:I30" si="11">E28</f>
        <v>79066587.5</v>
      </c>
      <c r="F30" s="5">
        <f t="shared" si="11"/>
        <v>79857253.375</v>
      </c>
      <c r="G30" s="5">
        <f t="shared" si="11"/>
        <v>80655825.908750057</v>
      </c>
      <c r="H30" s="5">
        <f t="shared" si="11"/>
        <v>81462384.167837143</v>
      </c>
      <c r="I30" s="5">
        <f t="shared" si="11"/>
        <v>83091631.851194382</v>
      </c>
      <c r="J30" s="13">
        <f>I28+M22</f>
        <v>10632005431.185949</v>
      </c>
      <c r="K30" t="s">
        <v>38</v>
      </c>
      <c r="P30" s="56">
        <v>44805</v>
      </c>
      <c r="Q30" s="6">
        <v>63.34</v>
      </c>
      <c r="R30" s="6">
        <v>3585.62</v>
      </c>
      <c r="S30" s="6">
        <v>10867.93</v>
      </c>
      <c r="T30" s="6">
        <v>30822.42</v>
      </c>
      <c r="U30" s="56">
        <v>44805</v>
      </c>
      <c r="V30" s="59">
        <f t="shared" si="0"/>
        <v>54.768698659749248</v>
      </c>
      <c r="W30" s="59">
        <f t="shared" si="1"/>
        <v>82.383729212331744</v>
      </c>
      <c r="X30" s="59">
        <f t="shared" si="2"/>
        <v>74.237892034676463</v>
      </c>
      <c r="Y30" s="59">
        <f t="shared" si="3"/>
        <v>89.512003308373394</v>
      </c>
    </row>
    <row r="31" spans="1:25" x14ac:dyDescent="0.25">
      <c r="A31" t="s">
        <v>37</v>
      </c>
      <c r="D31" s="6">
        <f>1/(1+$B$7)^D29</f>
        <v>0.9557242498741928</v>
      </c>
      <c r="E31" s="6">
        <f t="shared" ref="E31:I31" si="12">1/(1+$B$7)^E29</f>
        <v>0.8729669801554556</v>
      </c>
      <c r="F31" s="6">
        <f t="shared" si="12"/>
        <v>0.79737575827133333</v>
      </c>
      <c r="G31" s="6">
        <f t="shared" si="12"/>
        <v>0.72833006784009247</v>
      </c>
      <c r="H31" s="6">
        <f t="shared" si="12"/>
        <v>0.66526312371217811</v>
      </c>
      <c r="I31" s="6">
        <f t="shared" si="12"/>
        <v>0.63580809987878362</v>
      </c>
      <c r="J31" t="s">
        <v>39</v>
      </c>
      <c r="P31" s="56">
        <v>44835</v>
      </c>
      <c r="Q31" s="6">
        <v>68.2</v>
      </c>
      <c r="R31" s="6">
        <v>3901.06</v>
      </c>
      <c r="S31" s="6">
        <v>11102.45</v>
      </c>
      <c r="T31" s="6">
        <v>32861.800000000003</v>
      </c>
      <c r="U31" s="56">
        <v>44835</v>
      </c>
      <c r="V31" s="59">
        <f t="shared" si="0"/>
        <v>58.971033290099442</v>
      </c>
      <c r="W31" s="59">
        <f t="shared" si="1"/>
        <v>89.631324758635571</v>
      </c>
      <c r="X31" s="59">
        <f t="shared" si="2"/>
        <v>75.839877917910187</v>
      </c>
      <c r="Y31" s="59">
        <f t="shared" si="3"/>
        <v>95.434607351372975</v>
      </c>
    </row>
    <row r="32" spans="1:25" x14ac:dyDescent="0.25">
      <c r="A32" t="s">
        <v>40</v>
      </c>
      <c r="C32" s="13">
        <f>-G39</f>
        <v>-18723980000</v>
      </c>
      <c r="D32" s="5">
        <f>D30*D31</f>
        <v>74817678.246088848</v>
      </c>
      <c r="E32" s="5">
        <f t="shared" ref="E32:I32" si="13">E30*E31</f>
        <v>69022520.121072099</v>
      </c>
      <c r="F32" s="5">
        <f t="shared" si="13"/>
        <v>63676237.963356622</v>
      </c>
      <c r="G32" s="5">
        <f t="shared" si="13"/>
        <v>58744063.155818619</v>
      </c>
      <c r="H32" s="5">
        <f t="shared" si="13"/>
        <v>54193920.156536818</v>
      </c>
      <c r="I32" s="5">
        <f t="shared" si="13"/>
        <v>52830332.563135318</v>
      </c>
      <c r="J32" s="14">
        <f>M22</f>
        <v>10548913799.334755</v>
      </c>
      <c r="P32" s="56">
        <v>44866</v>
      </c>
      <c r="Q32" s="6">
        <v>86.6</v>
      </c>
      <c r="R32" s="6">
        <v>4026.12</v>
      </c>
      <c r="S32" s="6">
        <v>11226.36</v>
      </c>
      <c r="T32" s="6">
        <v>34429.879999999997</v>
      </c>
      <c r="U32" s="56">
        <v>44866</v>
      </c>
      <c r="V32" s="59">
        <f t="shared" si="0"/>
        <v>74.881106787721563</v>
      </c>
      <c r="W32" s="59">
        <f t="shared" si="1"/>
        <v>92.504721598036909</v>
      </c>
      <c r="X32" s="59">
        <f t="shared" si="2"/>
        <v>76.686296435697543</v>
      </c>
      <c r="Y32" s="59">
        <f t="shared" si="3"/>
        <v>99.988499685193403</v>
      </c>
    </row>
    <row r="33" spans="1:25" x14ac:dyDescent="0.25">
      <c r="A33" t="s">
        <v>56</v>
      </c>
      <c r="C33" s="29">
        <v>-18724</v>
      </c>
      <c r="D33" s="45">
        <v>75</v>
      </c>
      <c r="E33" s="24">
        <v>69</v>
      </c>
      <c r="F33" s="24">
        <v>64</v>
      </c>
      <c r="G33" s="24">
        <v>59</v>
      </c>
      <c r="H33" s="24">
        <v>54</v>
      </c>
      <c r="I33" s="24">
        <v>53</v>
      </c>
      <c r="J33" s="24">
        <v>10549</v>
      </c>
      <c r="P33" s="56">
        <v>44896</v>
      </c>
      <c r="Q33" s="6">
        <v>80.209999999999994</v>
      </c>
      <c r="R33" s="6">
        <v>3839.5</v>
      </c>
      <c r="S33" s="6">
        <v>10466.48</v>
      </c>
      <c r="T33" s="6">
        <v>33203.93</v>
      </c>
      <c r="U33" s="56">
        <v>44896</v>
      </c>
      <c r="V33" s="59">
        <f t="shared" si="0"/>
        <v>69.35581495892778</v>
      </c>
      <c r="W33" s="59">
        <f t="shared" si="1"/>
        <v>88.216913200715013</v>
      </c>
      <c r="X33" s="59">
        <f t="shared" si="2"/>
        <v>71.495621725857674</v>
      </c>
      <c r="Y33" s="59">
        <f t="shared" si="3"/>
        <v>96.428193892984353</v>
      </c>
    </row>
    <row r="34" spans="1:25" x14ac:dyDescent="0.25">
      <c r="P34" s="56">
        <v>44927</v>
      </c>
      <c r="Q34" s="6">
        <v>90.32</v>
      </c>
      <c r="R34" s="6">
        <v>4070.56</v>
      </c>
      <c r="S34" s="6">
        <v>11140.43</v>
      </c>
      <c r="T34" s="6">
        <v>33375.49</v>
      </c>
      <c r="U34" s="56">
        <v>44927</v>
      </c>
      <c r="V34" s="59">
        <f t="shared" si="0"/>
        <v>78.097708603545172</v>
      </c>
      <c r="W34" s="59">
        <f t="shared" si="1"/>
        <v>93.525781533611791</v>
      </c>
      <c r="X34" s="59">
        <f t="shared" si="2"/>
        <v>76.099316020610232</v>
      </c>
      <c r="Y34" s="59">
        <f t="shared" si="3"/>
        <v>96.926424703140867</v>
      </c>
    </row>
    <row r="35" spans="1:25" x14ac:dyDescent="0.25">
      <c r="A35" s="3" t="s">
        <v>41</v>
      </c>
      <c r="F35" s="3" t="s">
        <v>31</v>
      </c>
      <c r="P35" s="56">
        <v>44958</v>
      </c>
      <c r="Q35" s="6">
        <v>83.26</v>
      </c>
      <c r="R35" s="6">
        <v>4045.64</v>
      </c>
      <c r="S35" s="6">
        <v>11689.01</v>
      </c>
      <c r="T35" s="6">
        <v>32816.92</v>
      </c>
      <c r="U35" s="56">
        <v>44958</v>
      </c>
      <c r="V35" s="59">
        <f t="shared" si="0"/>
        <v>71.993082576740164</v>
      </c>
      <c r="W35" s="59">
        <f t="shared" si="1"/>
        <v>92.953215971178722</v>
      </c>
      <c r="X35" s="59">
        <f t="shared" si="2"/>
        <v>79.846618663559056</v>
      </c>
      <c r="Y35" s="59">
        <f t="shared" si="3"/>
        <v>95.304270450231527</v>
      </c>
    </row>
    <row r="36" spans="1:25" x14ac:dyDescent="0.25">
      <c r="A36" s="13" t="s">
        <v>42</v>
      </c>
      <c r="B36" s="17">
        <f>SUM(D32:I32)</f>
        <v>373284752.20600832</v>
      </c>
      <c r="C36" t="s">
        <v>45</v>
      </c>
      <c r="F36" t="s">
        <v>33</v>
      </c>
      <c r="G36" s="15">
        <f>B13*B12</f>
        <v>15596980000</v>
      </c>
      <c r="H36" t="s">
        <v>34</v>
      </c>
      <c r="L36" s="3" t="s">
        <v>51</v>
      </c>
      <c r="P36" s="56">
        <v>44986</v>
      </c>
      <c r="Q36" s="6">
        <v>78.27</v>
      </c>
      <c r="R36" s="6">
        <v>3970.99</v>
      </c>
      <c r="S36" s="6">
        <v>11823.96</v>
      </c>
      <c r="T36" s="6">
        <v>33274.15</v>
      </c>
      <c r="U36" s="56">
        <v>44986</v>
      </c>
      <c r="V36" s="59">
        <f t="shared" si="0"/>
        <v>67.678339818417626</v>
      </c>
      <c r="W36" s="59">
        <f t="shared" si="1"/>
        <v>91.238046659957632</v>
      </c>
      <c r="X36" s="59">
        <f t="shared" si="2"/>
        <v>80.768450468703136</v>
      </c>
      <c r="Y36" s="59">
        <f t="shared" si="3"/>
        <v>96.63212119240842</v>
      </c>
    </row>
    <row r="37" spans="1:25" x14ac:dyDescent="0.25">
      <c r="A37" t="s">
        <v>11</v>
      </c>
      <c r="B37" s="19">
        <f>B15</f>
        <v>923000000</v>
      </c>
      <c r="F37" t="s">
        <v>10</v>
      </c>
      <c r="G37" s="14">
        <f>B14</f>
        <v>4050000000</v>
      </c>
      <c r="L37" t="s">
        <v>52</v>
      </c>
      <c r="M37" s="21">
        <f>(B40/B12)-1</f>
        <v>-0.75010551556965632</v>
      </c>
      <c r="P37" s="56">
        <v>45017</v>
      </c>
      <c r="Q37" s="6">
        <v>74.52</v>
      </c>
      <c r="R37" s="6">
        <v>4133.5200000000004</v>
      </c>
      <c r="S37" s="6">
        <v>12072.46</v>
      </c>
      <c r="T37" s="6">
        <v>33808.959999999999</v>
      </c>
      <c r="U37" s="56">
        <v>45017</v>
      </c>
      <c r="V37" s="59">
        <f t="shared" si="0"/>
        <v>64.435797665369648</v>
      </c>
      <c r="W37" s="59">
        <f t="shared" si="1"/>
        <v>94.972359696163451</v>
      </c>
      <c r="X37" s="59">
        <f t="shared" si="2"/>
        <v>82.46593252560055</v>
      </c>
      <c r="Y37" s="59">
        <f t="shared" si="3"/>
        <v>98.185273556478165</v>
      </c>
    </row>
    <row r="38" spans="1:25" x14ac:dyDescent="0.25">
      <c r="A38" t="s">
        <v>10</v>
      </c>
      <c r="B38" s="19">
        <f>B14</f>
        <v>4050000000</v>
      </c>
      <c r="C38" s="3"/>
      <c r="F38" t="s">
        <v>11</v>
      </c>
      <c r="G38" s="14">
        <f>B15</f>
        <v>923000000</v>
      </c>
      <c r="L38" t="s">
        <v>53</v>
      </c>
      <c r="M38" s="23">
        <f>IRR(C33:J33)</f>
        <v>-7.5216623677039296E-2</v>
      </c>
      <c r="N38" t="s">
        <v>57</v>
      </c>
      <c r="P38" s="56">
        <v>45047</v>
      </c>
      <c r="Q38" s="6">
        <v>73.209999999999994</v>
      </c>
      <c r="R38" s="6">
        <v>4282.37</v>
      </c>
      <c r="S38" s="6">
        <v>13240.77</v>
      </c>
      <c r="T38" s="6">
        <v>33093.339999999997</v>
      </c>
      <c r="U38" s="56">
        <v>45047</v>
      </c>
      <c r="V38" s="59">
        <f t="shared" si="0"/>
        <v>63.30306960657154</v>
      </c>
      <c r="W38" s="59">
        <f t="shared" si="1"/>
        <v>98.392359052831353</v>
      </c>
      <c r="X38" s="59">
        <f t="shared" si="2"/>
        <v>90.446557321953946</v>
      </c>
      <c r="Y38" s="59">
        <f t="shared" si="3"/>
        <v>96.107027273170814</v>
      </c>
    </row>
    <row r="39" spans="1:25" x14ac:dyDescent="0.25">
      <c r="A39" t="s">
        <v>44</v>
      </c>
      <c r="B39" s="17">
        <f>(((B36+B37)-B38)+(M22))/2</f>
        <v>3897599275.7703819</v>
      </c>
      <c r="C39" t="s">
        <v>75</v>
      </c>
      <c r="F39" t="s">
        <v>30</v>
      </c>
      <c r="G39" s="13">
        <f>G36+G37-G38</f>
        <v>18723980000</v>
      </c>
      <c r="H39" t="s">
        <v>32</v>
      </c>
      <c r="P39" s="56">
        <v>45078</v>
      </c>
      <c r="Q39" s="6">
        <v>81.95</v>
      </c>
      <c r="R39" s="6">
        <v>4450.38</v>
      </c>
      <c r="S39" s="6">
        <v>13492.52</v>
      </c>
      <c r="T39" s="6">
        <v>33727.43</v>
      </c>
      <c r="U39" s="56">
        <v>45078</v>
      </c>
      <c r="V39" s="59">
        <f t="shared" si="0"/>
        <v>70.860354517942071</v>
      </c>
      <c r="W39" s="59">
        <f t="shared" si="1"/>
        <v>102.25258137002164</v>
      </c>
      <c r="X39" s="59">
        <f t="shared" si="2"/>
        <v>92.166239848408367</v>
      </c>
      <c r="Y39" s="59">
        <f t="shared" si="3"/>
        <v>97.9485006609777</v>
      </c>
    </row>
    <row r="40" spans="1:25" x14ac:dyDescent="0.25">
      <c r="A40" t="s">
        <v>72</v>
      </c>
      <c r="B40" s="20">
        <f>B39/B13</f>
        <v>18.492191847845433</v>
      </c>
      <c r="C40" t="s">
        <v>76</v>
      </c>
      <c r="F40" t="s">
        <v>48</v>
      </c>
      <c r="G40" s="16">
        <f>G39/B13</f>
        <v>88.836077240594008</v>
      </c>
      <c r="H40" t="s">
        <v>49</v>
      </c>
      <c r="L40" s="47" t="s">
        <v>95</v>
      </c>
      <c r="M40" s="48"/>
      <c r="P40" s="56">
        <v>45108</v>
      </c>
      <c r="Q40" s="6">
        <v>82.9</v>
      </c>
      <c r="R40" s="6">
        <v>4582.2299999999996</v>
      </c>
      <c r="S40" s="6">
        <v>14032.81</v>
      </c>
      <c r="T40" s="6">
        <v>35065.620000000003</v>
      </c>
      <c r="U40" s="56">
        <v>45108</v>
      </c>
      <c r="V40" s="59">
        <f t="shared" si="0"/>
        <v>71.681798530047558</v>
      </c>
      <c r="W40" s="59">
        <f t="shared" si="1"/>
        <v>105.28198624188367</v>
      </c>
      <c r="X40" s="59">
        <f t="shared" si="2"/>
        <v>95.856914216702535</v>
      </c>
      <c r="Y40" s="59">
        <f t="shared" si="3"/>
        <v>101.83476487083638</v>
      </c>
    </row>
    <row r="41" spans="1:25" x14ac:dyDescent="0.25">
      <c r="A41" t="s">
        <v>46</v>
      </c>
      <c r="B41" s="22">
        <f>(B40/B12)-1</f>
        <v>-0.75010551556965632</v>
      </c>
      <c r="C41" t="s">
        <v>47</v>
      </c>
      <c r="F41" t="s">
        <v>46</v>
      </c>
      <c r="G41" s="21">
        <f>(G40/B12)-1</f>
        <v>0.20048753027829735</v>
      </c>
      <c r="H41" t="s">
        <v>50</v>
      </c>
      <c r="L41" s="49" t="s">
        <v>41</v>
      </c>
      <c r="M41" s="50">
        <f>B40</f>
        <v>18.492191847845433</v>
      </c>
      <c r="P41" s="56">
        <v>45139</v>
      </c>
      <c r="Q41" s="6">
        <v>75.27</v>
      </c>
      <c r="R41" s="6">
        <v>4515.7700000000004</v>
      </c>
      <c r="S41" s="6">
        <v>13590.65</v>
      </c>
      <c r="T41" s="6">
        <v>34837.71</v>
      </c>
      <c r="U41" s="56">
        <v>45139</v>
      </c>
      <c r="V41" s="59">
        <f t="shared" si="0"/>
        <v>65.084306095979244</v>
      </c>
      <c r="W41" s="59">
        <f t="shared" si="1"/>
        <v>103.75499156775436</v>
      </c>
      <c r="X41" s="59">
        <f t="shared" si="2"/>
        <v>92.836557410755816</v>
      </c>
      <c r="Y41" s="59">
        <f t="shared" si="3"/>
        <v>101.1728869042779</v>
      </c>
    </row>
    <row r="42" spans="1:25" x14ac:dyDescent="0.25">
      <c r="L42" s="49" t="s">
        <v>8</v>
      </c>
      <c r="M42" s="50">
        <f>B12</f>
        <v>74</v>
      </c>
      <c r="P42" s="56">
        <v>45170</v>
      </c>
      <c r="Q42" s="6">
        <v>69.47</v>
      </c>
      <c r="R42" s="6">
        <v>4320.0600000000004</v>
      </c>
      <c r="S42" s="6">
        <v>13211.81</v>
      </c>
      <c r="T42" s="6">
        <v>33507.5</v>
      </c>
      <c r="U42" s="56">
        <v>45170</v>
      </c>
      <c r="V42" s="59">
        <f t="shared" si="0"/>
        <v>60.069174232598357</v>
      </c>
      <c r="W42" s="59">
        <f t="shared" si="1"/>
        <v>99.258330001792146</v>
      </c>
      <c r="X42" s="59">
        <f t="shared" si="2"/>
        <v>90.248734060916718</v>
      </c>
      <c r="Y42" s="59">
        <f t="shared" si="3"/>
        <v>97.309797571226454</v>
      </c>
    </row>
    <row r="43" spans="1:25" x14ac:dyDescent="0.25">
      <c r="L43" s="49" t="s">
        <v>99</v>
      </c>
      <c r="M43" s="50">
        <f>(B40-B12)</f>
        <v>-55.507808152154567</v>
      </c>
      <c r="P43" s="56">
        <v>45200</v>
      </c>
      <c r="Q43" s="6">
        <v>64.41</v>
      </c>
      <c r="R43" s="6">
        <v>4117.37</v>
      </c>
      <c r="S43" s="6">
        <v>12643.01</v>
      </c>
      <c r="T43" s="6">
        <v>34061.32</v>
      </c>
      <c r="U43" s="56">
        <v>45200</v>
      </c>
      <c r="V43" s="59">
        <f t="shared" si="0"/>
        <v>55.693904020752264</v>
      </c>
      <c r="W43" s="59">
        <f t="shared" si="1"/>
        <v>94.601294935597863</v>
      </c>
      <c r="X43" s="59">
        <f t="shared" si="2"/>
        <v>86.363310342754758</v>
      </c>
      <c r="Y43" s="59">
        <f t="shared" si="3"/>
        <v>98.918157254607692</v>
      </c>
    </row>
    <row r="44" spans="1:25" x14ac:dyDescent="0.25">
      <c r="L44" s="49" t="s">
        <v>100</v>
      </c>
      <c r="M44" s="54">
        <f>((B40-B12)/(B12))</f>
        <v>-0.75010551556965632</v>
      </c>
      <c r="P44" s="56">
        <v>45231</v>
      </c>
      <c r="Q44" s="6">
        <v>73.42</v>
      </c>
      <c r="R44" s="6">
        <v>4559.34</v>
      </c>
      <c r="S44" s="6">
        <v>14250.85</v>
      </c>
      <c r="T44" s="6">
        <v>36245.5</v>
      </c>
      <c r="U44" s="56">
        <v>45231</v>
      </c>
      <c r="V44" s="59">
        <f t="shared" si="0"/>
        <v>63.484651967142234</v>
      </c>
      <c r="W44" s="59">
        <f t="shared" si="1"/>
        <v>104.75606225616565</v>
      </c>
      <c r="X44" s="59">
        <f t="shared" si="2"/>
        <v>97.346326641997962</v>
      </c>
      <c r="Y44" s="59">
        <f t="shared" si="3"/>
        <v>105.26127785922222</v>
      </c>
    </row>
    <row r="45" spans="1:25" x14ac:dyDescent="0.25">
      <c r="L45" s="52"/>
      <c r="M45" s="51"/>
      <c r="P45" s="56">
        <v>45261</v>
      </c>
      <c r="Q45" s="6">
        <v>78.28</v>
      </c>
      <c r="R45" s="6">
        <v>4769.83</v>
      </c>
      <c r="S45" s="6">
        <v>14992.97</v>
      </c>
      <c r="T45" s="6">
        <v>37689.54</v>
      </c>
      <c r="U45" s="56">
        <v>45261</v>
      </c>
      <c r="V45" s="59">
        <f t="shared" si="0"/>
        <v>67.686986597492421</v>
      </c>
      <c r="W45" s="59">
        <f t="shared" si="1"/>
        <v>109.59231126244732</v>
      </c>
      <c r="X45" s="59">
        <f t="shared" si="2"/>
        <v>102.41568432435091</v>
      </c>
      <c r="Y45" s="59">
        <f t="shared" si="3"/>
        <v>109.45494316056532</v>
      </c>
    </row>
    <row r="46" spans="1:25" x14ac:dyDescent="0.25">
      <c r="L46" s="52" t="s">
        <v>54</v>
      </c>
      <c r="M46" s="50"/>
      <c r="P46" s="56">
        <v>45292</v>
      </c>
      <c r="Q46" s="6">
        <v>75.69</v>
      </c>
      <c r="R46" s="6">
        <v>4958.6099999999997</v>
      </c>
      <c r="S46" s="6">
        <v>15628.95</v>
      </c>
      <c r="T46" s="6">
        <v>38109.43</v>
      </c>
      <c r="U46" s="56">
        <v>45292</v>
      </c>
      <c r="V46" s="59">
        <f t="shared" si="0"/>
        <v>65.447470817120617</v>
      </c>
      <c r="W46" s="59">
        <f t="shared" si="1"/>
        <v>113.92974813548574</v>
      </c>
      <c r="X46" s="59">
        <f t="shared" si="2"/>
        <v>106.76000882554051</v>
      </c>
      <c r="Y46" s="59">
        <f t="shared" si="3"/>
        <v>110.67435406565171</v>
      </c>
    </row>
    <row r="47" spans="1:25" x14ac:dyDescent="0.25">
      <c r="L47" s="49" t="s">
        <v>41</v>
      </c>
      <c r="M47" s="50">
        <f>B40</f>
        <v>18.492191847845433</v>
      </c>
      <c r="P47" s="56">
        <v>45323</v>
      </c>
      <c r="Q47" s="6">
        <v>77.92</v>
      </c>
      <c r="R47" s="6">
        <v>5137.08</v>
      </c>
      <c r="S47" s="6">
        <v>16274.94</v>
      </c>
      <c r="T47" s="6">
        <v>39087.379999999997</v>
      </c>
      <c r="U47" s="56">
        <v>45323</v>
      </c>
      <c r="V47" s="59">
        <f t="shared" si="0"/>
        <v>67.375702550799815</v>
      </c>
      <c r="W47" s="59">
        <f t="shared" si="1"/>
        <v>118.03030094156246</v>
      </c>
      <c r="X47" s="59">
        <f t="shared" si="2"/>
        <v>111.17271077296571</v>
      </c>
      <c r="Y47" s="59">
        <f t="shared" si="3"/>
        <v>113.51443812249811</v>
      </c>
    </row>
    <row r="48" spans="1:25" x14ac:dyDescent="0.25">
      <c r="L48" s="49" t="s">
        <v>31</v>
      </c>
      <c r="M48" s="50">
        <f>G40</f>
        <v>88.836077240594008</v>
      </c>
      <c r="P48" s="56">
        <v>45352</v>
      </c>
      <c r="Q48" s="6">
        <v>81.66</v>
      </c>
      <c r="R48" s="6">
        <v>5234.18</v>
      </c>
      <c r="S48" s="6">
        <v>16428.82</v>
      </c>
      <c r="T48" s="6">
        <v>39807.370000000003</v>
      </c>
      <c r="U48" s="56">
        <v>45352</v>
      </c>
      <c r="V48" s="59">
        <f t="shared" si="0"/>
        <v>70.609597924773013</v>
      </c>
      <c r="W48" s="59">
        <f t="shared" si="1"/>
        <v>120.26128473418898</v>
      </c>
      <c r="X48" s="59">
        <f t="shared" si="2"/>
        <v>112.22385177463723</v>
      </c>
      <c r="Y48" s="59">
        <f t="shared" si="3"/>
        <v>115.60537540977134</v>
      </c>
    </row>
    <row r="49" spans="12:25" x14ac:dyDescent="0.25">
      <c r="L49" s="49" t="s">
        <v>99</v>
      </c>
      <c r="M49" s="50">
        <f>-(G40-B40)</f>
        <v>-70.343885392748575</v>
      </c>
      <c r="P49" s="56">
        <v>45383</v>
      </c>
      <c r="Q49" s="6">
        <v>74.47</v>
      </c>
      <c r="R49" s="6">
        <v>4967.2299999999996</v>
      </c>
      <c r="S49" s="6">
        <v>15282.01</v>
      </c>
      <c r="T49" s="6">
        <v>37986.400000000001</v>
      </c>
      <c r="U49" s="56">
        <v>45383</v>
      </c>
      <c r="V49" s="59">
        <f t="shared" si="0"/>
        <v>64.392563769995675</v>
      </c>
      <c r="W49" s="59">
        <f t="shared" si="1"/>
        <v>114.12780251542847</v>
      </c>
      <c r="X49" s="59">
        <f t="shared" si="2"/>
        <v>104.39009162304561</v>
      </c>
      <c r="Y49" s="59">
        <f t="shared" si="3"/>
        <v>110.31706019427403</v>
      </c>
    </row>
    <row r="50" spans="12:25" x14ac:dyDescent="0.25">
      <c r="L50" s="53" t="s">
        <v>100</v>
      </c>
      <c r="M50" s="55">
        <f>((B40-G40)/(G40))</f>
        <v>-0.79183916689879064</v>
      </c>
      <c r="P50" s="56">
        <v>45413</v>
      </c>
      <c r="Q50" s="6">
        <v>71.5</v>
      </c>
      <c r="R50" s="6">
        <v>5277.51</v>
      </c>
      <c r="S50" s="6">
        <v>16735.02</v>
      </c>
      <c r="T50" s="6">
        <v>38686.32</v>
      </c>
      <c r="U50" s="56">
        <v>45413</v>
      </c>
      <c r="V50" s="59">
        <f t="shared" si="0"/>
        <v>61.824470384781669</v>
      </c>
      <c r="W50" s="59">
        <f t="shared" si="1"/>
        <v>121.25684114752065</v>
      </c>
      <c r="X50" s="59">
        <f t="shared" si="2"/>
        <v>114.31547755259292</v>
      </c>
      <c r="Y50" s="59">
        <f t="shared" si="3"/>
        <v>112.34971179514106</v>
      </c>
    </row>
    <row r="51" spans="12:25" x14ac:dyDescent="0.25">
      <c r="P51" s="56">
        <v>45444</v>
      </c>
      <c r="Q51" s="6">
        <v>84.29</v>
      </c>
      <c r="R51" s="6">
        <v>5464.62</v>
      </c>
      <c r="S51" s="6">
        <v>17689.36</v>
      </c>
      <c r="T51" s="6">
        <v>39150.33</v>
      </c>
      <c r="U51" s="56">
        <v>45444</v>
      </c>
      <c r="V51" s="59">
        <f t="shared" si="0"/>
        <v>72.883700821444009</v>
      </c>
      <c r="W51" s="59">
        <f t="shared" si="1"/>
        <v>125.55590785646342</v>
      </c>
      <c r="X51" s="59">
        <f t="shared" si="2"/>
        <v>120.83449174244996</v>
      </c>
      <c r="Y51" s="59">
        <f t="shared" si="3"/>
        <v>113.69725247024441</v>
      </c>
    </row>
    <row r="52" spans="12:25" x14ac:dyDescent="0.25">
      <c r="P52" s="56">
        <v>45474</v>
      </c>
      <c r="Q52" s="6">
        <v>82.36</v>
      </c>
      <c r="R52" s="6">
        <v>5459.1</v>
      </c>
      <c r="S52" s="6">
        <v>17357.88</v>
      </c>
      <c r="T52" s="6">
        <v>40287.53</v>
      </c>
      <c r="U52" s="56">
        <v>45474</v>
      </c>
      <c r="V52" s="59">
        <f t="shared" si="0"/>
        <v>71.214872460008635</v>
      </c>
      <c r="W52" s="59">
        <f t="shared" si="1"/>
        <v>125.42907952963233</v>
      </c>
      <c r="X52" s="59">
        <f t="shared" si="2"/>
        <v>118.5701804659093</v>
      </c>
      <c r="Y52" s="59">
        <f t="shared" si="3"/>
        <v>116.99981762127025</v>
      </c>
    </row>
    <row r="53" spans="12:25" x14ac:dyDescent="0.25">
      <c r="P53" s="56">
        <v>45505</v>
      </c>
      <c r="Q53" s="6">
        <v>88.15</v>
      </c>
      <c r="R53" s="6">
        <v>5648.4</v>
      </c>
      <c r="S53" s="6">
        <v>17877.79</v>
      </c>
      <c r="T53" s="6">
        <v>41175.08</v>
      </c>
      <c r="U53" s="56">
        <v>45505</v>
      </c>
      <c r="V53" s="59">
        <f t="shared" si="0"/>
        <v>76.221357544314742</v>
      </c>
      <c r="W53" s="59">
        <f t="shared" si="1"/>
        <v>129.77846399867656</v>
      </c>
      <c r="X53" s="59">
        <f t="shared" si="2"/>
        <v>122.12164081279677</v>
      </c>
      <c r="Y53" s="59">
        <f t="shared" si="3"/>
        <v>119.57736923909737</v>
      </c>
    </row>
    <row r="54" spans="12:25" x14ac:dyDescent="0.25">
      <c r="P54" s="56">
        <v>45536</v>
      </c>
      <c r="Q54" s="6">
        <v>97.3</v>
      </c>
      <c r="R54" s="6">
        <v>5751.07</v>
      </c>
      <c r="S54" s="6">
        <v>18137.849999999999</v>
      </c>
      <c r="T54" s="6">
        <v>42313</v>
      </c>
      <c r="U54" s="56">
        <v>45536</v>
      </c>
      <c r="V54" s="59">
        <f t="shared" si="0"/>
        <v>84.133160397751823</v>
      </c>
      <c r="W54" s="59">
        <f t="shared" si="1"/>
        <v>132.13742492544242</v>
      </c>
      <c r="X54" s="59">
        <f t="shared" si="2"/>
        <v>123.89808823218003</v>
      </c>
      <c r="Y54" s="59">
        <f t="shared" si="3"/>
        <v>122.88202535645169</v>
      </c>
    </row>
    <row r="55" spans="12:25" x14ac:dyDescent="0.25">
      <c r="P55" s="56">
        <v>45566</v>
      </c>
      <c r="Q55" s="6">
        <v>92.68</v>
      </c>
      <c r="R55" s="6">
        <v>5728.8</v>
      </c>
      <c r="S55" s="6">
        <v>18518.61</v>
      </c>
      <c r="T55" s="6">
        <v>42052.19</v>
      </c>
      <c r="U55" s="56">
        <v>45566</v>
      </c>
      <c r="V55" s="59">
        <f t="shared" si="0"/>
        <v>80.138348465196714</v>
      </c>
      <c r="W55" s="59">
        <f t="shared" si="1"/>
        <v>131.62574615034671</v>
      </c>
      <c r="X55" s="59">
        <f t="shared" si="2"/>
        <v>126.49902693634203</v>
      </c>
      <c r="Y55" s="59">
        <f t="shared" si="3"/>
        <v>122.12460184516164</v>
      </c>
    </row>
    <row r="56" spans="12:25" x14ac:dyDescent="0.25">
      <c r="P56" s="56">
        <v>45597</v>
      </c>
      <c r="Q56" s="6">
        <v>89.54</v>
      </c>
      <c r="R56" s="6">
        <v>5969.34</v>
      </c>
      <c r="S56" s="6">
        <v>19003.650000000001</v>
      </c>
      <c r="T56" s="6">
        <v>44296.51</v>
      </c>
      <c r="U56" s="56">
        <v>45597</v>
      </c>
      <c r="V56" s="59">
        <f t="shared" si="0"/>
        <v>77.423259835711207</v>
      </c>
      <c r="W56" s="59">
        <f t="shared" si="1"/>
        <v>137.15242834888818</v>
      </c>
      <c r="X56" s="59">
        <f t="shared" si="2"/>
        <v>129.81229332216708</v>
      </c>
      <c r="Y56" s="59">
        <f t="shared" si="3"/>
        <v>128.64237622060162</v>
      </c>
    </row>
    <row r="57" spans="12:25" x14ac:dyDescent="0.25">
      <c r="P57" s="56">
        <v>45627</v>
      </c>
      <c r="Q57" s="6">
        <v>88.03</v>
      </c>
      <c r="R57" s="6">
        <v>5942.47</v>
      </c>
      <c r="S57" s="6">
        <v>19722.03</v>
      </c>
      <c r="T57" s="6">
        <v>42840.26</v>
      </c>
      <c r="U57" s="56">
        <v>45627</v>
      </c>
      <c r="V57" s="59">
        <f t="shared" si="0"/>
        <v>76.117596195417207</v>
      </c>
      <c r="W57" s="59">
        <f t="shared" si="1"/>
        <v>136.53505930143325</v>
      </c>
      <c r="X57" s="59">
        <f t="shared" si="2"/>
        <v>134.71948511304822</v>
      </c>
      <c r="Y57" s="59">
        <f t="shared" si="3"/>
        <v>124.41325161527151</v>
      </c>
    </row>
    <row r="58" spans="12:25" x14ac:dyDescent="0.25">
      <c r="P58" s="56">
        <v>45658</v>
      </c>
      <c r="Q58" s="6">
        <v>85.86</v>
      </c>
      <c r="R58" s="6">
        <v>6040.53</v>
      </c>
      <c r="S58" s="6">
        <v>19627.439999999999</v>
      </c>
      <c r="T58" s="6">
        <v>44424.25</v>
      </c>
      <c r="U58" s="56">
        <v>45658</v>
      </c>
      <c r="V58" s="59">
        <f t="shared" si="0"/>
        <v>74.241245136186762</v>
      </c>
      <c r="W58" s="59">
        <f t="shared" si="1"/>
        <v>138.78810019437819</v>
      </c>
      <c r="X58" s="59">
        <f t="shared" si="2"/>
        <v>134.07334898523359</v>
      </c>
      <c r="Y58" s="59">
        <f t="shared" si="3"/>
        <v>129.01334849671139</v>
      </c>
    </row>
    <row r="59" spans="12:25" x14ac:dyDescent="0.25">
      <c r="P59" s="56">
        <v>45689</v>
      </c>
      <c r="Q59" s="6">
        <v>89.91</v>
      </c>
      <c r="R59" s="6">
        <v>5954.5</v>
      </c>
      <c r="S59" s="6">
        <v>19524.009999999998</v>
      </c>
      <c r="T59" s="6">
        <v>43840.91</v>
      </c>
      <c r="U59" s="56">
        <v>45689</v>
      </c>
      <c r="V59" s="59">
        <f t="shared" si="0"/>
        <v>77.743190661478593</v>
      </c>
      <c r="W59" s="59">
        <f t="shared" si="1"/>
        <v>136.81146233979882</v>
      </c>
      <c r="X59" s="59">
        <f t="shared" si="2"/>
        <v>133.36682758022397</v>
      </c>
      <c r="Y59" s="59">
        <f t="shared" si="3"/>
        <v>127.31925919386281</v>
      </c>
    </row>
    <row r="60" spans="12:25" x14ac:dyDescent="0.25">
      <c r="P60" s="56">
        <v>45717</v>
      </c>
      <c r="Q60" s="6">
        <v>73.56</v>
      </c>
      <c r="R60" s="6">
        <v>5074.08</v>
      </c>
      <c r="S60" s="6">
        <v>15587.79</v>
      </c>
      <c r="T60" s="6">
        <v>38314.86</v>
      </c>
      <c r="U60" s="56">
        <v>45717</v>
      </c>
      <c r="V60" s="59">
        <f t="shared" si="0"/>
        <v>63.605706874189359</v>
      </c>
      <c r="W60" s="59">
        <f t="shared" si="1"/>
        <v>116.58280373316423</v>
      </c>
      <c r="X60" s="59">
        <f t="shared" si="2"/>
        <v>106.47884841724316</v>
      </c>
      <c r="Y60" s="59">
        <f t="shared" si="3"/>
        <v>111.27094741684344</v>
      </c>
    </row>
    <row r="61" spans="12:25" x14ac:dyDescent="0.25">
      <c r="P61" s="56">
        <v>45748</v>
      </c>
      <c r="Q61" s="6">
        <v>67.709999999999994</v>
      </c>
      <c r="R61" s="6">
        <v>5282.7</v>
      </c>
      <c r="S61" s="6">
        <v>16286.45</v>
      </c>
      <c r="T61" s="6">
        <v>39142.230000000003</v>
      </c>
      <c r="U61" s="56">
        <v>45748</v>
      </c>
      <c r="V61" s="59">
        <f t="shared" si="0"/>
        <v>58.547341115434492</v>
      </c>
      <c r="W61" s="59">
        <f t="shared" si="1"/>
        <v>121.37608734611725</v>
      </c>
      <c r="X61" s="59">
        <f t="shared" si="2"/>
        <v>111.25133458976606</v>
      </c>
      <c r="Y61" s="59">
        <f t="shared" si="3"/>
        <v>113.6737290990491</v>
      </c>
    </row>
    <row r="62" spans="12:25" x14ac:dyDescent="0.25">
      <c r="P62" s="56">
        <v>45778</v>
      </c>
      <c r="Q62" s="6">
        <v>69.92</v>
      </c>
      <c r="R62" s="6">
        <v>5802.82</v>
      </c>
      <c r="S62" s="6">
        <v>19113.77</v>
      </c>
      <c r="T62" s="6">
        <v>41603.07</v>
      </c>
      <c r="U62" s="56">
        <v>45778</v>
      </c>
      <c r="V62" s="59">
        <f t="shared" si="0"/>
        <v>60.458279290964114</v>
      </c>
      <c r="W62" s="59">
        <f t="shared" si="1"/>
        <v>133.32644048948382</v>
      </c>
      <c r="X62" s="59">
        <f t="shared" si="2"/>
        <v>130.56451353989561</v>
      </c>
      <c r="Y62" s="59">
        <f t="shared" si="3"/>
        <v>120.82030351537907</v>
      </c>
    </row>
    <row r="63" spans="12:25" x14ac:dyDescent="0.25">
      <c r="P63" s="56">
        <v>45809</v>
      </c>
      <c r="Q63" s="6">
        <v>68.22</v>
      </c>
      <c r="R63" s="6">
        <v>6279.35</v>
      </c>
      <c r="S63" s="6">
        <v>19447.41</v>
      </c>
      <c r="T63" s="6">
        <v>42206.82</v>
      </c>
      <c r="U63" s="56">
        <v>45809</v>
      </c>
      <c r="V63" s="59">
        <f t="shared" si="0"/>
        <v>58.988326848249031</v>
      </c>
      <c r="W63" s="59">
        <f t="shared" si="1"/>
        <v>144.27526342151577</v>
      </c>
      <c r="X63" s="59">
        <f t="shared" si="2"/>
        <v>132.84357959004956</v>
      </c>
      <c r="Y63" s="59">
        <f t="shared" si="3"/>
        <v>122.57366590540005</v>
      </c>
    </row>
    <row r="64" spans="12:25" x14ac:dyDescent="0.25">
      <c r="P64" s="56">
        <v>45839</v>
      </c>
      <c r="Q64" s="6">
        <v>64.12</v>
      </c>
      <c r="R64" s="6">
        <v>6238.01</v>
      </c>
      <c r="S64" s="6">
        <v>20650.13</v>
      </c>
      <c r="T64" s="6">
        <v>44901.919999999998</v>
      </c>
      <c r="U64" s="56">
        <v>45839</v>
      </c>
      <c r="V64" s="59">
        <f t="shared" si="0"/>
        <v>55.443147427583227</v>
      </c>
      <c r="W64" s="59">
        <f t="shared" si="1"/>
        <v>143.32542953905255</v>
      </c>
      <c r="X64" s="59">
        <f t="shared" si="2"/>
        <v>141.05925612715885</v>
      </c>
      <c r="Y64" s="59">
        <f t="shared" si="3"/>
        <v>130.40055944965766</v>
      </c>
    </row>
    <row r="65" spans="16:25" x14ac:dyDescent="0.25">
      <c r="P65" s="56">
        <v>45870</v>
      </c>
      <c r="Q65" s="6">
        <v>73.64</v>
      </c>
      <c r="R65" s="6">
        <v>6460.26</v>
      </c>
      <c r="S65" s="6">
        <v>21496.54</v>
      </c>
      <c r="T65" s="6">
        <v>45544.88</v>
      </c>
      <c r="U65" s="56">
        <v>45870</v>
      </c>
      <c r="V65" s="59">
        <f t="shared" si="0"/>
        <v>63.674881106787716</v>
      </c>
      <c r="W65" s="59">
        <f t="shared" si="1"/>
        <v>148.43187802423523</v>
      </c>
      <c r="X65" s="59">
        <f t="shared" si="2"/>
        <v>146.84100980031192</v>
      </c>
      <c r="Y65" s="59">
        <f t="shared" si="3"/>
        <v>132.26779238098337</v>
      </c>
    </row>
    <row r="66" spans="16:25" x14ac:dyDescent="0.25">
      <c r="P66" s="56">
        <v>45901</v>
      </c>
      <c r="Q66" s="6">
        <v>72.23</v>
      </c>
      <c r="R66" s="6">
        <v>6715.79</v>
      </c>
      <c r="S66" s="6">
        <v>22780.51</v>
      </c>
      <c r="T66" s="6">
        <v>46758.28</v>
      </c>
      <c r="U66" s="56">
        <v>45901</v>
      </c>
      <c r="V66" s="59">
        <f t="shared" si="0"/>
        <v>62.455685257241676</v>
      </c>
      <c r="W66" s="59">
        <f t="shared" si="1"/>
        <v>154.30297265379082</v>
      </c>
      <c r="X66" s="59">
        <f t="shared" si="2"/>
        <v>155.61169807634639</v>
      </c>
      <c r="Y66" s="59">
        <f t="shared" si="3"/>
        <v>135.7916514684392</v>
      </c>
    </row>
    <row r="67" spans="16:25" x14ac:dyDescent="0.25">
      <c r="P67" s="56">
        <v>45931</v>
      </c>
      <c r="Q67" s="6">
        <v>83.26</v>
      </c>
      <c r="R67" s="6">
        <v>6840.2</v>
      </c>
      <c r="S67" s="6">
        <v>23204.87</v>
      </c>
      <c r="T67" s="6">
        <v>47207.12</v>
      </c>
      <c r="U67" s="56">
        <v>45931</v>
      </c>
      <c r="V67" s="59">
        <f t="shared" si="0"/>
        <v>71.993082576740164</v>
      </c>
      <c r="W67" s="59">
        <f t="shared" si="1"/>
        <v>157.16143499818486</v>
      </c>
      <c r="X67" s="59">
        <f t="shared" si="2"/>
        <v>158.5104646182578</v>
      </c>
      <c r="Y67" s="59">
        <f t="shared" si="3"/>
        <v>137.09513664464959</v>
      </c>
    </row>
    <row r="68" spans="16:25" x14ac:dyDescent="0.25">
      <c r="P68" s="56">
        <v>45962</v>
      </c>
      <c r="Q68" s="6">
        <v>79.28</v>
      </c>
      <c r="R68" s="6">
        <v>6849.09</v>
      </c>
      <c r="S68" s="6">
        <v>23365.69</v>
      </c>
      <c r="T68" s="6">
        <v>46245.41</v>
      </c>
      <c r="U68" s="56">
        <v>45962</v>
      </c>
      <c r="V68" s="59">
        <f t="shared" si="0"/>
        <v>68.551664504971896</v>
      </c>
      <c r="W68" s="59">
        <f t="shared" si="1"/>
        <v>157.3656929375922</v>
      </c>
      <c r="X68" s="59">
        <f t="shared" si="2"/>
        <v>159.60901216107567</v>
      </c>
      <c r="Y68" s="59">
        <f t="shared" si="3"/>
        <v>134.30221549498984</v>
      </c>
    </row>
    <row r="69" spans="16:25" x14ac:dyDescent="0.25">
      <c r="P69" s="56">
        <v>45992</v>
      </c>
      <c r="Q69" s="6">
        <v>69.180000000000007</v>
      </c>
      <c r="R69" s="6">
        <v>6929.94</v>
      </c>
      <c r="S69" s="6">
        <v>23593.1</v>
      </c>
      <c r="T69" s="6">
        <v>48134.89</v>
      </c>
      <c r="U69" s="56">
        <v>45992</v>
      </c>
      <c r="V69" s="59">
        <f t="shared" si="0"/>
        <v>59.818417639429313</v>
      </c>
      <c r="W69" s="59">
        <f t="shared" si="1"/>
        <v>159.22331435503659</v>
      </c>
      <c r="X69" s="59">
        <f t="shared" si="2"/>
        <v>161.16243024783236</v>
      </c>
      <c r="Y69" s="59">
        <f t="shared" si="3"/>
        <v>139.78949196488105</v>
      </c>
    </row>
    <row r="70" spans="16:25" x14ac:dyDescent="0.25">
      <c r="P70" s="56">
        <v>46023</v>
      </c>
      <c r="Q70" s="6">
        <v>67.05</v>
      </c>
      <c r="R70" s="6">
        <v>6939.03</v>
      </c>
      <c r="S70" s="6">
        <v>23461.82</v>
      </c>
      <c r="T70" s="6">
        <v>49098.71</v>
      </c>
      <c r="U70" s="56">
        <v>46023</v>
      </c>
      <c r="V70" s="59">
        <f t="shared" si="0"/>
        <v>57.976653696498047</v>
      </c>
      <c r="W70" s="59">
        <f t="shared" si="1"/>
        <v>159.4321675236769</v>
      </c>
      <c r="X70" s="59">
        <f t="shared" si="2"/>
        <v>160.26566789600344</v>
      </c>
      <c r="Y70" s="59">
        <f t="shared" si="3"/>
        <v>142.58854080753122</v>
      </c>
    </row>
    <row r="71" spans="16:25" x14ac:dyDescent="0.25">
      <c r="P71" s="56">
        <v>46054</v>
      </c>
      <c r="Q71" s="6">
        <v>61.97</v>
      </c>
      <c r="R71" s="6">
        <v>6909.51</v>
      </c>
      <c r="S71" s="6">
        <v>22668.21</v>
      </c>
      <c r="T71" s="6">
        <v>48977.919999999998</v>
      </c>
      <c r="U71" s="56">
        <v>46054</v>
      </c>
      <c r="V71" s="59">
        <f t="shared" si="0"/>
        <v>53.584089926502379</v>
      </c>
      <c r="W71" s="59">
        <f t="shared" si="1"/>
        <v>158.75391168888459</v>
      </c>
      <c r="X71" s="59">
        <f t="shared" si="2"/>
        <v>154.84458646673036</v>
      </c>
      <c r="Y71" s="59">
        <f t="shared" si="3"/>
        <v>142.23775216473098</v>
      </c>
    </row>
    <row r="72" spans="16:25" x14ac:dyDescent="0.25">
      <c r="P72" s="56">
        <v>46082</v>
      </c>
      <c r="Q72" s="6">
        <v>62.98</v>
      </c>
      <c r="R72" s="6">
        <v>6368.85</v>
      </c>
      <c r="S72" s="6">
        <v>20948.36</v>
      </c>
      <c r="T72" s="6">
        <v>45577.47</v>
      </c>
      <c r="U72" s="56">
        <v>46082</v>
      </c>
      <c r="V72" s="59">
        <f t="shared" si="0"/>
        <v>54.457414613056635</v>
      </c>
      <c r="W72" s="59">
        <f t="shared" si="1"/>
        <v>146.3316285032879</v>
      </c>
      <c r="X72" s="59">
        <f t="shared" si="2"/>
        <v>143.09643952284702</v>
      </c>
      <c r="Y72" s="59">
        <f t="shared" si="3"/>
        <v>132.36243764854575</v>
      </c>
    </row>
    <row r="73" spans="16:25" x14ac:dyDescent="0.25">
      <c r="P73" s="56">
        <v>46113</v>
      </c>
      <c r="Q73" s="6">
        <v>60.05</v>
      </c>
      <c r="R73" s="6">
        <v>7123.06</v>
      </c>
      <c r="S73" s="6">
        <v>24468.48</v>
      </c>
      <c r="T73" s="6">
        <v>49447.43</v>
      </c>
      <c r="U73" s="56">
        <v>46113</v>
      </c>
      <c r="V73" s="59">
        <f t="shared" si="0"/>
        <v>51.9239083441418</v>
      </c>
      <c r="W73" s="59">
        <f t="shared" si="1"/>
        <v>163.66046770243133</v>
      </c>
      <c r="X73" s="59">
        <f t="shared" si="2"/>
        <v>167.14207549115977</v>
      </c>
      <c r="Y73" s="59">
        <f t="shared" si="3"/>
        <v>143.60126549928793</v>
      </c>
    </row>
    <row r="74" spans="16:25" x14ac:dyDescent="0.25">
      <c r="P74" s="56">
        <v>46143</v>
      </c>
      <c r="Q74" s="6">
        <v>77.95</v>
      </c>
      <c r="R74" s="6">
        <v>7473.47</v>
      </c>
      <c r="S74" s="6">
        <v>26343.97</v>
      </c>
      <c r="T74" s="6">
        <v>50579.7</v>
      </c>
      <c r="U74" s="56">
        <v>46143</v>
      </c>
      <c r="V74" s="59">
        <f t="shared" si="0"/>
        <v>67.401642888024199</v>
      </c>
      <c r="W74" s="59">
        <f t="shared" si="1"/>
        <v>171.71153908012701</v>
      </c>
      <c r="X74" s="59">
        <f t="shared" si="2"/>
        <v>179.95338584484401</v>
      </c>
      <c r="Y74" s="59">
        <f t="shared" si="3"/>
        <v>146.88951333920352</v>
      </c>
    </row>
    <row r="75" spans="16:25" x14ac:dyDescent="0.25">
      <c r="P75" s="56">
        <v>46174</v>
      </c>
      <c r="Q75" s="60">
        <v>75.150000000000006</v>
      </c>
      <c r="R75" s="6">
        <v>7425.29</v>
      </c>
      <c r="S75" s="6">
        <v>25883.49</v>
      </c>
      <c r="T75" s="6">
        <v>51200.15</v>
      </c>
      <c r="U75" s="56">
        <v>46174</v>
      </c>
      <c r="V75" s="59">
        <f t="shared" si="0"/>
        <v>64.980544747081709</v>
      </c>
      <c r="W75" s="59">
        <f t="shared" si="1"/>
        <v>170.60454835789483</v>
      </c>
      <c r="X75" s="59">
        <f t="shared" si="2"/>
        <v>176.80788669973288</v>
      </c>
      <c r="Y75" s="59">
        <f t="shared" si="3"/>
        <v>148.69137453156549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2581-1BFA-4EBF-82E7-699E9EE22716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0.21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v>7.4800000000000005E-2</v>
      </c>
      <c r="C7" s="41"/>
      <c r="P7">
        <v>2026</v>
      </c>
      <c r="Q7" s="26">
        <f>D28</f>
        <v>2902761450</v>
      </c>
      <c r="R7" s="26"/>
      <c r="S7" t="s">
        <v>41</v>
      </c>
      <c r="T7" s="16">
        <f>B40</f>
        <v>172.58044186162064</v>
      </c>
    </row>
    <row r="8" spans="1:26" x14ac:dyDescent="0.25">
      <c r="A8" s="40" t="s">
        <v>4</v>
      </c>
      <c r="B8" s="32">
        <v>0.02</v>
      </c>
      <c r="C8" s="41"/>
      <c r="P8">
        <v>2027</v>
      </c>
      <c r="Q8" s="26">
        <f>E28</f>
        <v>3047899522.5</v>
      </c>
      <c r="R8" s="26"/>
      <c r="S8" t="s">
        <v>55</v>
      </c>
      <c r="T8" s="16">
        <v>98.58</v>
      </c>
    </row>
    <row r="9" spans="1:26" x14ac:dyDescent="0.25">
      <c r="A9" s="40" t="s">
        <v>5</v>
      </c>
      <c r="B9" s="33" t="s">
        <v>93</v>
      </c>
      <c r="C9" s="41"/>
      <c r="P9">
        <v>2028</v>
      </c>
      <c r="Q9" s="26">
        <f>F28</f>
        <v>3200294498.625</v>
      </c>
      <c r="R9" s="26"/>
      <c r="S9" t="s">
        <v>8</v>
      </c>
      <c r="T9" s="16">
        <f>B12</f>
        <v>74</v>
      </c>
    </row>
    <row r="10" spans="1:26" x14ac:dyDescent="0.25">
      <c r="A10" s="40" t="s">
        <v>6</v>
      </c>
      <c r="B10" s="34">
        <v>46196</v>
      </c>
      <c r="C10" s="41"/>
      <c r="P10">
        <v>2029</v>
      </c>
      <c r="Q10" s="26">
        <f>G28</f>
        <v>3328306278.5699997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3528004655.2842007</v>
      </c>
      <c r="R11" s="26"/>
    </row>
    <row r="12" spans="1:26" x14ac:dyDescent="0.25">
      <c r="A12" s="40" t="s">
        <v>8</v>
      </c>
      <c r="B12" s="35">
        <v>74</v>
      </c>
      <c r="C12" s="41" t="s">
        <v>78</v>
      </c>
      <c r="P12">
        <v>2031</v>
      </c>
      <c r="Q12" s="26">
        <f>I28</f>
        <v>3704404888.0484114</v>
      </c>
      <c r="R12" s="26"/>
    </row>
    <row r="13" spans="1:26" x14ac:dyDescent="0.25">
      <c r="A13" s="40" t="s">
        <v>9</v>
      </c>
      <c r="B13" s="36">
        <v>210770000</v>
      </c>
      <c r="C13" s="41"/>
    </row>
    <row r="14" spans="1:26" x14ac:dyDescent="0.25">
      <c r="A14" s="40" t="s">
        <v>10</v>
      </c>
      <c r="B14" s="35">
        <v>4050000000</v>
      </c>
      <c r="C14" s="41"/>
      <c r="P14" s="6" t="s">
        <v>16</v>
      </c>
      <c r="Q14" s="6" t="s">
        <v>85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86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923000000</v>
      </c>
      <c r="C15" s="41"/>
      <c r="P15" s="56">
        <v>44348</v>
      </c>
      <c r="Q15" s="57">
        <v>115.65</v>
      </c>
      <c r="R15" s="6">
        <v>4352.34</v>
      </c>
      <c r="S15" s="6">
        <v>14639.33</v>
      </c>
      <c r="T15" s="6">
        <v>34433.839999999997</v>
      </c>
      <c r="U15" s="56">
        <v>44348</v>
      </c>
      <c r="V15" s="58">
        <f t="shared" ref="V15:V75" si="0">(Q15/$Q$15)*100</f>
        <v>100</v>
      </c>
      <c r="W15" s="58">
        <f>(R15/$R$15)*100</f>
        <v>100</v>
      </c>
      <c r="X15" s="58">
        <f>(S15/$S$15)*100</f>
        <v>100</v>
      </c>
      <c r="Y15" s="58">
        <f>(T15/$T$15)*100</f>
        <v>100</v>
      </c>
      <c r="Z15" t="s">
        <v>69</v>
      </c>
    </row>
    <row r="16" spans="1:26" x14ac:dyDescent="0.25">
      <c r="A16" s="40" t="s">
        <v>12</v>
      </c>
      <c r="B16" s="35" t="s">
        <v>98</v>
      </c>
      <c r="C16" s="41"/>
      <c r="P16" s="56">
        <v>44378</v>
      </c>
      <c r="Q16" s="6">
        <v>113.28</v>
      </c>
      <c r="R16" s="6">
        <v>4395.26</v>
      </c>
      <c r="S16" s="6">
        <v>14672.68</v>
      </c>
      <c r="T16" s="6">
        <v>35061.550000000003</v>
      </c>
      <c r="U16" s="56">
        <v>44378</v>
      </c>
      <c r="V16" s="59">
        <f t="shared" si="0"/>
        <v>97.950713359273664</v>
      </c>
      <c r="W16" s="59">
        <f>(R16/$R$15)*100</f>
        <v>100.98613619340402</v>
      </c>
      <c r="X16" s="59">
        <f>(S16/$S$15)*100</f>
        <v>100.22781097222347</v>
      </c>
      <c r="Y16" s="59">
        <f>(T16/$T$15)*100</f>
        <v>101.82294510284071</v>
      </c>
      <c r="Z16" t="s">
        <v>74</v>
      </c>
    </row>
    <row r="17" spans="1:25" x14ac:dyDescent="0.25">
      <c r="A17" s="42" t="s">
        <v>88</v>
      </c>
      <c r="B17" s="43"/>
      <c r="C17" s="44"/>
      <c r="P17" s="56">
        <v>44409</v>
      </c>
      <c r="Q17" s="6">
        <v>117.5</v>
      </c>
      <c r="R17" s="6">
        <v>4509.37</v>
      </c>
      <c r="S17" s="6">
        <v>14714.66</v>
      </c>
      <c r="T17" s="6">
        <v>35120.080000000002</v>
      </c>
      <c r="U17" s="56">
        <v>44409</v>
      </c>
      <c r="V17" s="59">
        <f t="shared" si="0"/>
        <v>101.599654128837</v>
      </c>
      <c r="W17" s="59">
        <f>(R17/$R$15)*100</f>
        <v>103.60794423229802</v>
      </c>
      <c r="X17" s="59">
        <f>(S17/$S$15)*100</f>
        <v>100.5145727297629</v>
      </c>
      <c r="Y17" s="59">
        <f>(T17/$T$15)*100</f>
        <v>101.9929232406261</v>
      </c>
    </row>
    <row r="18" spans="1:25" x14ac:dyDescent="0.25">
      <c r="P18" s="56">
        <v>44440</v>
      </c>
      <c r="Q18" s="6">
        <v>104.74</v>
      </c>
      <c r="R18" s="6">
        <v>4455.4799999999996</v>
      </c>
      <c r="S18" s="6">
        <v>15047.7</v>
      </c>
      <c r="T18" s="6">
        <v>34326.46</v>
      </c>
      <c r="U18" s="56">
        <v>44440</v>
      </c>
      <c r="V18" s="59">
        <f t="shared" si="0"/>
        <v>90.56636402939904</v>
      </c>
      <c r="W18" s="59">
        <f t="shared" ref="W18:W75" si="1">(R18/$R$15)*100</f>
        <v>102.36975971546339</v>
      </c>
      <c r="X18" s="59">
        <f t="shared" ref="X18:X75" si="2">(S18/$S$15)*100</f>
        <v>102.78954023169094</v>
      </c>
      <c r="Y18" s="59">
        <f t="shared" ref="Y18:Y75" si="3">(T18/$T$15)*100</f>
        <v>99.688155605067578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6">
        <v>44470</v>
      </c>
      <c r="Q19" s="6">
        <v>118.39</v>
      </c>
      <c r="R19" s="6">
        <v>4544.8999999999996</v>
      </c>
      <c r="S19" s="6">
        <v>15498.39</v>
      </c>
      <c r="T19" s="6">
        <v>35677.019999999997</v>
      </c>
      <c r="U19" s="56">
        <v>44470</v>
      </c>
      <c r="V19" s="59">
        <f t="shared" si="0"/>
        <v>102.36921746649372</v>
      </c>
      <c r="W19" s="59">
        <f t="shared" si="1"/>
        <v>104.42428670554229</v>
      </c>
      <c r="X19" s="59">
        <f t="shared" si="2"/>
        <v>105.86816473158265</v>
      </c>
      <c r="Y19" s="59">
        <f t="shared" si="3"/>
        <v>103.61034377809737</v>
      </c>
    </row>
    <row r="20" spans="1:25" x14ac:dyDescent="0.25">
      <c r="A20" t="s">
        <v>16</v>
      </c>
      <c r="C20" s="7">
        <v>46196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68950601930.828094</v>
      </c>
      <c r="P20" s="56">
        <v>44501</v>
      </c>
      <c r="Q20" s="6">
        <v>114.77</v>
      </c>
      <c r="R20" s="6">
        <v>4594.62</v>
      </c>
      <c r="S20" s="6">
        <v>15085.47</v>
      </c>
      <c r="T20" s="6">
        <v>34889.339999999997</v>
      </c>
      <c r="U20" s="56">
        <v>44501</v>
      </c>
      <c r="V20" s="59">
        <f t="shared" si="0"/>
        <v>99.23908344141806</v>
      </c>
      <c r="W20" s="59">
        <f t="shared" si="1"/>
        <v>105.56666069286867</v>
      </c>
      <c r="X20" s="59">
        <f t="shared" si="2"/>
        <v>103.04754384251191</v>
      </c>
      <c r="Y20" s="59">
        <f t="shared" si="3"/>
        <v>101.32282661474873</v>
      </c>
    </row>
    <row r="21" spans="1:25" x14ac:dyDescent="0.25">
      <c r="A21" t="s">
        <v>18</v>
      </c>
      <c r="B21" t="s">
        <v>83</v>
      </c>
      <c r="D21" s="5">
        <v>62627000000</v>
      </c>
      <c r="E21" s="5">
        <f>D21*1.05</f>
        <v>65758350000</v>
      </c>
      <c r="F21" s="5">
        <f>E21*1.05</f>
        <v>69046267500</v>
      </c>
      <c r="G21" s="5">
        <f>F21*1.04</f>
        <v>71808118200</v>
      </c>
      <c r="H21" s="5">
        <f>G21*1.06</f>
        <v>76116605292</v>
      </c>
      <c r="I21" s="5">
        <f>H21*1.05</f>
        <v>79922435556.600006</v>
      </c>
      <c r="L21" t="s">
        <v>19</v>
      </c>
      <c r="M21" s="13">
        <f>(I22+I25)*7.5</f>
        <v>50950552667.332504</v>
      </c>
      <c r="P21" s="56">
        <v>44531</v>
      </c>
      <c r="Q21" s="6">
        <v>98.08</v>
      </c>
      <c r="R21" s="6">
        <v>4766.18</v>
      </c>
      <c r="S21" s="6">
        <v>15653.37</v>
      </c>
      <c r="T21" s="6">
        <v>35950.559999999998</v>
      </c>
      <c r="U21" s="56">
        <v>44531</v>
      </c>
      <c r="V21" s="59">
        <f t="shared" si="0"/>
        <v>84.807609165585816</v>
      </c>
      <c r="W21" s="59">
        <f t="shared" si="1"/>
        <v>109.50844832894488</v>
      </c>
      <c r="X21" s="59">
        <f t="shared" si="2"/>
        <v>106.92681973833503</v>
      </c>
      <c r="Y21" s="59">
        <f t="shared" si="3"/>
        <v>104.40473673572276</v>
      </c>
    </row>
    <row r="22" spans="1:25" x14ac:dyDescent="0.25">
      <c r="A22" t="s">
        <v>77</v>
      </c>
      <c r="B22" t="s">
        <v>94</v>
      </c>
      <c r="C22" s="46">
        <v>6.5000000000000002E-2</v>
      </c>
      <c r="D22" s="5">
        <f>D21*$C$22</f>
        <v>4070755000</v>
      </c>
      <c r="E22" s="5">
        <f t="shared" ref="E22:I22" si="4">E21*$C$22</f>
        <v>4274292750</v>
      </c>
      <c r="F22" s="5">
        <f t="shared" si="4"/>
        <v>4488007387.5</v>
      </c>
      <c r="G22" s="5">
        <f t="shared" si="4"/>
        <v>4667527683</v>
      </c>
      <c r="H22" s="5">
        <f t="shared" si="4"/>
        <v>4947579343.9800005</v>
      </c>
      <c r="I22" s="5">
        <f t="shared" si="4"/>
        <v>5194958311.1790009</v>
      </c>
      <c r="L22" t="s">
        <v>20</v>
      </c>
      <c r="M22" s="13">
        <f>(M20+M21)/2</f>
        <v>59950577299.080299</v>
      </c>
      <c r="P22" s="56">
        <v>44562</v>
      </c>
      <c r="Q22" s="6">
        <v>97.64</v>
      </c>
      <c r="R22" s="6">
        <v>4500.53</v>
      </c>
      <c r="S22" s="6">
        <v>13770.57</v>
      </c>
      <c r="T22" s="6">
        <v>34725.47</v>
      </c>
      <c r="U22" s="56">
        <v>44562</v>
      </c>
      <c r="V22" s="59">
        <f t="shared" si="0"/>
        <v>84.427150886294854</v>
      </c>
      <c r="W22" s="59">
        <f t="shared" si="1"/>
        <v>103.40483510019895</v>
      </c>
      <c r="X22" s="59">
        <f t="shared" si="2"/>
        <v>94.065575405431801</v>
      </c>
      <c r="Y22" s="59">
        <f t="shared" si="3"/>
        <v>100.84692848662829</v>
      </c>
    </row>
    <row r="23" spans="1:25" x14ac:dyDescent="0.25">
      <c r="A23" t="s">
        <v>21</v>
      </c>
      <c r="B23" t="s">
        <v>22</v>
      </c>
      <c r="C23" s="25"/>
      <c r="D23" s="5">
        <f>D22*$B$6</f>
        <v>854858550</v>
      </c>
      <c r="E23" s="30">
        <f t="shared" ref="E23:I23" si="5">E22*$B$6</f>
        <v>897601477.5</v>
      </c>
      <c r="F23" s="5">
        <f t="shared" si="5"/>
        <v>942481551.375</v>
      </c>
      <c r="G23" s="30">
        <f t="shared" si="5"/>
        <v>980180813.42999995</v>
      </c>
      <c r="H23" s="30">
        <f t="shared" si="5"/>
        <v>1038991662.2358</v>
      </c>
      <c r="I23" s="5">
        <f t="shared" si="5"/>
        <v>1090941245.3475902</v>
      </c>
      <c r="P23" s="56">
        <v>44593</v>
      </c>
      <c r="Q23" s="6">
        <v>95.83</v>
      </c>
      <c r="R23" s="6">
        <v>4384.6499999999996</v>
      </c>
      <c r="S23" s="6">
        <v>13313.44</v>
      </c>
      <c r="T23" s="6">
        <v>34058.75</v>
      </c>
      <c r="U23" s="56">
        <v>44593</v>
      </c>
      <c r="V23" s="59">
        <f t="shared" si="0"/>
        <v>82.862083873757015</v>
      </c>
      <c r="W23" s="59">
        <f t="shared" si="1"/>
        <v>100.74235928259282</v>
      </c>
      <c r="X23" s="59">
        <f t="shared" si="2"/>
        <v>90.942959821248664</v>
      </c>
      <c r="Y23" s="59">
        <f t="shared" si="3"/>
        <v>98.910693666463004</v>
      </c>
    </row>
    <row r="24" spans="1:25" x14ac:dyDescent="0.25">
      <c r="A24" t="s">
        <v>23</v>
      </c>
      <c r="B24" t="s">
        <v>24</v>
      </c>
      <c r="C24" s="25"/>
      <c r="D24" s="5">
        <f>D22*(1-$B$6)</f>
        <v>3215896450</v>
      </c>
      <c r="E24" s="5">
        <f t="shared" ref="E24:I24" si="6">E22*(1-$B$6)</f>
        <v>3376691272.5</v>
      </c>
      <c r="F24" s="5">
        <f t="shared" si="6"/>
        <v>3545525836.125</v>
      </c>
      <c r="G24" s="5">
        <f t="shared" si="6"/>
        <v>3687346869.5700002</v>
      </c>
      <c r="H24" s="5">
        <f t="shared" si="6"/>
        <v>3908587681.7442007</v>
      </c>
      <c r="I24" s="5">
        <f t="shared" si="6"/>
        <v>4104017065.8314109</v>
      </c>
      <c r="P24" s="56">
        <v>44621</v>
      </c>
      <c r="Q24" s="6">
        <v>90.38</v>
      </c>
      <c r="R24" s="6">
        <v>4543.0600000000004</v>
      </c>
      <c r="S24" s="6">
        <v>14169.3</v>
      </c>
      <c r="T24" s="6">
        <v>34861.24</v>
      </c>
      <c r="U24" s="56">
        <v>44621</v>
      </c>
      <c r="V24" s="59">
        <f t="shared" si="0"/>
        <v>78.14958927799394</v>
      </c>
      <c r="W24" s="59">
        <f t="shared" si="1"/>
        <v>104.38201059659862</v>
      </c>
      <c r="X24" s="59">
        <f t="shared" si="2"/>
        <v>96.789265628959782</v>
      </c>
      <c r="Y24" s="59">
        <f t="shared" si="3"/>
        <v>101.24122084554033</v>
      </c>
    </row>
    <row r="25" spans="1:25" x14ac:dyDescent="0.25">
      <c r="A25" s="4" t="s">
        <v>25</v>
      </c>
      <c r="B25" s="8" t="s">
        <v>81</v>
      </c>
      <c r="C25" s="25">
        <v>0.02</v>
      </c>
      <c r="D25" s="12">
        <f>D21*$C$25</f>
        <v>1252540000</v>
      </c>
      <c r="E25" s="12">
        <f t="shared" ref="E25:I25" si="7">E21*$C$25</f>
        <v>1315167000</v>
      </c>
      <c r="F25" s="12">
        <f t="shared" si="7"/>
        <v>1380925350</v>
      </c>
      <c r="G25" s="12">
        <f t="shared" si="7"/>
        <v>1436162364</v>
      </c>
      <c r="H25" s="12">
        <f t="shared" si="7"/>
        <v>1522332105.8399999</v>
      </c>
      <c r="I25" s="12">
        <f t="shared" si="7"/>
        <v>1598448711.1320002</v>
      </c>
      <c r="P25" s="56">
        <v>44652</v>
      </c>
      <c r="Q25" s="6">
        <v>89.93</v>
      </c>
      <c r="R25" s="6">
        <v>4271.78</v>
      </c>
      <c r="S25" s="6">
        <v>12839.29</v>
      </c>
      <c r="T25" s="6">
        <v>33811.4</v>
      </c>
      <c r="U25" s="56">
        <v>44652</v>
      </c>
      <c r="V25" s="59">
        <f t="shared" si="0"/>
        <v>77.760484219628196</v>
      </c>
      <c r="W25" s="59">
        <f t="shared" si="1"/>
        <v>98.149041664943454</v>
      </c>
      <c r="X25" s="59">
        <f t="shared" si="2"/>
        <v>87.704082085723883</v>
      </c>
      <c r="Y25" s="59">
        <f t="shared" si="3"/>
        <v>98.192359609035776</v>
      </c>
    </row>
    <row r="26" spans="1:25" x14ac:dyDescent="0.25">
      <c r="A26" t="s">
        <v>26</v>
      </c>
      <c r="B26" t="s">
        <v>91</v>
      </c>
      <c r="C26" s="46">
        <v>1.4999999999999999E-2</v>
      </c>
      <c r="D26" s="10">
        <f>D21*$C$26</f>
        <v>939405000</v>
      </c>
      <c r="E26" s="10">
        <f t="shared" ref="E26:I26" si="8">E21*$C$26</f>
        <v>986375250</v>
      </c>
      <c r="F26" s="10">
        <f t="shared" si="8"/>
        <v>1035694012.5</v>
      </c>
      <c r="G26" s="10">
        <f t="shared" si="8"/>
        <v>1077121773</v>
      </c>
      <c r="H26" s="10">
        <f t="shared" si="8"/>
        <v>1141749079.3799999</v>
      </c>
      <c r="I26" s="10">
        <f t="shared" si="8"/>
        <v>1198836533.349</v>
      </c>
      <c r="P26" s="56">
        <v>44682</v>
      </c>
      <c r="Q26" s="6">
        <v>80.39</v>
      </c>
      <c r="R26" s="6">
        <v>4158.24</v>
      </c>
      <c r="S26" s="6">
        <v>11354.62</v>
      </c>
      <c r="T26" s="6">
        <v>33212.959999999999</v>
      </c>
      <c r="U26" s="56">
        <v>44682</v>
      </c>
      <c r="V26" s="59">
        <f t="shared" si="0"/>
        <v>69.511456982274098</v>
      </c>
      <c r="W26" s="59">
        <f t="shared" si="1"/>
        <v>95.540330029363503</v>
      </c>
      <c r="X26" s="59">
        <f t="shared" si="2"/>
        <v>77.562429428122741</v>
      </c>
      <c r="Y26" s="59">
        <f t="shared" si="3"/>
        <v>96.454418095687274</v>
      </c>
    </row>
    <row r="27" spans="1:25" x14ac:dyDescent="0.25">
      <c r="A27" t="s">
        <v>27</v>
      </c>
      <c r="B27" t="s">
        <v>82</v>
      </c>
      <c r="C27" s="25">
        <v>0.01</v>
      </c>
      <c r="D27" s="10">
        <f>D21*$C$27</f>
        <v>626270000</v>
      </c>
      <c r="E27" s="10">
        <f t="shared" ref="E27:I27" si="9">E21*$C$27</f>
        <v>657583500</v>
      </c>
      <c r="F27" s="10">
        <f t="shared" si="9"/>
        <v>690462675</v>
      </c>
      <c r="G27" s="10">
        <f t="shared" si="9"/>
        <v>718081182</v>
      </c>
      <c r="H27" s="10">
        <f t="shared" si="9"/>
        <v>761166052.91999996</v>
      </c>
      <c r="I27" s="10">
        <f t="shared" si="9"/>
        <v>799224355.5660001</v>
      </c>
      <c r="P27" s="56">
        <v>44713</v>
      </c>
      <c r="Q27" s="59">
        <v>74.69</v>
      </c>
      <c r="R27" s="6">
        <v>3911.74</v>
      </c>
      <c r="S27" s="6">
        <v>11127.85</v>
      </c>
      <c r="T27" s="6">
        <v>31097.26</v>
      </c>
      <c r="U27" s="56">
        <v>44713</v>
      </c>
      <c r="V27" s="59">
        <f t="shared" si="0"/>
        <v>64.582792909641157</v>
      </c>
      <c r="W27" s="59">
        <f t="shared" si="1"/>
        <v>89.876709999678326</v>
      </c>
      <c r="X27" s="59">
        <f t="shared" si="2"/>
        <v>76.01338312614034</v>
      </c>
      <c r="Y27" s="59">
        <f t="shared" si="3"/>
        <v>90.310171621869657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2902761450</v>
      </c>
      <c r="E28" s="12">
        <f t="shared" ref="E28:I28" si="10">E24+E25-E26-E27</f>
        <v>3047899522.5</v>
      </c>
      <c r="F28" s="12">
        <f t="shared" si="10"/>
        <v>3200294498.625</v>
      </c>
      <c r="G28" s="12">
        <f t="shared" si="10"/>
        <v>3328306278.5699997</v>
      </c>
      <c r="H28" s="12">
        <f t="shared" si="10"/>
        <v>3528004655.2842007</v>
      </c>
      <c r="I28" s="12">
        <f t="shared" si="10"/>
        <v>3704404888.0484114</v>
      </c>
      <c r="P28" s="56">
        <v>44743</v>
      </c>
      <c r="Q28" s="6">
        <v>76.989999999999995</v>
      </c>
      <c r="R28" s="6">
        <v>4130.29</v>
      </c>
      <c r="S28" s="6">
        <v>12390.69</v>
      </c>
      <c r="T28" s="6">
        <v>32845.129999999997</v>
      </c>
      <c r="U28" s="56">
        <v>44743</v>
      </c>
      <c r="V28" s="59">
        <f t="shared" si="0"/>
        <v>66.571552096843917</v>
      </c>
      <c r="W28" s="59">
        <f t="shared" si="1"/>
        <v>94.898146744050322</v>
      </c>
      <c r="X28" s="59">
        <f t="shared" si="2"/>
        <v>84.63973419548573</v>
      </c>
      <c r="Y28" s="59">
        <f t="shared" si="3"/>
        <v>95.386195672629015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6">
        <v>44774</v>
      </c>
      <c r="Q29" s="6">
        <v>74.150000000000006</v>
      </c>
      <c r="R29" s="6">
        <v>3924.26</v>
      </c>
      <c r="S29" s="6">
        <v>12141.71</v>
      </c>
      <c r="T29" s="6">
        <v>31318.44</v>
      </c>
      <c r="U29" s="56">
        <v>44774</v>
      </c>
      <c r="V29" s="59">
        <f t="shared" si="0"/>
        <v>64.115866839602248</v>
      </c>
      <c r="W29" s="59">
        <f t="shared" si="1"/>
        <v>90.164371349664791</v>
      </c>
      <c r="X29" s="59">
        <f t="shared" si="2"/>
        <v>82.938973300007575</v>
      </c>
      <c r="Y29" s="59">
        <f t="shared" si="3"/>
        <v>90.95250486149672</v>
      </c>
    </row>
    <row r="30" spans="1:25" x14ac:dyDescent="0.25">
      <c r="A30" t="s">
        <v>36</v>
      </c>
      <c r="C30" s="13">
        <f>-G39</f>
        <v>-18723980000</v>
      </c>
      <c r="D30" s="5">
        <f>D28</f>
        <v>2902761450</v>
      </c>
      <c r="E30" s="5">
        <f t="shared" ref="E30:I30" si="11">E28</f>
        <v>3047899522.5</v>
      </c>
      <c r="F30" s="5">
        <f t="shared" si="11"/>
        <v>3200294498.625</v>
      </c>
      <c r="G30" s="5">
        <f t="shared" si="11"/>
        <v>3328306278.5699997</v>
      </c>
      <c r="H30" s="5">
        <f t="shared" si="11"/>
        <v>3528004655.2842007</v>
      </c>
      <c r="I30" s="5">
        <f t="shared" si="11"/>
        <v>3704404888.0484114</v>
      </c>
      <c r="J30" s="13">
        <f>I28+M22</f>
        <v>63654982187.128708</v>
      </c>
      <c r="K30" t="s">
        <v>38</v>
      </c>
      <c r="P30" s="56">
        <v>44805</v>
      </c>
      <c r="Q30" s="6">
        <v>63.34</v>
      </c>
      <c r="R30" s="6">
        <v>3585.62</v>
      </c>
      <c r="S30" s="6">
        <v>10867.93</v>
      </c>
      <c r="T30" s="6">
        <v>30822.42</v>
      </c>
      <c r="U30" s="56">
        <v>44805</v>
      </c>
      <c r="V30" s="59">
        <f t="shared" si="0"/>
        <v>54.768698659749248</v>
      </c>
      <c r="W30" s="59">
        <f t="shared" si="1"/>
        <v>82.383729212331744</v>
      </c>
      <c r="X30" s="59">
        <f t="shared" si="2"/>
        <v>74.237892034676463</v>
      </c>
      <c r="Y30" s="59">
        <f t="shared" si="3"/>
        <v>89.512003308373394</v>
      </c>
    </row>
    <row r="31" spans="1:25" x14ac:dyDescent="0.25">
      <c r="A31" t="s">
        <v>37</v>
      </c>
      <c r="D31" s="6">
        <f>1/(1+$B$7)^D29</f>
        <v>0.96457537645660119</v>
      </c>
      <c r="E31" s="6">
        <f t="shared" ref="E31:I31" si="12">1/(1+$B$7)^E29</f>
        <v>0.89744638672925303</v>
      </c>
      <c r="F31" s="6">
        <f t="shared" si="12"/>
        <v>0.83498919494720236</v>
      </c>
      <c r="G31" s="6">
        <f t="shared" si="12"/>
        <v>0.77687867040119307</v>
      </c>
      <c r="H31" s="6">
        <f t="shared" si="12"/>
        <v>0.72281230964011267</v>
      </c>
      <c r="I31" s="6">
        <f t="shared" si="12"/>
        <v>0.69720695567857704</v>
      </c>
      <c r="J31" t="s">
        <v>39</v>
      </c>
      <c r="P31" s="56">
        <v>44835</v>
      </c>
      <c r="Q31" s="6">
        <v>68.2</v>
      </c>
      <c r="R31" s="6">
        <v>3901.06</v>
      </c>
      <c r="S31" s="6">
        <v>11102.45</v>
      </c>
      <c r="T31" s="6">
        <v>32861.800000000003</v>
      </c>
      <c r="U31" s="56">
        <v>44835</v>
      </c>
      <c r="V31" s="59">
        <f t="shared" si="0"/>
        <v>58.971033290099442</v>
      </c>
      <c r="W31" s="59">
        <f t="shared" si="1"/>
        <v>89.631324758635571</v>
      </c>
      <c r="X31" s="59">
        <f t="shared" si="2"/>
        <v>75.839877917910187</v>
      </c>
      <c r="Y31" s="59">
        <f t="shared" si="3"/>
        <v>95.434607351372975</v>
      </c>
    </row>
    <row r="32" spans="1:25" x14ac:dyDescent="0.25">
      <c r="A32" t="s">
        <v>40</v>
      </c>
      <c r="C32" s="13">
        <f>-G39</f>
        <v>-18723980000</v>
      </c>
      <c r="D32" s="5">
        <f>D30*D31</f>
        <v>2799932218.3974595</v>
      </c>
      <c r="E32" s="5">
        <f t="shared" ref="E32:I32" si="13">E30*E31</f>
        <v>2735326413.5814404</v>
      </c>
      <c r="F32" s="5">
        <f t="shared" si="13"/>
        <v>2672211327.0008492</v>
      </c>
      <c r="G32" s="5">
        <f t="shared" si="13"/>
        <v>2585690156.3834043</v>
      </c>
      <c r="H32" s="5">
        <f t="shared" si="13"/>
        <v>2550085193.3070426</v>
      </c>
      <c r="I32" s="5">
        <f t="shared" si="13"/>
        <v>2582736854.5970731</v>
      </c>
      <c r="J32" s="14">
        <f>M22</f>
        <v>59950577299.080299</v>
      </c>
      <c r="P32" s="56">
        <v>44866</v>
      </c>
      <c r="Q32" s="6">
        <v>86.6</v>
      </c>
      <c r="R32" s="6">
        <v>4026.12</v>
      </c>
      <c r="S32" s="6">
        <v>11226.36</v>
      </c>
      <c r="T32" s="6">
        <v>34429.879999999997</v>
      </c>
      <c r="U32" s="56">
        <v>44866</v>
      </c>
      <c r="V32" s="59">
        <f t="shared" si="0"/>
        <v>74.881106787721563</v>
      </c>
      <c r="W32" s="59">
        <f t="shared" si="1"/>
        <v>92.504721598036909</v>
      </c>
      <c r="X32" s="59">
        <f t="shared" si="2"/>
        <v>76.686296435697543</v>
      </c>
      <c r="Y32" s="59">
        <f t="shared" si="3"/>
        <v>99.988499685193403</v>
      </c>
    </row>
    <row r="33" spans="1:25" x14ac:dyDescent="0.25">
      <c r="A33" t="s">
        <v>56</v>
      </c>
      <c r="C33" s="29">
        <v>-18724</v>
      </c>
      <c r="D33" s="45">
        <v>2800</v>
      </c>
      <c r="E33" s="24">
        <v>2735</v>
      </c>
      <c r="F33" s="24">
        <v>2672</v>
      </c>
      <c r="G33" s="24">
        <v>2586</v>
      </c>
      <c r="H33" s="24">
        <v>2550</v>
      </c>
      <c r="I33" s="24">
        <v>2583</v>
      </c>
      <c r="J33" s="24">
        <v>59951</v>
      </c>
      <c r="P33" s="56">
        <v>44896</v>
      </c>
      <c r="Q33" s="6">
        <v>80.209999999999994</v>
      </c>
      <c r="R33" s="6">
        <v>3839.5</v>
      </c>
      <c r="S33" s="6">
        <v>10466.48</v>
      </c>
      <c r="T33" s="6">
        <v>33203.93</v>
      </c>
      <c r="U33" s="56">
        <v>44896</v>
      </c>
      <c r="V33" s="59">
        <f t="shared" si="0"/>
        <v>69.35581495892778</v>
      </c>
      <c r="W33" s="59">
        <f t="shared" si="1"/>
        <v>88.216913200715013</v>
      </c>
      <c r="X33" s="59">
        <f t="shared" si="2"/>
        <v>71.495621725857674</v>
      </c>
      <c r="Y33" s="59">
        <f t="shared" si="3"/>
        <v>96.428193892984353</v>
      </c>
    </row>
    <row r="34" spans="1:25" x14ac:dyDescent="0.25">
      <c r="P34" s="56">
        <v>44927</v>
      </c>
      <c r="Q34" s="6">
        <v>90.32</v>
      </c>
      <c r="R34" s="6">
        <v>4070.56</v>
      </c>
      <c r="S34" s="6">
        <v>11140.43</v>
      </c>
      <c r="T34" s="6">
        <v>33375.49</v>
      </c>
      <c r="U34" s="56">
        <v>44927</v>
      </c>
      <c r="V34" s="59">
        <f t="shared" si="0"/>
        <v>78.097708603545172</v>
      </c>
      <c r="W34" s="59">
        <f t="shared" si="1"/>
        <v>93.525781533611791</v>
      </c>
      <c r="X34" s="59">
        <f t="shared" si="2"/>
        <v>76.099316020610232</v>
      </c>
      <c r="Y34" s="59">
        <f t="shared" si="3"/>
        <v>96.926424703140867</v>
      </c>
    </row>
    <row r="35" spans="1:25" x14ac:dyDescent="0.25">
      <c r="A35" s="3" t="s">
        <v>41</v>
      </c>
      <c r="F35" s="3" t="s">
        <v>31</v>
      </c>
      <c r="P35" s="56">
        <v>44958</v>
      </c>
      <c r="Q35" s="6">
        <v>83.26</v>
      </c>
      <c r="R35" s="6">
        <v>4045.64</v>
      </c>
      <c r="S35" s="6">
        <v>11689.01</v>
      </c>
      <c r="T35" s="6">
        <v>32816.92</v>
      </c>
      <c r="U35" s="56">
        <v>44958</v>
      </c>
      <c r="V35" s="59">
        <f t="shared" si="0"/>
        <v>71.993082576740164</v>
      </c>
      <c r="W35" s="59">
        <f t="shared" si="1"/>
        <v>92.953215971178722</v>
      </c>
      <c r="X35" s="59">
        <f t="shared" si="2"/>
        <v>79.846618663559056</v>
      </c>
      <c r="Y35" s="59">
        <f t="shared" si="3"/>
        <v>95.304270450231527</v>
      </c>
    </row>
    <row r="36" spans="1:25" x14ac:dyDescent="0.25">
      <c r="A36" s="13" t="s">
        <v>42</v>
      </c>
      <c r="B36" s="17">
        <f>SUM(D32:I32)</f>
        <v>15925982163.267269</v>
      </c>
      <c r="C36" t="s">
        <v>45</v>
      </c>
      <c r="F36" t="s">
        <v>33</v>
      </c>
      <c r="G36" s="15">
        <f>B13*B12</f>
        <v>15596980000</v>
      </c>
      <c r="H36" t="s">
        <v>34</v>
      </c>
      <c r="L36" s="3" t="s">
        <v>51</v>
      </c>
      <c r="P36" s="56">
        <v>44986</v>
      </c>
      <c r="Q36" s="6">
        <v>78.27</v>
      </c>
      <c r="R36" s="6">
        <v>3970.99</v>
      </c>
      <c r="S36" s="6">
        <v>11823.96</v>
      </c>
      <c r="T36" s="6">
        <v>33274.15</v>
      </c>
      <c r="U36" s="56">
        <v>44986</v>
      </c>
      <c r="V36" s="59">
        <f t="shared" si="0"/>
        <v>67.678339818417626</v>
      </c>
      <c r="W36" s="59">
        <f t="shared" si="1"/>
        <v>91.238046659957632</v>
      </c>
      <c r="X36" s="59">
        <f t="shared" si="2"/>
        <v>80.768450468703136</v>
      </c>
      <c r="Y36" s="59">
        <f t="shared" si="3"/>
        <v>96.63212119240842</v>
      </c>
    </row>
    <row r="37" spans="1:25" x14ac:dyDescent="0.25">
      <c r="A37" t="s">
        <v>11</v>
      </c>
      <c r="B37" s="19">
        <f>B15</f>
        <v>923000000</v>
      </c>
      <c r="F37" t="s">
        <v>10</v>
      </c>
      <c r="G37" s="14">
        <f>B14</f>
        <v>4050000000</v>
      </c>
      <c r="L37" t="s">
        <v>52</v>
      </c>
      <c r="M37" s="21">
        <f>(B40/B12)-1</f>
        <v>1.3321681332651436</v>
      </c>
      <c r="P37" s="56">
        <v>45017</v>
      </c>
      <c r="Q37" s="6">
        <v>74.52</v>
      </c>
      <c r="R37" s="6">
        <v>4133.5200000000004</v>
      </c>
      <c r="S37" s="6">
        <v>12072.46</v>
      </c>
      <c r="T37" s="6">
        <v>33808.959999999999</v>
      </c>
      <c r="U37" s="56">
        <v>45017</v>
      </c>
      <c r="V37" s="59">
        <f t="shared" si="0"/>
        <v>64.435797665369648</v>
      </c>
      <c r="W37" s="59">
        <f t="shared" si="1"/>
        <v>94.972359696163451</v>
      </c>
      <c r="X37" s="59">
        <f t="shared" si="2"/>
        <v>82.46593252560055</v>
      </c>
      <c r="Y37" s="59">
        <f t="shared" si="3"/>
        <v>98.185273556478165</v>
      </c>
    </row>
    <row r="38" spans="1:25" x14ac:dyDescent="0.25">
      <c r="A38" t="s">
        <v>10</v>
      </c>
      <c r="B38" s="19">
        <f>B14</f>
        <v>4050000000</v>
      </c>
      <c r="C38" s="3"/>
      <c r="F38" t="s">
        <v>11</v>
      </c>
      <c r="G38" s="14">
        <f>B15</f>
        <v>923000000</v>
      </c>
      <c r="L38" t="s">
        <v>53</v>
      </c>
      <c r="M38" s="23">
        <f>IRR(C33:J33)</f>
        <v>0.27144190869658424</v>
      </c>
      <c r="N38" t="s">
        <v>57</v>
      </c>
      <c r="P38" s="56">
        <v>45047</v>
      </c>
      <c r="Q38" s="6">
        <v>73.209999999999994</v>
      </c>
      <c r="R38" s="6">
        <v>4282.37</v>
      </c>
      <c r="S38" s="6">
        <v>13240.77</v>
      </c>
      <c r="T38" s="6">
        <v>33093.339999999997</v>
      </c>
      <c r="U38" s="56">
        <v>45047</v>
      </c>
      <c r="V38" s="59">
        <f t="shared" si="0"/>
        <v>63.30306960657154</v>
      </c>
      <c r="W38" s="59">
        <f t="shared" si="1"/>
        <v>98.392359052831353</v>
      </c>
      <c r="X38" s="59">
        <f t="shared" si="2"/>
        <v>90.446557321953946</v>
      </c>
      <c r="Y38" s="59">
        <f t="shared" si="3"/>
        <v>96.107027273170814</v>
      </c>
    </row>
    <row r="39" spans="1:25" x14ac:dyDescent="0.25">
      <c r="A39" t="s">
        <v>44</v>
      </c>
      <c r="B39" s="17">
        <f>(((B36+B37)-B38)+(M22))/2</f>
        <v>36374779731.173782</v>
      </c>
      <c r="C39" t="s">
        <v>75</v>
      </c>
      <c r="F39" t="s">
        <v>30</v>
      </c>
      <c r="G39" s="13">
        <f>G36+G37-G38</f>
        <v>18723980000</v>
      </c>
      <c r="H39" t="s">
        <v>32</v>
      </c>
      <c r="P39" s="56">
        <v>45078</v>
      </c>
      <c r="Q39" s="6">
        <v>81.95</v>
      </c>
      <c r="R39" s="6">
        <v>4450.38</v>
      </c>
      <c r="S39" s="6">
        <v>13492.52</v>
      </c>
      <c r="T39" s="6">
        <v>33727.43</v>
      </c>
      <c r="U39" s="56">
        <v>45078</v>
      </c>
      <c r="V39" s="59">
        <f t="shared" si="0"/>
        <v>70.860354517942071</v>
      </c>
      <c r="W39" s="59">
        <f t="shared" si="1"/>
        <v>102.25258137002164</v>
      </c>
      <c r="X39" s="59">
        <f t="shared" si="2"/>
        <v>92.166239848408367</v>
      </c>
      <c r="Y39" s="59">
        <f t="shared" si="3"/>
        <v>97.9485006609777</v>
      </c>
    </row>
    <row r="40" spans="1:25" x14ac:dyDescent="0.25">
      <c r="A40" t="s">
        <v>72</v>
      </c>
      <c r="B40" s="20">
        <f>B39/B13</f>
        <v>172.58044186162064</v>
      </c>
      <c r="C40" t="s">
        <v>76</v>
      </c>
      <c r="F40" t="s">
        <v>48</v>
      </c>
      <c r="G40" s="16">
        <f>G39/B13</f>
        <v>88.836077240594008</v>
      </c>
      <c r="H40" t="s">
        <v>49</v>
      </c>
      <c r="L40" s="47" t="s">
        <v>95</v>
      </c>
      <c r="M40" s="48"/>
      <c r="P40" s="56">
        <v>45108</v>
      </c>
      <c r="Q40" s="6">
        <v>82.9</v>
      </c>
      <c r="R40" s="6">
        <v>4582.2299999999996</v>
      </c>
      <c r="S40" s="6">
        <v>14032.81</v>
      </c>
      <c r="T40" s="6">
        <v>35065.620000000003</v>
      </c>
      <c r="U40" s="56">
        <v>45108</v>
      </c>
      <c r="V40" s="59">
        <f t="shared" si="0"/>
        <v>71.681798530047558</v>
      </c>
      <c r="W40" s="59">
        <f t="shared" si="1"/>
        <v>105.28198624188367</v>
      </c>
      <c r="X40" s="59">
        <f t="shared" si="2"/>
        <v>95.856914216702535</v>
      </c>
      <c r="Y40" s="59">
        <f t="shared" si="3"/>
        <v>101.83476487083638</v>
      </c>
    </row>
    <row r="41" spans="1:25" x14ac:dyDescent="0.25">
      <c r="A41" t="s">
        <v>46</v>
      </c>
      <c r="B41" s="22">
        <f>(B40/B12)-1</f>
        <v>1.3321681332651436</v>
      </c>
      <c r="C41" t="s">
        <v>47</v>
      </c>
      <c r="F41" t="s">
        <v>46</v>
      </c>
      <c r="G41" s="21">
        <f>(G40/B12)-1</f>
        <v>0.20048753027829735</v>
      </c>
      <c r="H41" t="s">
        <v>50</v>
      </c>
      <c r="L41" s="49" t="s">
        <v>41</v>
      </c>
      <c r="M41" s="50">
        <f>B40</f>
        <v>172.58044186162064</v>
      </c>
      <c r="P41" s="56">
        <v>45139</v>
      </c>
      <c r="Q41" s="6">
        <v>75.27</v>
      </c>
      <c r="R41" s="6">
        <v>4515.7700000000004</v>
      </c>
      <c r="S41" s="6">
        <v>13590.65</v>
      </c>
      <c r="T41" s="6">
        <v>34837.71</v>
      </c>
      <c r="U41" s="56">
        <v>45139</v>
      </c>
      <c r="V41" s="59">
        <f t="shared" si="0"/>
        <v>65.084306095979244</v>
      </c>
      <c r="W41" s="59">
        <f t="shared" si="1"/>
        <v>103.75499156775436</v>
      </c>
      <c r="X41" s="59">
        <f t="shared" si="2"/>
        <v>92.836557410755816</v>
      </c>
      <c r="Y41" s="59">
        <f t="shared" si="3"/>
        <v>101.1728869042779</v>
      </c>
    </row>
    <row r="42" spans="1:25" x14ac:dyDescent="0.25">
      <c r="L42" s="49" t="s">
        <v>8</v>
      </c>
      <c r="M42" s="50">
        <f>B12</f>
        <v>74</v>
      </c>
      <c r="P42" s="56">
        <v>45170</v>
      </c>
      <c r="Q42" s="6">
        <v>69.47</v>
      </c>
      <c r="R42" s="6">
        <v>4320.0600000000004</v>
      </c>
      <c r="S42" s="6">
        <v>13211.81</v>
      </c>
      <c r="T42" s="6">
        <v>33507.5</v>
      </c>
      <c r="U42" s="56">
        <v>45170</v>
      </c>
      <c r="V42" s="59">
        <f t="shared" si="0"/>
        <v>60.069174232598357</v>
      </c>
      <c r="W42" s="59">
        <f t="shared" si="1"/>
        <v>99.258330001792146</v>
      </c>
      <c r="X42" s="59">
        <f t="shared" si="2"/>
        <v>90.248734060916718</v>
      </c>
      <c r="Y42" s="59">
        <f t="shared" si="3"/>
        <v>97.309797571226454</v>
      </c>
    </row>
    <row r="43" spans="1:25" x14ac:dyDescent="0.25">
      <c r="L43" s="49" t="s">
        <v>99</v>
      </c>
      <c r="M43" s="50">
        <f>(B40-B12)</f>
        <v>98.580441861620642</v>
      </c>
      <c r="P43" s="56">
        <v>45200</v>
      </c>
      <c r="Q43" s="6">
        <v>64.41</v>
      </c>
      <c r="R43" s="6">
        <v>4117.37</v>
      </c>
      <c r="S43" s="6">
        <v>12643.01</v>
      </c>
      <c r="T43" s="6">
        <v>34061.32</v>
      </c>
      <c r="U43" s="56">
        <v>45200</v>
      </c>
      <c r="V43" s="59">
        <f t="shared" si="0"/>
        <v>55.693904020752264</v>
      </c>
      <c r="W43" s="59">
        <f t="shared" si="1"/>
        <v>94.601294935597863</v>
      </c>
      <c r="X43" s="59">
        <f t="shared" si="2"/>
        <v>86.363310342754758</v>
      </c>
      <c r="Y43" s="59">
        <f t="shared" si="3"/>
        <v>98.918157254607692</v>
      </c>
    </row>
    <row r="44" spans="1:25" x14ac:dyDescent="0.25">
      <c r="L44" s="49" t="s">
        <v>100</v>
      </c>
      <c r="M44" s="54">
        <f>((B40-B12)/(B12))</f>
        <v>1.3321681332651438</v>
      </c>
      <c r="P44" s="56">
        <v>45231</v>
      </c>
      <c r="Q44" s="6">
        <v>73.42</v>
      </c>
      <c r="R44" s="6">
        <v>4559.34</v>
      </c>
      <c r="S44" s="6">
        <v>14250.85</v>
      </c>
      <c r="T44" s="6">
        <v>36245.5</v>
      </c>
      <c r="U44" s="56">
        <v>45231</v>
      </c>
      <c r="V44" s="59">
        <f t="shared" si="0"/>
        <v>63.484651967142234</v>
      </c>
      <c r="W44" s="59">
        <f t="shared" si="1"/>
        <v>104.75606225616565</v>
      </c>
      <c r="X44" s="59">
        <f t="shared" si="2"/>
        <v>97.346326641997962</v>
      </c>
      <c r="Y44" s="59">
        <f t="shared" si="3"/>
        <v>105.26127785922222</v>
      </c>
    </row>
    <row r="45" spans="1:25" x14ac:dyDescent="0.25">
      <c r="L45" s="52"/>
      <c r="M45" s="51"/>
      <c r="P45" s="56">
        <v>45261</v>
      </c>
      <c r="Q45" s="6">
        <v>78.28</v>
      </c>
      <c r="R45" s="6">
        <v>4769.83</v>
      </c>
      <c r="S45" s="6">
        <v>14992.97</v>
      </c>
      <c r="T45" s="6">
        <v>37689.54</v>
      </c>
      <c r="U45" s="56">
        <v>45261</v>
      </c>
      <c r="V45" s="59">
        <f t="shared" si="0"/>
        <v>67.686986597492421</v>
      </c>
      <c r="W45" s="59">
        <f t="shared" si="1"/>
        <v>109.59231126244732</v>
      </c>
      <c r="X45" s="59">
        <f t="shared" si="2"/>
        <v>102.41568432435091</v>
      </c>
      <c r="Y45" s="59">
        <f t="shared" si="3"/>
        <v>109.45494316056532</v>
      </c>
    </row>
    <row r="46" spans="1:25" x14ac:dyDescent="0.25">
      <c r="L46" s="52" t="s">
        <v>54</v>
      </c>
      <c r="M46" s="50"/>
      <c r="P46" s="56">
        <v>45292</v>
      </c>
      <c r="Q46" s="6">
        <v>75.69</v>
      </c>
      <c r="R46" s="6">
        <v>4958.6099999999997</v>
      </c>
      <c r="S46" s="6">
        <v>15628.95</v>
      </c>
      <c r="T46" s="6">
        <v>38109.43</v>
      </c>
      <c r="U46" s="56">
        <v>45292</v>
      </c>
      <c r="V46" s="59">
        <f t="shared" si="0"/>
        <v>65.447470817120617</v>
      </c>
      <c r="W46" s="59">
        <f t="shared" si="1"/>
        <v>113.92974813548574</v>
      </c>
      <c r="X46" s="59">
        <f t="shared" si="2"/>
        <v>106.76000882554051</v>
      </c>
      <c r="Y46" s="59">
        <f t="shared" si="3"/>
        <v>110.67435406565171</v>
      </c>
    </row>
    <row r="47" spans="1:25" x14ac:dyDescent="0.25">
      <c r="L47" s="49" t="s">
        <v>41</v>
      </c>
      <c r="M47" s="50">
        <f>B40</f>
        <v>172.58044186162064</v>
      </c>
      <c r="P47" s="56">
        <v>45323</v>
      </c>
      <c r="Q47" s="6">
        <v>77.92</v>
      </c>
      <c r="R47" s="6">
        <v>5137.08</v>
      </c>
      <c r="S47" s="6">
        <v>16274.94</v>
      </c>
      <c r="T47" s="6">
        <v>39087.379999999997</v>
      </c>
      <c r="U47" s="56">
        <v>45323</v>
      </c>
      <c r="V47" s="59">
        <f t="shared" si="0"/>
        <v>67.375702550799815</v>
      </c>
      <c r="W47" s="59">
        <f t="shared" si="1"/>
        <v>118.03030094156246</v>
      </c>
      <c r="X47" s="59">
        <f t="shared" si="2"/>
        <v>111.17271077296571</v>
      </c>
      <c r="Y47" s="59">
        <f t="shared" si="3"/>
        <v>113.51443812249811</v>
      </c>
    </row>
    <row r="48" spans="1:25" x14ac:dyDescent="0.25">
      <c r="L48" s="49" t="s">
        <v>31</v>
      </c>
      <c r="M48" s="50">
        <f>G40</f>
        <v>88.836077240594008</v>
      </c>
      <c r="P48" s="56">
        <v>45352</v>
      </c>
      <c r="Q48" s="6">
        <v>81.66</v>
      </c>
      <c r="R48" s="6">
        <v>5234.18</v>
      </c>
      <c r="S48" s="6">
        <v>16428.82</v>
      </c>
      <c r="T48" s="6">
        <v>39807.370000000003</v>
      </c>
      <c r="U48" s="56">
        <v>45352</v>
      </c>
      <c r="V48" s="59">
        <f t="shared" si="0"/>
        <v>70.609597924773013</v>
      </c>
      <c r="W48" s="59">
        <f t="shared" si="1"/>
        <v>120.26128473418898</v>
      </c>
      <c r="X48" s="59">
        <f t="shared" si="2"/>
        <v>112.22385177463723</v>
      </c>
      <c r="Y48" s="59">
        <f t="shared" si="3"/>
        <v>115.60537540977134</v>
      </c>
    </row>
    <row r="49" spans="12:25" x14ac:dyDescent="0.25">
      <c r="L49" s="49" t="s">
        <v>99</v>
      </c>
      <c r="M49" s="50">
        <f>-(G40-B40)</f>
        <v>83.744364621026634</v>
      </c>
      <c r="P49" s="56">
        <v>45383</v>
      </c>
      <c r="Q49" s="6">
        <v>74.47</v>
      </c>
      <c r="R49" s="6">
        <v>4967.2299999999996</v>
      </c>
      <c r="S49" s="6">
        <v>15282.01</v>
      </c>
      <c r="T49" s="6">
        <v>37986.400000000001</v>
      </c>
      <c r="U49" s="56">
        <v>45383</v>
      </c>
      <c r="V49" s="59">
        <f t="shared" si="0"/>
        <v>64.392563769995675</v>
      </c>
      <c r="W49" s="59">
        <f t="shared" si="1"/>
        <v>114.12780251542847</v>
      </c>
      <c r="X49" s="59">
        <f t="shared" si="2"/>
        <v>104.39009162304561</v>
      </c>
      <c r="Y49" s="59">
        <f t="shared" si="3"/>
        <v>110.31706019427403</v>
      </c>
    </row>
    <row r="50" spans="12:25" x14ac:dyDescent="0.25">
      <c r="L50" s="53" t="s">
        <v>100</v>
      </c>
      <c r="M50" s="55">
        <f>((B40-G40)/(G40))</f>
        <v>0.94268417992188547</v>
      </c>
      <c r="P50" s="56">
        <v>45413</v>
      </c>
      <c r="Q50" s="6">
        <v>71.5</v>
      </c>
      <c r="R50" s="6">
        <v>5277.51</v>
      </c>
      <c r="S50" s="6">
        <v>16735.02</v>
      </c>
      <c r="T50" s="6">
        <v>38686.32</v>
      </c>
      <c r="U50" s="56">
        <v>45413</v>
      </c>
      <c r="V50" s="59">
        <f t="shared" si="0"/>
        <v>61.824470384781669</v>
      </c>
      <c r="W50" s="59">
        <f t="shared" si="1"/>
        <v>121.25684114752065</v>
      </c>
      <c r="X50" s="59">
        <f t="shared" si="2"/>
        <v>114.31547755259292</v>
      </c>
      <c r="Y50" s="59">
        <f t="shared" si="3"/>
        <v>112.34971179514106</v>
      </c>
    </row>
    <row r="51" spans="12:25" x14ac:dyDescent="0.25">
      <c r="P51" s="56">
        <v>45444</v>
      </c>
      <c r="Q51" s="6">
        <v>84.29</v>
      </c>
      <c r="R51" s="6">
        <v>5464.62</v>
      </c>
      <c r="S51" s="6">
        <v>17689.36</v>
      </c>
      <c r="T51" s="6">
        <v>39150.33</v>
      </c>
      <c r="U51" s="56">
        <v>45444</v>
      </c>
      <c r="V51" s="59">
        <f t="shared" si="0"/>
        <v>72.883700821444009</v>
      </c>
      <c r="W51" s="59">
        <f t="shared" si="1"/>
        <v>125.55590785646342</v>
      </c>
      <c r="X51" s="59">
        <f t="shared" si="2"/>
        <v>120.83449174244996</v>
      </c>
      <c r="Y51" s="59">
        <f t="shared" si="3"/>
        <v>113.69725247024441</v>
      </c>
    </row>
    <row r="52" spans="12:25" x14ac:dyDescent="0.25">
      <c r="P52" s="56">
        <v>45474</v>
      </c>
      <c r="Q52" s="6">
        <v>82.36</v>
      </c>
      <c r="R52" s="6">
        <v>5459.1</v>
      </c>
      <c r="S52" s="6">
        <v>17357.88</v>
      </c>
      <c r="T52" s="6">
        <v>40287.53</v>
      </c>
      <c r="U52" s="56">
        <v>45474</v>
      </c>
      <c r="V52" s="59">
        <f t="shared" si="0"/>
        <v>71.214872460008635</v>
      </c>
      <c r="W52" s="59">
        <f t="shared" si="1"/>
        <v>125.42907952963233</v>
      </c>
      <c r="X52" s="59">
        <f t="shared" si="2"/>
        <v>118.5701804659093</v>
      </c>
      <c r="Y52" s="59">
        <f t="shared" si="3"/>
        <v>116.99981762127025</v>
      </c>
    </row>
    <row r="53" spans="12:25" x14ac:dyDescent="0.25">
      <c r="P53" s="56">
        <v>45505</v>
      </c>
      <c r="Q53" s="6">
        <v>88.15</v>
      </c>
      <c r="R53" s="6">
        <v>5648.4</v>
      </c>
      <c r="S53" s="6">
        <v>17877.79</v>
      </c>
      <c r="T53" s="6">
        <v>41175.08</v>
      </c>
      <c r="U53" s="56">
        <v>45505</v>
      </c>
      <c r="V53" s="59">
        <f t="shared" si="0"/>
        <v>76.221357544314742</v>
      </c>
      <c r="W53" s="59">
        <f t="shared" si="1"/>
        <v>129.77846399867656</v>
      </c>
      <c r="X53" s="59">
        <f t="shared" si="2"/>
        <v>122.12164081279677</v>
      </c>
      <c r="Y53" s="59">
        <f t="shared" si="3"/>
        <v>119.57736923909737</v>
      </c>
    </row>
    <row r="54" spans="12:25" x14ac:dyDescent="0.25">
      <c r="P54" s="56">
        <v>45536</v>
      </c>
      <c r="Q54" s="6">
        <v>97.3</v>
      </c>
      <c r="R54" s="6">
        <v>5751.07</v>
      </c>
      <c r="S54" s="6">
        <v>18137.849999999999</v>
      </c>
      <c r="T54" s="6">
        <v>42313</v>
      </c>
      <c r="U54" s="56">
        <v>45536</v>
      </c>
      <c r="V54" s="59">
        <f t="shared" si="0"/>
        <v>84.133160397751823</v>
      </c>
      <c r="W54" s="59">
        <f t="shared" si="1"/>
        <v>132.13742492544242</v>
      </c>
      <c r="X54" s="59">
        <f t="shared" si="2"/>
        <v>123.89808823218003</v>
      </c>
      <c r="Y54" s="59">
        <f t="shared" si="3"/>
        <v>122.88202535645169</v>
      </c>
    </row>
    <row r="55" spans="12:25" x14ac:dyDescent="0.25">
      <c r="P55" s="56">
        <v>45566</v>
      </c>
      <c r="Q55" s="6">
        <v>92.68</v>
      </c>
      <c r="R55" s="6">
        <v>5728.8</v>
      </c>
      <c r="S55" s="6">
        <v>18518.61</v>
      </c>
      <c r="T55" s="6">
        <v>42052.19</v>
      </c>
      <c r="U55" s="56">
        <v>45566</v>
      </c>
      <c r="V55" s="59">
        <f t="shared" si="0"/>
        <v>80.138348465196714</v>
      </c>
      <c r="W55" s="59">
        <f t="shared" si="1"/>
        <v>131.62574615034671</v>
      </c>
      <c r="X55" s="59">
        <f t="shared" si="2"/>
        <v>126.49902693634203</v>
      </c>
      <c r="Y55" s="59">
        <f t="shared" si="3"/>
        <v>122.12460184516164</v>
      </c>
    </row>
    <row r="56" spans="12:25" x14ac:dyDescent="0.25">
      <c r="P56" s="56">
        <v>45597</v>
      </c>
      <c r="Q56" s="6">
        <v>89.54</v>
      </c>
      <c r="R56" s="6">
        <v>5969.34</v>
      </c>
      <c r="S56" s="6">
        <v>19003.650000000001</v>
      </c>
      <c r="T56" s="6">
        <v>44296.51</v>
      </c>
      <c r="U56" s="56">
        <v>45597</v>
      </c>
      <c r="V56" s="59">
        <f t="shared" si="0"/>
        <v>77.423259835711207</v>
      </c>
      <c r="W56" s="59">
        <f t="shared" si="1"/>
        <v>137.15242834888818</v>
      </c>
      <c r="X56" s="59">
        <f t="shared" si="2"/>
        <v>129.81229332216708</v>
      </c>
      <c r="Y56" s="59">
        <f t="shared" si="3"/>
        <v>128.64237622060162</v>
      </c>
    </row>
    <row r="57" spans="12:25" x14ac:dyDescent="0.25">
      <c r="P57" s="56">
        <v>45627</v>
      </c>
      <c r="Q57" s="6">
        <v>88.03</v>
      </c>
      <c r="R57" s="6">
        <v>5942.47</v>
      </c>
      <c r="S57" s="6">
        <v>19722.03</v>
      </c>
      <c r="T57" s="6">
        <v>42840.26</v>
      </c>
      <c r="U57" s="56">
        <v>45627</v>
      </c>
      <c r="V57" s="59">
        <f t="shared" si="0"/>
        <v>76.117596195417207</v>
      </c>
      <c r="W57" s="59">
        <f t="shared" si="1"/>
        <v>136.53505930143325</v>
      </c>
      <c r="X57" s="59">
        <f t="shared" si="2"/>
        <v>134.71948511304822</v>
      </c>
      <c r="Y57" s="59">
        <f t="shared" si="3"/>
        <v>124.41325161527151</v>
      </c>
    </row>
    <row r="58" spans="12:25" x14ac:dyDescent="0.25">
      <c r="P58" s="56">
        <v>45658</v>
      </c>
      <c r="Q58" s="6">
        <v>85.86</v>
      </c>
      <c r="R58" s="6">
        <v>6040.53</v>
      </c>
      <c r="S58" s="6">
        <v>19627.439999999999</v>
      </c>
      <c r="T58" s="6">
        <v>44424.25</v>
      </c>
      <c r="U58" s="56">
        <v>45658</v>
      </c>
      <c r="V58" s="59">
        <f t="shared" si="0"/>
        <v>74.241245136186762</v>
      </c>
      <c r="W58" s="59">
        <f t="shared" si="1"/>
        <v>138.78810019437819</v>
      </c>
      <c r="X58" s="59">
        <f t="shared" si="2"/>
        <v>134.07334898523359</v>
      </c>
      <c r="Y58" s="59">
        <f t="shared" si="3"/>
        <v>129.01334849671139</v>
      </c>
    </row>
    <row r="59" spans="12:25" x14ac:dyDescent="0.25">
      <c r="P59" s="56">
        <v>45689</v>
      </c>
      <c r="Q59" s="6">
        <v>89.91</v>
      </c>
      <c r="R59" s="6">
        <v>5954.5</v>
      </c>
      <c r="S59" s="6">
        <v>19524.009999999998</v>
      </c>
      <c r="T59" s="6">
        <v>43840.91</v>
      </c>
      <c r="U59" s="56">
        <v>45689</v>
      </c>
      <c r="V59" s="59">
        <f t="shared" si="0"/>
        <v>77.743190661478593</v>
      </c>
      <c r="W59" s="59">
        <f t="shared" si="1"/>
        <v>136.81146233979882</v>
      </c>
      <c r="X59" s="59">
        <f t="shared" si="2"/>
        <v>133.36682758022397</v>
      </c>
      <c r="Y59" s="59">
        <f t="shared" si="3"/>
        <v>127.31925919386281</v>
      </c>
    </row>
    <row r="60" spans="12:25" x14ac:dyDescent="0.25">
      <c r="P60" s="56">
        <v>45717</v>
      </c>
      <c r="Q60" s="6">
        <v>73.56</v>
      </c>
      <c r="R60" s="6">
        <v>5074.08</v>
      </c>
      <c r="S60" s="6">
        <v>15587.79</v>
      </c>
      <c r="T60" s="6">
        <v>38314.86</v>
      </c>
      <c r="U60" s="56">
        <v>45717</v>
      </c>
      <c r="V60" s="59">
        <f t="shared" si="0"/>
        <v>63.605706874189359</v>
      </c>
      <c r="W60" s="59">
        <f t="shared" si="1"/>
        <v>116.58280373316423</v>
      </c>
      <c r="X60" s="59">
        <f t="shared" si="2"/>
        <v>106.47884841724316</v>
      </c>
      <c r="Y60" s="59">
        <f t="shared" si="3"/>
        <v>111.27094741684344</v>
      </c>
    </row>
    <row r="61" spans="12:25" x14ac:dyDescent="0.25">
      <c r="P61" s="56">
        <v>45748</v>
      </c>
      <c r="Q61" s="6">
        <v>67.709999999999994</v>
      </c>
      <c r="R61" s="6">
        <v>5282.7</v>
      </c>
      <c r="S61" s="6">
        <v>16286.45</v>
      </c>
      <c r="T61" s="6">
        <v>39142.230000000003</v>
      </c>
      <c r="U61" s="56">
        <v>45748</v>
      </c>
      <c r="V61" s="59">
        <f t="shared" si="0"/>
        <v>58.547341115434492</v>
      </c>
      <c r="W61" s="59">
        <f t="shared" si="1"/>
        <v>121.37608734611725</v>
      </c>
      <c r="X61" s="59">
        <f t="shared" si="2"/>
        <v>111.25133458976606</v>
      </c>
      <c r="Y61" s="59">
        <f t="shared" si="3"/>
        <v>113.6737290990491</v>
      </c>
    </row>
    <row r="62" spans="12:25" x14ac:dyDescent="0.25">
      <c r="P62" s="56">
        <v>45778</v>
      </c>
      <c r="Q62" s="6">
        <v>69.92</v>
      </c>
      <c r="R62" s="6">
        <v>5802.82</v>
      </c>
      <c r="S62" s="6">
        <v>19113.77</v>
      </c>
      <c r="T62" s="6">
        <v>41603.07</v>
      </c>
      <c r="U62" s="56">
        <v>45778</v>
      </c>
      <c r="V62" s="59">
        <f t="shared" si="0"/>
        <v>60.458279290964114</v>
      </c>
      <c r="W62" s="59">
        <f t="shared" si="1"/>
        <v>133.32644048948382</v>
      </c>
      <c r="X62" s="59">
        <f t="shared" si="2"/>
        <v>130.56451353989561</v>
      </c>
      <c r="Y62" s="59">
        <f t="shared" si="3"/>
        <v>120.82030351537907</v>
      </c>
    </row>
    <row r="63" spans="12:25" x14ac:dyDescent="0.25">
      <c r="P63" s="56">
        <v>45809</v>
      </c>
      <c r="Q63" s="6">
        <v>68.22</v>
      </c>
      <c r="R63" s="6">
        <v>6279.35</v>
      </c>
      <c r="S63" s="6">
        <v>19447.41</v>
      </c>
      <c r="T63" s="6">
        <v>42206.82</v>
      </c>
      <c r="U63" s="56">
        <v>45809</v>
      </c>
      <c r="V63" s="59">
        <f t="shared" si="0"/>
        <v>58.988326848249031</v>
      </c>
      <c r="W63" s="59">
        <f t="shared" si="1"/>
        <v>144.27526342151577</v>
      </c>
      <c r="X63" s="59">
        <f t="shared" si="2"/>
        <v>132.84357959004956</v>
      </c>
      <c r="Y63" s="59">
        <f t="shared" si="3"/>
        <v>122.57366590540005</v>
      </c>
    </row>
    <row r="64" spans="12:25" x14ac:dyDescent="0.25">
      <c r="P64" s="56">
        <v>45839</v>
      </c>
      <c r="Q64" s="6">
        <v>64.12</v>
      </c>
      <c r="R64" s="6">
        <v>6238.01</v>
      </c>
      <c r="S64" s="6">
        <v>20650.13</v>
      </c>
      <c r="T64" s="6">
        <v>44901.919999999998</v>
      </c>
      <c r="U64" s="56">
        <v>45839</v>
      </c>
      <c r="V64" s="59">
        <f t="shared" si="0"/>
        <v>55.443147427583227</v>
      </c>
      <c r="W64" s="59">
        <f t="shared" si="1"/>
        <v>143.32542953905255</v>
      </c>
      <c r="X64" s="59">
        <f t="shared" si="2"/>
        <v>141.05925612715885</v>
      </c>
      <c r="Y64" s="59">
        <f t="shared" si="3"/>
        <v>130.40055944965766</v>
      </c>
    </row>
    <row r="65" spans="16:25" x14ac:dyDescent="0.25">
      <c r="P65" s="56">
        <v>45870</v>
      </c>
      <c r="Q65" s="6">
        <v>73.64</v>
      </c>
      <c r="R65" s="6">
        <v>6460.26</v>
      </c>
      <c r="S65" s="6">
        <v>21496.54</v>
      </c>
      <c r="T65" s="6">
        <v>45544.88</v>
      </c>
      <c r="U65" s="56">
        <v>45870</v>
      </c>
      <c r="V65" s="59">
        <f t="shared" si="0"/>
        <v>63.674881106787716</v>
      </c>
      <c r="W65" s="59">
        <f t="shared" si="1"/>
        <v>148.43187802423523</v>
      </c>
      <c r="X65" s="59">
        <f t="shared" si="2"/>
        <v>146.84100980031192</v>
      </c>
      <c r="Y65" s="59">
        <f t="shared" si="3"/>
        <v>132.26779238098337</v>
      </c>
    </row>
    <row r="66" spans="16:25" x14ac:dyDescent="0.25">
      <c r="P66" s="56">
        <v>45901</v>
      </c>
      <c r="Q66" s="6">
        <v>72.23</v>
      </c>
      <c r="R66" s="6">
        <v>6715.79</v>
      </c>
      <c r="S66" s="6">
        <v>22780.51</v>
      </c>
      <c r="T66" s="6">
        <v>46758.28</v>
      </c>
      <c r="U66" s="56">
        <v>45901</v>
      </c>
      <c r="V66" s="59">
        <f t="shared" si="0"/>
        <v>62.455685257241676</v>
      </c>
      <c r="W66" s="59">
        <f t="shared" si="1"/>
        <v>154.30297265379082</v>
      </c>
      <c r="X66" s="59">
        <f t="shared" si="2"/>
        <v>155.61169807634639</v>
      </c>
      <c r="Y66" s="59">
        <f t="shared" si="3"/>
        <v>135.7916514684392</v>
      </c>
    </row>
    <row r="67" spans="16:25" x14ac:dyDescent="0.25">
      <c r="P67" s="56">
        <v>45931</v>
      </c>
      <c r="Q67" s="6">
        <v>83.26</v>
      </c>
      <c r="R67" s="6">
        <v>6840.2</v>
      </c>
      <c r="S67" s="6">
        <v>23204.87</v>
      </c>
      <c r="T67" s="6">
        <v>47207.12</v>
      </c>
      <c r="U67" s="56">
        <v>45931</v>
      </c>
      <c r="V67" s="59">
        <f t="shared" si="0"/>
        <v>71.993082576740164</v>
      </c>
      <c r="W67" s="59">
        <f t="shared" si="1"/>
        <v>157.16143499818486</v>
      </c>
      <c r="X67" s="59">
        <f t="shared" si="2"/>
        <v>158.5104646182578</v>
      </c>
      <c r="Y67" s="59">
        <f t="shared" si="3"/>
        <v>137.09513664464959</v>
      </c>
    </row>
    <row r="68" spans="16:25" x14ac:dyDescent="0.25">
      <c r="P68" s="56">
        <v>45962</v>
      </c>
      <c r="Q68" s="6">
        <v>79.28</v>
      </c>
      <c r="R68" s="6">
        <v>6849.09</v>
      </c>
      <c r="S68" s="6">
        <v>23365.69</v>
      </c>
      <c r="T68" s="6">
        <v>46245.41</v>
      </c>
      <c r="U68" s="56">
        <v>45962</v>
      </c>
      <c r="V68" s="59">
        <f t="shared" si="0"/>
        <v>68.551664504971896</v>
      </c>
      <c r="W68" s="59">
        <f t="shared" si="1"/>
        <v>157.3656929375922</v>
      </c>
      <c r="X68" s="59">
        <f t="shared" si="2"/>
        <v>159.60901216107567</v>
      </c>
      <c r="Y68" s="59">
        <f t="shared" si="3"/>
        <v>134.30221549498984</v>
      </c>
    </row>
    <row r="69" spans="16:25" x14ac:dyDescent="0.25">
      <c r="P69" s="56">
        <v>45992</v>
      </c>
      <c r="Q69" s="6">
        <v>69.180000000000007</v>
      </c>
      <c r="R69" s="6">
        <v>6929.94</v>
      </c>
      <c r="S69" s="6">
        <v>23593.1</v>
      </c>
      <c r="T69" s="6">
        <v>48134.89</v>
      </c>
      <c r="U69" s="56">
        <v>45992</v>
      </c>
      <c r="V69" s="59">
        <f t="shared" si="0"/>
        <v>59.818417639429313</v>
      </c>
      <c r="W69" s="59">
        <f t="shared" si="1"/>
        <v>159.22331435503659</v>
      </c>
      <c r="X69" s="59">
        <f t="shared" si="2"/>
        <v>161.16243024783236</v>
      </c>
      <c r="Y69" s="59">
        <f t="shared" si="3"/>
        <v>139.78949196488105</v>
      </c>
    </row>
    <row r="70" spans="16:25" x14ac:dyDescent="0.25">
      <c r="P70" s="56">
        <v>46023</v>
      </c>
      <c r="Q70" s="6">
        <v>67.05</v>
      </c>
      <c r="R70" s="6">
        <v>6939.03</v>
      </c>
      <c r="S70" s="6">
        <v>23461.82</v>
      </c>
      <c r="T70" s="6">
        <v>49098.71</v>
      </c>
      <c r="U70" s="56">
        <v>46023</v>
      </c>
      <c r="V70" s="59">
        <f t="shared" si="0"/>
        <v>57.976653696498047</v>
      </c>
      <c r="W70" s="59">
        <f t="shared" si="1"/>
        <v>159.4321675236769</v>
      </c>
      <c r="X70" s="59">
        <f t="shared" si="2"/>
        <v>160.26566789600344</v>
      </c>
      <c r="Y70" s="59">
        <f t="shared" si="3"/>
        <v>142.58854080753122</v>
      </c>
    </row>
    <row r="71" spans="16:25" x14ac:dyDescent="0.25">
      <c r="P71" s="56">
        <v>46054</v>
      </c>
      <c r="Q71" s="6">
        <v>61.97</v>
      </c>
      <c r="R71" s="6">
        <v>6909.51</v>
      </c>
      <c r="S71" s="6">
        <v>22668.21</v>
      </c>
      <c r="T71" s="6">
        <v>48977.919999999998</v>
      </c>
      <c r="U71" s="56">
        <v>46054</v>
      </c>
      <c r="V71" s="59">
        <f t="shared" si="0"/>
        <v>53.584089926502379</v>
      </c>
      <c r="W71" s="59">
        <f t="shared" si="1"/>
        <v>158.75391168888459</v>
      </c>
      <c r="X71" s="59">
        <f t="shared" si="2"/>
        <v>154.84458646673036</v>
      </c>
      <c r="Y71" s="59">
        <f t="shared" si="3"/>
        <v>142.23775216473098</v>
      </c>
    </row>
    <row r="72" spans="16:25" x14ac:dyDescent="0.25">
      <c r="P72" s="56">
        <v>46082</v>
      </c>
      <c r="Q72" s="6">
        <v>62.98</v>
      </c>
      <c r="R72" s="6">
        <v>6368.85</v>
      </c>
      <c r="S72" s="6">
        <v>20948.36</v>
      </c>
      <c r="T72" s="6">
        <v>45577.47</v>
      </c>
      <c r="U72" s="56">
        <v>46082</v>
      </c>
      <c r="V72" s="59">
        <f t="shared" si="0"/>
        <v>54.457414613056635</v>
      </c>
      <c r="W72" s="59">
        <f t="shared" si="1"/>
        <v>146.3316285032879</v>
      </c>
      <c r="X72" s="59">
        <f t="shared" si="2"/>
        <v>143.09643952284702</v>
      </c>
      <c r="Y72" s="59">
        <f t="shared" si="3"/>
        <v>132.36243764854575</v>
      </c>
    </row>
    <row r="73" spans="16:25" x14ac:dyDescent="0.25">
      <c r="P73" s="56">
        <v>46113</v>
      </c>
      <c r="Q73" s="6">
        <v>60.05</v>
      </c>
      <c r="R73" s="6">
        <v>7123.06</v>
      </c>
      <c r="S73" s="6">
        <v>24468.48</v>
      </c>
      <c r="T73" s="6">
        <v>49447.43</v>
      </c>
      <c r="U73" s="56">
        <v>46113</v>
      </c>
      <c r="V73" s="59">
        <f t="shared" si="0"/>
        <v>51.9239083441418</v>
      </c>
      <c r="W73" s="59">
        <f t="shared" si="1"/>
        <v>163.66046770243133</v>
      </c>
      <c r="X73" s="59">
        <f t="shared" si="2"/>
        <v>167.14207549115977</v>
      </c>
      <c r="Y73" s="59">
        <f t="shared" si="3"/>
        <v>143.60126549928793</v>
      </c>
    </row>
    <row r="74" spans="16:25" x14ac:dyDescent="0.25">
      <c r="P74" s="56">
        <v>46143</v>
      </c>
      <c r="Q74" s="6">
        <v>77.95</v>
      </c>
      <c r="R74" s="6">
        <v>7473.47</v>
      </c>
      <c r="S74" s="6">
        <v>26343.97</v>
      </c>
      <c r="T74" s="6">
        <v>50579.7</v>
      </c>
      <c r="U74" s="56">
        <v>46143</v>
      </c>
      <c r="V74" s="59">
        <f t="shared" si="0"/>
        <v>67.401642888024199</v>
      </c>
      <c r="W74" s="59">
        <f t="shared" si="1"/>
        <v>171.71153908012701</v>
      </c>
      <c r="X74" s="59">
        <f t="shared" si="2"/>
        <v>179.95338584484401</v>
      </c>
      <c r="Y74" s="59">
        <f t="shared" si="3"/>
        <v>146.88951333920352</v>
      </c>
    </row>
    <row r="75" spans="16:25" x14ac:dyDescent="0.25">
      <c r="P75" s="56">
        <v>46174</v>
      </c>
      <c r="Q75" s="60">
        <v>75.150000000000006</v>
      </c>
      <c r="R75" s="6">
        <v>7425.29</v>
      </c>
      <c r="S75" s="6">
        <v>25883.49</v>
      </c>
      <c r="T75" s="6">
        <v>51200.15</v>
      </c>
      <c r="U75" s="56">
        <v>46174</v>
      </c>
      <c r="V75" s="59">
        <f t="shared" si="0"/>
        <v>64.980544747081709</v>
      </c>
      <c r="W75" s="59">
        <f t="shared" si="1"/>
        <v>170.60454835789483</v>
      </c>
      <c r="X75" s="59">
        <f t="shared" si="2"/>
        <v>176.80788669973288</v>
      </c>
      <c r="Y75" s="59">
        <f t="shared" si="3"/>
        <v>148.69137453156549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FDBC-651F-4559-95BC-D621139526EB}">
  <dimension ref="A1"/>
  <sheetViews>
    <sheetView showGridLines="0" workbookViewId="0">
      <selection activeCell="B2" sqref="B2:C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 Input</vt:lpstr>
      <vt:lpstr>Base Assumptions</vt:lpstr>
      <vt:lpstr>Bear Assumptions</vt:lpstr>
      <vt:lpstr>Bull Assumptions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 Wallace</dc:creator>
  <cp:keywords/>
  <dc:description/>
  <cp:lastModifiedBy>Ty Wallace</cp:lastModifiedBy>
  <cp:revision/>
  <cp:lastPrinted>2026-05-14T15:37:58Z</cp:lastPrinted>
  <dcterms:created xsi:type="dcterms:W3CDTF">2026-04-12T21:29:31Z</dcterms:created>
  <dcterms:modified xsi:type="dcterms:W3CDTF">2026-08-31T23:42:03Z</dcterms:modified>
  <cp:category/>
  <cp:contentStatus/>
</cp:coreProperties>
</file>