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5968E7A4-DB8B-4CD8-9EFD-BFAD16CA3EE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I21" i="1"/>
  <c r="E21" i="1"/>
  <c r="C19" i="4"/>
  <c r="H21" i="2"/>
  <c r="G21" i="2"/>
  <c r="F21" i="2"/>
  <c r="G21" i="1"/>
  <c r="H21" i="1" s="1"/>
  <c r="F21" i="1"/>
  <c r="C22" i="4"/>
  <c r="C24" i="4" s="1"/>
  <c r="C18" i="4"/>
  <c r="C12" i="4"/>
  <c r="C14" i="4" s="1"/>
  <c r="M48" i="1"/>
  <c r="M42" i="1"/>
  <c r="M48" i="2"/>
  <c r="M42" i="2"/>
  <c r="M48" i="3"/>
  <c r="M42" i="3"/>
  <c r="T9" i="3"/>
  <c r="T9" i="2"/>
  <c r="T9" i="1"/>
  <c r="F21" i="3"/>
  <c r="G21" i="3" s="1"/>
  <c r="H21" i="3" s="1"/>
  <c r="I21" i="3" s="1"/>
  <c r="I21" i="2"/>
  <c r="E21" i="2"/>
  <c r="C13" i="4" l="1"/>
  <c r="C28" i="4" s="1"/>
  <c r="B7" i="1" s="1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E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D23" i="3"/>
  <c r="Y22" i="3"/>
  <c r="X22" i="3"/>
  <c r="W22" i="3"/>
  <c r="V22" i="3"/>
  <c r="D22" i="3"/>
  <c r="D24" i="3" s="1"/>
  <c r="Y21" i="3"/>
  <c r="X21" i="3"/>
  <c r="W21" i="3"/>
  <c r="V21" i="3"/>
  <c r="E22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E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Y22" i="2"/>
  <c r="X22" i="2"/>
  <c r="W22" i="2"/>
  <c r="V22" i="2"/>
  <c r="D22" i="2"/>
  <c r="D23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8" i="1"/>
  <c r="V17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Y16" i="1"/>
  <c r="X16" i="1"/>
  <c r="W16" i="1"/>
  <c r="V16" i="1"/>
  <c r="D24" i="2" l="1"/>
  <c r="D28" i="2" s="1"/>
  <c r="D28" i="3"/>
  <c r="Q7" i="3" s="1"/>
  <c r="C32" i="3"/>
  <c r="G40" i="3"/>
  <c r="C30" i="3"/>
  <c r="E24" i="3"/>
  <c r="E23" i="3"/>
  <c r="E25" i="3"/>
  <c r="Q7" i="2"/>
  <c r="D30" i="2"/>
  <c r="D32" i="2" s="1"/>
  <c r="C32" i="2"/>
  <c r="G40" i="2"/>
  <c r="C30" i="2"/>
  <c r="E24" i="2"/>
  <c r="E28" i="2" s="1"/>
  <c r="E23" i="2"/>
  <c r="E25" i="2"/>
  <c r="G36" i="1"/>
  <c r="D27" i="1"/>
  <c r="D26" i="1"/>
  <c r="D25" i="1"/>
  <c r="D22" i="1"/>
  <c r="D24" i="1" s="1"/>
  <c r="E28" i="3" l="1"/>
  <c r="E30" i="3" s="1"/>
  <c r="E32" i="3" s="1"/>
  <c r="D30" i="3"/>
  <c r="D32" i="3" s="1"/>
  <c r="G41" i="3"/>
  <c r="F25" i="3"/>
  <c r="F27" i="3"/>
  <c r="F26" i="3"/>
  <c r="F22" i="3"/>
  <c r="E30" i="2"/>
  <c r="E32" i="2" s="1"/>
  <c r="Q8" i="2"/>
  <c r="G41" i="2"/>
  <c r="F25" i="2"/>
  <c r="F27" i="2"/>
  <c r="F26" i="2"/>
  <c r="F22" i="2"/>
  <c r="D23" i="1"/>
  <c r="D28" i="1"/>
  <c r="Q8" i="3" l="1"/>
  <c r="G27" i="3"/>
  <c r="G26" i="3"/>
  <c r="G22" i="3"/>
  <c r="G25" i="3"/>
  <c r="F23" i="3"/>
  <c r="F24" i="3"/>
  <c r="F28" i="3" s="1"/>
  <c r="G27" i="2"/>
  <c r="G26" i="2"/>
  <c r="G22" i="2"/>
  <c r="G25" i="2"/>
  <c r="F24" i="2"/>
  <c r="F28" i="2" s="1"/>
  <c r="F23" i="2"/>
  <c r="E27" i="1"/>
  <c r="E25" i="1"/>
  <c r="E22" i="1"/>
  <c r="E26" i="1"/>
  <c r="B38" i="1"/>
  <c r="F30" i="3" l="1"/>
  <c r="F32" i="3" s="1"/>
  <c r="Q9" i="3"/>
  <c r="G23" i="3"/>
  <c r="G24" i="3"/>
  <c r="G28" i="3" s="1"/>
  <c r="H26" i="3"/>
  <c r="H22" i="3"/>
  <c r="H25" i="3"/>
  <c r="H27" i="3"/>
  <c r="F30" i="2"/>
  <c r="F32" i="2" s="1"/>
  <c r="Q9" i="2"/>
  <c r="G24" i="2"/>
  <c r="G28" i="2" s="1"/>
  <c r="G23" i="2"/>
  <c r="H27" i="2"/>
  <c r="H26" i="2"/>
  <c r="H22" i="2"/>
  <c r="H25" i="2"/>
  <c r="F27" i="1"/>
  <c r="F25" i="1"/>
  <c r="F22" i="1"/>
  <c r="F26" i="1"/>
  <c r="E23" i="1"/>
  <c r="E24" i="1"/>
  <c r="E28" i="1" s="1"/>
  <c r="M38" i="1"/>
  <c r="B37" i="1"/>
  <c r="G37" i="1"/>
  <c r="G38" i="1"/>
  <c r="E31" i="1"/>
  <c r="F31" i="1"/>
  <c r="G31" i="1"/>
  <c r="H31" i="1"/>
  <c r="I31" i="1"/>
  <c r="D31" i="1"/>
  <c r="H24" i="3" l="1"/>
  <c r="H28" i="3" s="1"/>
  <c r="H23" i="3"/>
  <c r="I26" i="3"/>
  <c r="I22" i="3"/>
  <c r="I25" i="3"/>
  <c r="I27" i="3"/>
  <c r="Q10" i="3"/>
  <c r="G30" i="3"/>
  <c r="G32" i="3" s="1"/>
  <c r="H24" i="2"/>
  <c r="H28" i="2" s="1"/>
  <c r="H23" i="2"/>
  <c r="G30" i="2"/>
  <c r="G32" i="2" s="1"/>
  <c r="Q10" i="2"/>
  <c r="I27" i="2"/>
  <c r="I26" i="2"/>
  <c r="I22" i="2"/>
  <c r="I25" i="2"/>
  <c r="G22" i="1"/>
  <c r="G25" i="1"/>
  <c r="G26" i="1"/>
  <c r="G27" i="1"/>
  <c r="F24" i="1"/>
  <c r="F28" i="1" s="1"/>
  <c r="F23" i="1"/>
  <c r="G39" i="1"/>
  <c r="C30" i="1" s="1"/>
  <c r="M21" i="3" l="1"/>
  <c r="M21" i="2"/>
  <c r="I24" i="3"/>
  <c r="I28" i="3" s="1"/>
  <c r="I23" i="3"/>
  <c r="Q11" i="3"/>
  <c r="H30" i="3"/>
  <c r="H32" i="3" s="1"/>
  <c r="I23" i="2"/>
  <c r="I24" i="2"/>
  <c r="I28" i="2" s="1"/>
  <c r="H30" i="2"/>
  <c r="H32" i="2" s="1"/>
  <c r="Q11" i="2"/>
  <c r="G23" i="1"/>
  <c r="G24" i="1"/>
  <c r="G28" i="1" s="1"/>
  <c r="H25" i="1"/>
  <c r="H26" i="1"/>
  <c r="H22" i="1"/>
  <c r="H27" i="1"/>
  <c r="Q7" i="1"/>
  <c r="G40" i="1"/>
  <c r="G41" i="1" s="1"/>
  <c r="C32" i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I25" i="1"/>
  <c r="I22" i="1"/>
  <c r="I26" i="1"/>
  <c r="I27" i="1"/>
  <c r="H24" i="1"/>
  <c r="H28" i="1" s="1"/>
  <c r="H23" i="1"/>
  <c r="D30" i="1"/>
  <c r="D32" i="1" s="1"/>
  <c r="E30" i="1"/>
  <c r="E32" i="1" s="1"/>
  <c r="Q8" i="1"/>
  <c r="J30" i="3" l="1"/>
  <c r="J30" i="2"/>
  <c r="B39" i="2"/>
  <c r="B40" i="2" s="1"/>
  <c r="B39" i="3"/>
  <c r="B40" i="3" s="1"/>
  <c r="I24" i="1"/>
  <c r="I28" i="1" s="1"/>
  <c r="I23" i="1"/>
  <c r="M21" i="1"/>
  <c r="F30" i="1"/>
  <c r="F32" i="1" s="1"/>
  <c r="Q9" i="1"/>
  <c r="M50" i="3" l="1"/>
  <c r="T7" i="3"/>
  <c r="M47" i="3"/>
  <c r="M43" i="3"/>
  <c r="M41" i="3"/>
  <c r="M49" i="3"/>
  <c r="M44" i="3"/>
  <c r="B41" i="2"/>
  <c r="M49" i="2"/>
  <c r="T7" i="2"/>
  <c r="M44" i="2"/>
  <c r="M43" i="2"/>
  <c r="M41" i="2"/>
  <c r="M50" i="2"/>
  <c r="M47" i="2"/>
  <c r="M37" i="2"/>
  <c r="B41" i="3"/>
  <c r="M37" i="3"/>
  <c r="G30" i="1"/>
  <c r="G32" i="1" s="1"/>
  <c r="Q10" i="1"/>
  <c r="H30" i="1" l="1"/>
  <c r="H32" i="1" s="1"/>
  <c r="Q11" i="1"/>
  <c r="Q12" i="1"/>
  <c r="M20" i="1" l="1"/>
  <c r="M22" i="1" s="1"/>
  <c r="I30" i="1"/>
  <c r="I32" i="1" s="1"/>
  <c r="B36" i="1" s="1"/>
  <c r="B39" i="1" l="1"/>
  <c r="B40" i="1" s="1"/>
  <c r="J30" i="1"/>
  <c r="J32" i="1"/>
  <c r="M47" i="1" l="1"/>
  <c r="M49" i="1"/>
  <c r="M44" i="1"/>
  <c r="M41" i="1"/>
  <c r="T7" i="1"/>
  <c r="M43" i="1"/>
  <c r="M50" i="1"/>
  <c r="M37" i="1"/>
  <c r="B41" i="1"/>
</calcChain>
</file>

<file path=xl/sharedStrings.xml><?xml version="1.0" encoding="utf-8"?>
<sst xmlns="http://schemas.openxmlformats.org/spreadsheetml/2006/main" count="345" uniqueCount="129">
  <si>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</si>
  <si>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</si>
  <si>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</si>
  <si>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</si>
  <si>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</si>
  <si>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</si>
  <si>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</si>
  <si>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</si>
  <si>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</si>
  <si>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</si>
  <si>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</si>
  <si>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</si>
  <si>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</si>
  <si>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</si>
  <si>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</si>
  <si>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</si>
  <si>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</si>
  <si>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</si>
  <si>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</si>
  <si>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</si>
  <si>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</si>
  <si>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</si>
  <si>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</si>
  <si>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</si>
  <si>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</si>
  <si>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</si>
  <si>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</si>
  <si>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</si>
  <si>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</si>
  <si>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</si>
  <si>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</si>
  <si>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</si>
  <si>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</si>
  <si>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</si>
  <si>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</si>
  <si>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</si>
  <si>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</si>
  <si>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</si>
  <si>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</si>
  <si>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</si>
  <si>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</si>
  <si>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</si>
  <si>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</si>
  <si>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</si>
  <si>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</si>
  <si>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</si>
  <si>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(Intrinsic Equity Value/Shares Outstanding)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</si>
  <si>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</si>
  <si>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</si>
  <si>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</si>
  <si>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</si>
  <si>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</si>
  <si>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</si>
  <si>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</si>
  <si>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</si>
  <si>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</si>
  <si>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</si>
  <si>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</si>
  <si>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</si>
  <si>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</si>
  <si>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</si>
  <si>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</si>
  <si>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</si>
  <si>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</si>
  <si>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</si>
  <si>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</si>
  <si>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</si>
  <si>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</si>
  <si>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</si>
  <si>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</si>
  <si>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</si>
  <si>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</si>
  <si>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</si>
  <si>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(Following previous trend logic)</t>
  </si>
  <si>
    <t>Perpetual Growth Equity Value per Share</t>
  </si>
  <si>
    <t>Mid to end of month closing price</t>
  </si>
  <si>
    <t>16.0x</t>
  </si>
  <si>
    <t>(5% of Revenue)</t>
  </si>
  <si>
    <t>(1% of Revenue)</t>
  </si>
  <si>
    <t>(9% of Revenue)</t>
  </si>
  <si>
    <t>64,523,160,000 (9% of Revenue)</t>
  </si>
  <si>
    <t>Amazon Corp</t>
  </si>
  <si>
    <t>(Intrinsic EV + Cash - Debt + Average Growth Terminal Value) / 2</t>
  </si>
  <si>
    <t>(Revenue * 0.25)</t>
  </si>
  <si>
    <t>Amazon Indexed</t>
  </si>
  <si>
    <t>(as of May 2026)</t>
  </si>
  <si>
    <t>EBIT Margin</t>
  </si>
  <si>
    <t>*base-case assumptions</t>
  </si>
  <si>
    <t>*bear-case assumptions</t>
  </si>
  <si>
    <t>*bull-case assumptions</t>
  </si>
  <si>
    <t>13.0x</t>
  </si>
  <si>
    <t>(4% of Revenue)</t>
  </si>
  <si>
    <t>(10% of Revenue)</t>
  </si>
  <si>
    <t>(2% of Revenue)</t>
  </si>
  <si>
    <t>71,692,400,000 (10% of Revenue)</t>
  </si>
  <si>
    <t>Downside</t>
  </si>
  <si>
    <t>19.0x</t>
  </si>
  <si>
    <t>(0.5% of Revenue)</t>
  </si>
  <si>
    <t>(8% of Revenue)</t>
  </si>
  <si>
    <t>(6% of Revenue)</t>
  </si>
  <si>
    <t>(Revenue * 0.3)</t>
  </si>
  <si>
    <t>57,353,920,000 (8% of Revenue)</t>
  </si>
  <si>
    <t>Intrinsic Value vs Current Price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</si>
  <si>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</si>
  <si>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</si>
  <si>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</si>
  <si>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</si>
  <si>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</si>
  <si>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</si>
  <si>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</si>
  <si>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</si>
  <si>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</si>
  <si>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</si>
  <si>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</si>
  <si>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</si>
  <si>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</si>
  <si>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</si>
  <si>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</si>
  <si>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</si>
  <si>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</si>
  <si>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</si>
  <si>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</si>
  <si>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</si>
  <si>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</si>
  <si>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</si>
  <si>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AMZN</t>
  </si>
  <si>
    <t>Risk-Free Rate + (Beta x Market Risk Premium)</t>
  </si>
  <si>
    <t>Market Risk Premium (assuming 9% return)</t>
  </si>
  <si>
    <t>(Revenue * 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</si>
</sst>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top"/>
    </xf>
    <xf numFmtId="6" fontId="0" fillId="0" borderId="0" xfId="0" applyNumberFormat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top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9" fontId="3" fillId="3" borderId="0" xfId="0" applyNumberFormat="1" applyFont="1" applyFill="1" applyAlignment="1">
      <alignment horizontal="left"/>
    </xf>
    <xf numFmtId="0" fontId="0" fillId="0" borderId="5" xfId="0" applyBorder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9" fontId="0" fillId="3" borderId="0" xfId="0" applyNumberFormat="1" applyFill="1" applyAlignment="1">
      <alignment horizontal="left"/>
    </xf>
    <xf numFmtId="170" fontId="0" fillId="0" borderId="0" xfId="0" applyNumberFormat="1" applyAlignment="1">
      <alignment horizontal="right"/>
    </xf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132630940000</c:v>
                </c:pt>
                <c:pt idx="1">
                  <c:v>153851890400</c:v>
                </c:pt>
                <c:pt idx="2">
                  <c:v>176929673960</c:v>
                </c:pt>
                <c:pt idx="3">
                  <c:v>199930531574.79996</c:v>
                </c:pt>
                <c:pt idx="4">
                  <c:v>223922195363.77591</c:v>
                </c:pt>
                <c:pt idx="5">
                  <c:v>244075192946.51581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288.05108546064491</c:v>
                </c:pt>
                <c:pt idx="1">
                  <c:v>21.05</c:v>
                </c:pt>
                <c:pt idx="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AMZN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Amazon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108.86668748048704</c:v>
                </c:pt>
                <c:pt idx="2">
                  <c:v>114.16172338432719</c:v>
                </c:pt>
                <c:pt idx="3">
                  <c:v>99.906337808304713</c:v>
                </c:pt>
                <c:pt idx="4">
                  <c:v>106.94973462379021</c:v>
                </c:pt>
                <c:pt idx="5">
                  <c:v>104.13986887293163</c:v>
                </c:pt>
                <c:pt idx="6">
                  <c:v>114.7861379956291</c:v>
                </c:pt>
                <c:pt idx="7">
                  <c:v>106.81860755541679</c:v>
                </c:pt>
                <c:pt idx="8">
                  <c:v>89.066500156103643</c:v>
                </c:pt>
                <c:pt idx="9">
                  <c:v>95.285669684670609</c:v>
                </c:pt>
                <c:pt idx="10">
                  <c:v>100.68685607243208</c:v>
                </c:pt>
                <c:pt idx="11">
                  <c:v>90.134249141429905</c:v>
                </c:pt>
                <c:pt idx="12">
                  <c:v>67.180768029971901</c:v>
                </c:pt>
                <c:pt idx="13">
                  <c:v>72.719325632219793</c:v>
                </c:pt>
                <c:pt idx="14">
                  <c:v>76.440836715579138</c:v>
                </c:pt>
                <c:pt idx="15">
                  <c:v>86.312831720262238</c:v>
                </c:pt>
                <c:pt idx="16">
                  <c:v>71.045894473930687</c:v>
                </c:pt>
                <c:pt idx="17">
                  <c:v>74.505151420543243</c:v>
                </c:pt>
                <c:pt idx="18">
                  <c:v>58.782391507961286</c:v>
                </c:pt>
                <c:pt idx="19">
                  <c:v>53.231345613487356</c:v>
                </c:pt>
                <c:pt idx="20">
                  <c:v>60.724320949110208</c:v>
                </c:pt>
                <c:pt idx="21">
                  <c:v>60.693100218545112</c:v>
                </c:pt>
                <c:pt idx="22">
                  <c:v>61.785825788323443</c:v>
                </c:pt>
                <c:pt idx="23">
                  <c:v>66.787386824851694</c:v>
                </c:pt>
                <c:pt idx="24">
                  <c:v>72.58819856384639</c:v>
                </c:pt>
                <c:pt idx="25">
                  <c:v>80.755541679675318</c:v>
                </c:pt>
                <c:pt idx="26">
                  <c:v>81.173899469247573</c:v>
                </c:pt>
                <c:pt idx="27">
                  <c:v>83.184514517639712</c:v>
                </c:pt>
                <c:pt idx="28">
                  <c:v>80.624414611301916</c:v>
                </c:pt>
                <c:pt idx="29">
                  <c:v>78.157976896659378</c:v>
                </c:pt>
                <c:pt idx="30">
                  <c:v>90.65251326881048</c:v>
                </c:pt>
                <c:pt idx="31">
                  <c:v>95.797689665938165</c:v>
                </c:pt>
                <c:pt idx="32">
                  <c:v>96.996565719637843</c:v>
                </c:pt>
                <c:pt idx="33">
                  <c:v>109.26631283172026</c:v>
                </c:pt>
                <c:pt idx="34">
                  <c:v>111.68904152357165</c:v>
                </c:pt>
                <c:pt idx="35">
                  <c:v>109.04152357165158</c:v>
                </c:pt>
                <c:pt idx="36">
                  <c:v>112.86294099281923</c:v>
                </c:pt>
                <c:pt idx="37">
                  <c:v>118.0643147049641</c:v>
                </c:pt>
                <c:pt idx="38">
                  <c:v>114.34904776771775</c:v>
                </c:pt>
                <c:pt idx="39">
                  <c:v>110.54636278488917</c:v>
                </c:pt>
                <c:pt idx="40">
                  <c:v>119.63783952544489</c:v>
                </c:pt>
                <c:pt idx="41">
                  <c:v>118.00811738994692</c:v>
                </c:pt>
                <c:pt idx="42">
                  <c:v>123.08460817983141</c:v>
                </c:pt>
                <c:pt idx="43">
                  <c:v>140.44333437402435</c:v>
                </c:pt>
                <c:pt idx="44">
                  <c:v>146.64377146425224</c:v>
                </c:pt>
                <c:pt idx="45">
                  <c:v>135.23571651576646</c:v>
                </c:pt>
                <c:pt idx="46">
                  <c:v>122.51639088354666</c:v>
                </c:pt>
                <c:pt idx="47">
                  <c:v>107.78020605682173</c:v>
                </c:pt>
                <c:pt idx="48">
                  <c:v>125.50109272556978</c:v>
                </c:pt>
                <c:pt idx="49">
                  <c:v>130.93349984389636</c:v>
                </c:pt>
                <c:pt idx="50">
                  <c:v>141.19887605369965</c:v>
                </c:pt>
                <c:pt idx="51">
                  <c:v>142.8910396503278</c:v>
                </c:pt>
                <c:pt idx="52">
                  <c:v>144.53949422416483</c:v>
                </c:pt>
                <c:pt idx="53">
                  <c:v>140</c:v>
                </c:pt>
                <c:pt idx="54">
                  <c:v>137.80206056821729</c:v>
                </c:pt>
                <c:pt idx="55">
                  <c:v>141.96066187948796</c:v>
                </c:pt>
                <c:pt idx="56">
                  <c:v>149.33499843896348</c:v>
                </c:pt>
                <c:pt idx="57">
                  <c:v>131.19575398064316</c:v>
                </c:pt>
                <c:pt idx="58">
                  <c:v>128.23602872307211</c:v>
                </c:pt>
                <c:pt idx="59">
                  <c:v>164.83921323758977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75993944000</c:v>
                </c:pt>
                <c:pt idx="1">
                  <c:v>83593338400.000015</c:v>
                </c:pt>
                <c:pt idx="2">
                  <c:v>91116738856.000031</c:v>
                </c:pt>
                <c:pt idx="3">
                  <c:v>98406077964.480026</c:v>
                </c:pt>
                <c:pt idx="4">
                  <c:v>105294503421.99367</c:v>
                </c:pt>
                <c:pt idx="5">
                  <c:v>110559228593.09334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B-48A8-B285-A11A026A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4-4EA1-AB86-BFE38D5C42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135.45292223967519</c:v>
                </c:pt>
                <c:pt idx="1">
                  <c:v>131.55000000000001</c:v>
                </c:pt>
                <c:pt idx="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4-4EA1-AB86-BFE38D5C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AMZN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Amazon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108.86668748048704</c:v>
                </c:pt>
                <c:pt idx="2">
                  <c:v>114.16172338432719</c:v>
                </c:pt>
                <c:pt idx="3">
                  <c:v>99.906337808304713</c:v>
                </c:pt>
                <c:pt idx="4">
                  <c:v>106.94973462379021</c:v>
                </c:pt>
                <c:pt idx="5">
                  <c:v>104.13986887293163</c:v>
                </c:pt>
                <c:pt idx="6">
                  <c:v>114.7861379956291</c:v>
                </c:pt>
                <c:pt idx="7">
                  <c:v>106.81860755541679</c:v>
                </c:pt>
                <c:pt idx="8">
                  <c:v>89.066500156103643</c:v>
                </c:pt>
                <c:pt idx="9">
                  <c:v>95.285669684670609</c:v>
                </c:pt>
                <c:pt idx="10">
                  <c:v>100.68685607243208</c:v>
                </c:pt>
                <c:pt idx="11">
                  <c:v>90.134249141429905</c:v>
                </c:pt>
                <c:pt idx="12">
                  <c:v>67.180768029971901</c:v>
                </c:pt>
                <c:pt idx="13">
                  <c:v>72.719325632219793</c:v>
                </c:pt>
                <c:pt idx="14">
                  <c:v>76.440836715579138</c:v>
                </c:pt>
                <c:pt idx="15">
                  <c:v>86.312831720262238</c:v>
                </c:pt>
                <c:pt idx="16">
                  <c:v>71.045894473930687</c:v>
                </c:pt>
                <c:pt idx="17">
                  <c:v>74.505151420543243</c:v>
                </c:pt>
                <c:pt idx="18">
                  <c:v>58.782391507961286</c:v>
                </c:pt>
                <c:pt idx="19">
                  <c:v>53.231345613487356</c:v>
                </c:pt>
                <c:pt idx="20">
                  <c:v>60.724320949110208</c:v>
                </c:pt>
                <c:pt idx="21">
                  <c:v>60.693100218545112</c:v>
                </c:pt>
                <c:pt idx="22">
                  <c:v>61.785825788323443</c:v>
                </c:pt>
                <c:pt idx="23">
                  <c:v>66.787386824851694</c:v>
                </c:pt>
                <c:pt idx="24">
                  <c:v>72.58819856384639</c:v>
                </c:pt>
                <c:pt idx="25">
                  <c:v>80.755541679675318</c:v>
                </c:pt>
                <c:pt idx="26">
                  <c:v>81.173899469247573</c:v>
                </c:pt>
                <c:pt idx="27">
                  <c:v>83.184514517639712</c:v>
                </c:pt>
                <c:pt idx="28">
                  <c:v>80.624414611301916</c:v>
                </c:pt>
                <c:pt idx="29">
                  <c:v>78.157976896659378</c:v>
                </c:pt>
                <c:pt idx="30">
                  <c:v>90.65251326881048</c:v>
                </c:pt>
                <c:pt idx="31">
                  <c:v>95.797689665938165</c:v>
                </c:pt>
                <c:pt idx="32">
                  <c:v>96.996565719637843</c:v>
                </c:pt>
                <c:pt idx="33">
                  <c:v>109.26631283172026</c:v>
                </c:pt>
                <c:pt idx="34">
                  <c:v>111.68904152357165</c:v>
                </c:pt>
                <c:pt idx="35">
                  <c:v>109.04152357165158</c:v>
                </c:pt>
                <c:pt idx="36">
                  <c:v>112.86294099281923</c:v>
                </c:pt>
                <c:pt idx="37">
                  <c:v>118.0643147049641</c:v>
                </c:pt>
                <c:pt idx="38">
                  <c:v>114.34904776771775</c:v>
                </c:pt>
                <c:pt idx="39">
                  <c:v>110.54636278488917</c:v>
                </c:pt>
                <c:pt idx="40">
                  <c:v>119.63783952544489</c:v>
                </c:pt>
                <c:pt idx="41">
                  <c:v>118.00811738994692</c:v>
                </c:pt>
                <c:pt idx="42">
                  <c:v>123.08460817983141</c:v>
                </c:pt>
                <c:pt idx="43">
                  <c:v>140.44333437402435</c:v>
                </c:pt>
                <c:pt idx="44">
                  <c:v>146.64377146425224</c:v>
                </c:pt>
                <c:pt idx="45">
                  <c:v>135.23571651576646</c:v>
                </c:pt>
                <c:pt idx="46">
                  <c:v>122.51639088354666</c:v>
                </c:pt>
                <c:pt idx="47">
                  <c:v>107.78020605682173</c:v>
                </c:pt>
                <c:pt idx="48">
                  <c:v>125.50109272556978</c:v>
                </c:pt>
                <c:pt idx="49">
                  <c:v>130.93349984389636</c:v>
                </c:pt>
                <c:pt idx="50">
                  <c:v>141.19887605369965</c:v>
                </c:pt>
                <c:pt idx="51">
                  <c:v>142.8910396503278</c:v>
                </c:pt>
                <c:pt idx="52">
                  <c:v>144.53949422416483</c:v>
                </c:pt>
                <c:pt idx="53">
                  <c:v>140</c:v>
                </c:pt>
                <c:pt idx="54">
                  <c:v>137.80206056821729</c:v>
                </c:pt>
                <c:pt idx="55">
                  <c:v>141.96066187948796</c:v>
                </c:pt>
                <c:pt idx="56">
                  <c:v>149.33499843896348</c:v>
                </c:pt>
                <c:pt idx="57">
                  <c:v>131.19575398064316</c:v>
                </c:pt>
                <c:pt idx="58">
                  <c:v>128.23602872307211</c:v>
                </c:pt>
                <c:pt idx="59">
                  <c:v>164.83921323758977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A-449C-B787-2EA2445D015D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A-449C-B787-2EA2445D015D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A-449C-B787-2EA2445D015D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A-449C-B787-2EA2445D0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186400240000</c:v>
                </c:pt>
                <c:pt idx="1">
                  <c:v>219952283200</c:v>
                </c:pt>
                <c:pt idx="2">
                  <c:v>252945125679.99994</c:v>
                </c:pt>
                <c:pt idx="3">
                  <c:v>293416345788.79993</c:v>
                </c:pt>
                <c:pt idx="4">
                  <c:v>328626307283.45593</c:v>
                </c:pt>
                <c:pt idx="5">
                  <c:v>361488938011.80157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F-4EBD-9DB3-A9703B388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F7-4170-A506-0E84DD74DB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476.16793485471521</c:v>
                </c:pt>
                <c:pt idx="1">
                  <c:v>209.17</c:v>
                </c:pt>
                <c:pt idx="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F7-4170-A506-0E84DD74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AMZN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Amazon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108.86668748048704</c:v>
                </c:pt>
                <c:pt idx="2">
                  <c:v>114.16172338432719</c:v>
                </c:pt>
                <c:pt idx="3">
                  <c:v>99.906337808304713</c:v>
                </c:pt>
                <c:pt idx="4">
                  <c:v>106.94973462379021</c:v>
                </c:pt>
                <c:pt idx="5">
                  <c:v>104.13986887293163</c:v>
                </c:pt>
                <c:pt idx="6">
                  <c:v>114.7861379956291</c:v>
                </c:pt>
                <c:pt idx="7">
                  <c:v>106.81860755541679</c:v>
                </c:pt>
                <c:pt idx="8">
                  <c:v>89.066500156103643</c:v>
                </c:pt>
                <c:pt idx="9">
                  <c:v>95.285669684670609</c:v>
                </c:pt>
                <c:pt idx="10">
                  <c:v>100.68685607243208</c:v>
                </c:pt>
                <c:pt idx="11">
                  <c:v>90.134249141429905</c:v>
                </c:pt>
                <c:pt idx="12">
                  <c:v>67.180768029971901</c:v>
                </c:pt>
                <c:pt idx="13">
                  <c:v>72.719325632219793</c:v>
                </c:pt>
                <c:pt idx="14">
                  <c:v>76.440836715579138</c:v>
                </c:pt>
                <c:pt idx="15">
                  <c:v>86.312831720262238</c:v>
                </c:pt>
                <c:pt idx="16">
                  <c:v>71.045894473930687</c:v>
                </c:pt>
                <c:pt idx="17">
                  <c:v>74.505151420543243</c:v>
                </c:pt>
                <c:pt idx="18">
                  <c:v>58.782391507961286</c:v>
                </c:pt>
                <c:pt idx="19">
                  <c:v>53.231345613487356</c:v>
                </c:pt>
                <c:pt idx="20">
                  <c:v>60.724320949110208</c:v>
                </c:pt>
                <c:pt idx="21">
                  <c:v>60.693100218545112</c:v>
                </c:pt>
                <c:pt idx="22">
                  <c:v>61.785825788323443</c:v>
                </c:pt>
                <c:pt idx="23">
                  <c:v>66.787386824851694</c:v>
                </c:pt>
                <c:pt idx="24">
                  <c:v>72.58819856384639</c:v>
                </c:pt>
                <c:pt idx="25">
                  <c:v>80.755541679675318</c:v>
                </c:pt>
                <c:pt idx="26">
                  <c:v>81.173899469247573</c:v>
                </c:pt>
                <c:pt idx="27">
                  <c:v>83.184514517639712</c:v>
                </c:pt>
                <c:pt idx="28">
                  <c:v>80.624414611301916</c:v>
                </c:pt>
                <c:pt idx="29">
                  <c:v>78.157976896659378</c:v>
                </c:pt>
                <c:pt idx="30">
                  <c:v>90.65251326881048</c:v>
                </c:pt>
                <c:pt idx="31">
                  <c:v>95.797689665938165</c:v>
                </c:pt>
                <c:pt idx="32">
                  <c:v>96.996565719637843</c:v>
                </c:pt>
                <c:pt idx="33">
                  <c:v>109.26631283172026</c:v>
                </c:pt>
                <c:pt idx="34">
                  <c:v>111.68904152357165</c:v>
                </c:pt>
                <c:pt idx="35">
                  <c:v>109.04152357165158</c:v>
                </c:pt>
                <c:pt idx="36">
                  <c:v>112.86294099281923</c:v>
                </c:pt>
                <c:pt idx="37">
                  <c:v>118.0643147049641</c:v>
                </c:pt>
                <c:pt idx="38">
                  <c:v>114.34904776771775</c:v>
                </c:pt>
                <c:pt idx="39">
                  <c:v>110.54636278488917</c:v>
                </c:pt>
                <c:pt idx="40">
                  <c:v>119.63783952544489</c:v>
                </c:pt>
                <c:pt idx="41">
                  <c:v>118.00811738994692</c:v>
                </c:pt>
                <c:pt idx="42">
                  <c:v>123.08460817983141</c:v>
                </c:pt>
                <c:pt idx="43">
                  <c:v>140.44333437402435</c:v>
                </c:pt>
                <c:pt idx="44">
                  <c:v>146.64377146425224</c:v>
                </c:pt>
                <c:pt idx="45">
                  <c:v>135.23571651576646</c:v>
                </c:pt>
                <c:pt idx="46">
                  <c:v>122.51639088354666</c:v>
                </c:pt>
                <c:pt idx="47">
                  <c:v>107.78020605682173</c:v>
                </c:pt>
                <c:pt idx="48">
                  <c:v>125.50109272556978</c:v>
                </c:pt>
                <c:pt idx="49">
                  <c:v>130.93349984389636</c:v>
                </c:pt>
                <c:pt idx="50">
                  <c:v>141.19887605369965</c:v>
                </c:pt>
                <c:pt idx="51">
                  <c:v>142.8910396503278</c:v>
                </c:pt>
                <c:pt idx="52">
                  <c:v>144.53949422416483</c:v>
                </c:pt>
                <c:pt idx="53">
                  <c:v>140</c:v>
                </c:pt>
                <c:pt idx="54">
                  <c:v>137.80206056821729</c:v>
                </c:pt>
                <c:pt idx="55">
                  <c:v>141.96066187948796</c:v>
                </c:pt>
                <c:pt idx="56">
                  <c:v>149.33499843896348</c:v>
                </c:pt>
                <c:pt idx="57">
                  <c:v>131.19575398064316</c:v>
                </c:pt>
                <c:pt idx="58">
                  <c:v>128.23602872307211</c:v>
                </c:pt>
                <c:pt idx="59">
                  <c:v>164.83921323758977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F-4367-9214-7392B0DEDF78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F-4367-9214-7392B0DEDF78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AF-4367-9214-7392B0DEDF78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AF-4367-9214-7392B0DE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3B8AC-8538-4701-BEF8-6E7573071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B2FB6-8A3A-4C95-BD3C-168EB8478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19B6C7-D390-4A0E-A09F-0A5B7D27F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FA9C7-3BEC-4BED-8011-A3854A70E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279AC3-52D6-403F-8E4E-028F328C6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B0DA16-4141-45B6-9BCA-20DDA04A6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1702-99B7-40D6-946D-1332B30A4E05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105</v>
      </c>
    </row>
    <row r="3" spans="2:3" x14ac:dyDescent="0.25">
      <c r="B3" s="61" t="s">
        <v>106</v>
      </c>
      <c r="C3" s="62" t="s">
        <v>125</v>
      </c>
    </row>
    <row r="4" spans="2:3" x14ac:dyDescent="0.25">
      <c r="B4" s="63" t="s">
        <v>107</v>
      </c>
      <c r="C4" s="64">
        <v>1.45</v>
      </c>
    </row>
    <row r="5" spans="2:3" x14ac:dyDescent="0.25">
      <c r="B5" s="63" t="s">
        <v>33</v>
      </c>
      <c r="C5" s="65">
        <v>2670000000000</v>
      </c>
    </row>
    <row r="6" spans="2:3" x14ac:dyDescent="0.25">
      <c r="B6" s="63" t="s">
        <v>108</v>
      </c>
      <c r="C6" s="65">
        <v>65000000000</v>
      </c>
    </row>
    <row r="7" spans="2:3" x14ac:dyDescent="0.25">
      <c r="B7" s="63" t="s">
        <v>109</v>
      </c>
      <c r="C7" s="65">
        <v>3330000000</v>
      </c>
    </row>
    <row r="8" spans="2:3" x14ac:dyDescent="0.25">
      <c r="B8" s="63" t="s">
        <v>110</v>
      </c>
      <c r="C8" s="66">
        <v>0.06</v>
      </c>
    </row>
    <row r="9" spans="2:3" x14ac:dyDescent="0.25">
      <c r="B9" s="42" t="s">
        <v>111</v>
      </c>
      <c r="C9" s="67">
        <v>4.36E-2</v>
      </c>
    </row>
    <row r="11" spans="2:3" x14ac:dyDescent="0.25">
      <c r="B11" s="3" t="s">
        <v>112</v>
      </c>
    </row>
    <row r="12" spans="2:3" x14ac:dyDescent="0.25">
      <c r="B12" t="s">
        <v>113</v>
      </c>
      <c r="C12" s="68">
        <f>C5+C6</f>
        <v>2735000000000</v>
      </c>
    </row>
    <row r="13" spans="2:3" x14ac:dyDescent="0.25">
      <c r="B13" t="s">
        <v>114</v>
      </c>
      <c r="C13" s="69">
        <f>C5/C12</f>
        <v>0.97623400365630708</v>
      </c>
    </row>
    <row r="14" spans="2:3" x14ac:dyDescent="0.25">
      <c r="B14" t="s">
        <v>115</v>
      </c>
      <c r="C14" s="69">
        <f>C6/C12</f>
        <v>2.376599634369287E-2</v>
      </c>
    </row>
    <row r="16" spans="2:3" ht="18" x14ac:dyDescent="0.35">
      <c r="B16" s="3" t="s">
        <v>116</v>
      </c>
    </row>
    <row r="17" spans="2:3" x14ac:dyDescent="0.25">
      <c r="B17" t="s">
        <v>117</v>
      </c>
      <c r="C17" t="s">
        <v>126</v>
      </c>
    </row>
    <row r="18" spans="2:3" x14ac:dyDescent="0.25">
      <c r="B18" t="s">
        <v>127</v>
      </c>
      <c r="C18" s="18">
        <f>9%-C9</f>
        <v>4.6399999999999997E-2</v>
      </c>
    </row>
    <row r="19" spans="2:3" x14ac:dyDescent="0.25">
      <c r="B19" t="s">
        <v>118</v>
      </c>
      <c r="C19" s="18">
        <f>C9+(1.45*C18)</f>
        <v>0.11087999999999999</v>
      </c>
    </row>
    <row r="21" spans="2:3" ht="18" x14ac:dyDescent="0.35">
      <c r="B21" s="3" t="s">
        <v>119</v>
      </c>
    </row>
    <row r="22" spans="2:3" x14ac:dyDescent="0.25">
      <c r="B22" t="s">
        <v>120</v>
      </c>
      <c r="C22" s="69">
        <f>C7/C6</f>
        <v>5.1230769230769233E-2</v>
      </c>
    </row>
    <row r="23" spans="2:3" x14ac:dyDescent="0.25">
      <c r="B23" t="s">
        <v>121</v>
      </c>
      <c r="C23" t="s">
        <v>122</v>
      </c>
    </row>
    <row r="24" spans="2:3" x14ac:dyDescent="0.25">
      <c r="B24" t="s">
        <v>118</v>
      </c>
      <c r="C24" s="69">
        <f>C22*(1-C8)</f>
        <v>4.8156923076923076E-2</v>
      </c>
    </row>
    <row r="26" spans="2:3" x14ac:dyDescent="0.25">
      <c r="B26" s="3" t="s">
        <v>123</v>
      </c>
    </row>
    <row r="27" spans="2:3" ht="18" x14ac:dyDescent="0.35">
      <c r="B27" t="s">
        <v>117</v>
      </c>
      <c r="C27" t="s">
        <v>124</v>
      </c>
    </row>
    <row r="28" spans="2:3" x14ac:dyDescent="0.25">
      <c r="B28" t="s">
        <v>118</v>
      </c>
      <c r="C28" s="18">
        <f>(C13*C19)+(C14*C24)</f>
        <v>0.10938932358318097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64</v>
      </c>
    </row>
    <row r="5" spans="1:26" x14ac:dyDescent="0.25">
      <c r="A5" s="32" t="s">
        <v>1</v>
      </c>
      <c r="B5" s="33"/>
      <c r="C5" s="34"/>
      <c r="P5" t="s">
        <v>59</v>
      </c>
    </row>
    <row r="6" spans="1:26" x14ac:dyDescent="0.25">
      <c r="A6" s="35" t="s">
        <v>2</v>
      </c>
      <c r="B6" s="36">
        <v>0.06</v>
      </c>
      <c r="C6" s="37"/>
      <c r="P6" t="s">
        <v>60</v>
      </c>
      <c r="Q6" t="s">
        <v>61</v>
      </c>
      <c r="S6" t="s">
        <v>62</v>
      </c>
      <c r="T6" t="s">
        <v>63</v>
      </c>
    </row>
    <row r="7" spans="1:26" x14ac:dyDescent="0.25">
      <c r="A7" s="35" t="s">
        <v>3</v>
      </c>
      <c r="B7" s="45">
        <f>'WACC Input'!C28</f>
        <v>0.10938932358318097</v>
      </c>
      <c r="C7" s="37"/>
      <c r="P7">
        <v>2026</v>
      </c>
      <c r="Q7" s="22">
        <f>D28</f>
        <v>132630940000</v>
      </c>
      <c r="R7" s="22"/>
      <c r="S7" t="s">
        <v>41</v>
      </c>
      <c r="T7" s="14">
        <f>B40</f>
        <v>288.05108546064491</v>
      </c>
    </row>
    <row r="8" spans="1:26" x14ac:dyDescent="0.25">
      <c r="A8" s="35" t="s">
        <v>4</v>
      </c>
      <c r="B8" s="45">
        <v>3.5000000000000003E-2</v>
      </c>
      <c r="C8" s="37"/>
      <c r="P8">
        <v>2027</v>
      </c>
      <c r="Q8" s="22">
        <f>E28</f>
        <v>153851890400</v>
      </c>
      <c r="R8" s="22"/>
      <c r="S8" t="s">
        <v>56</v>
      </c>
      <c r="T8" s="14">
        <v>21.05</v>
      </c>
    </row>
    <row r="9" spans="1:26" x14ac:dyDescent="0.25">
      <c r="A9" s="35" t="s">
        <v>5</v>
      </c>
      <c r="B9" s="38" t="s">
        <v>76</v>
      </c>
      <c r="C9" s="37"/>
      <c r="P9">
        <v>2028</v>
      </c>
      <c r="Q9" s="22">
        <f>F28</f>
        <v>176929673960</v>
      </c>
      <c r="R9" s="22"/>
      <c r="S9" t="s">
        <v>8</v>
      </c>
      <c r="T9" s="14">
        <f>B12</f>
        <v>267</v>
      </c>
    </row>
    <row r="10" spans="1:26" x14ac:dyDescent="0.25">
      <c r="A10" s="35" t="s">
        <v>6</v>
      </c>
      <c r="B10" s="39">
        <v>46157</v>
      </c>
      <c r="C10" s="37"/>
      <c r="P10">
        <v>2029</v>
      </c>
      <c r="Q10" s="22">
        <f>G28</f>
        <v>199930531574.79996</v>
      </c>
      <c r="R10" s="22"/>
    </row>
    <row r="11" spans="1:26" x14ac:dyDescent="0.25">
      <c r="A11" s="35" t="s">
        <v>7</v>
      </c>
      <c r="B11" s="39">
        <v>46387</v>
      </c>
      <c r="C11" s="37"/>
      <c r="P11">
        <v>2030</v>
      </c>
      <c r="Q11" s="22">
        <f>H28</f>
        <v>223922195363.77591</v>
      </c>
      <c r="R11" s="22"/>
    </row>
    <row r="12" spans="1:26" x14ac:dyDescent="0.25">
      <c r="A12" s="35" t="s">
        <v>8</v>
      </c>
      <c r="B12" s="40">
        <v>267</v>
      </c>
      <c r="C12" s="37" t="s">
        <v>85</v>
      </c>
      <c r="P12">
        <v>2031</v>
      </c>
      <c r="Q12" s="22">
        <f>I28</f>
        <v>244075192946.51581</v>
      </c>
      <c r="R12" s="22"/>
    </row>
    <row r="13" spans="1:26" x14ac:dyDescent="0.25">
      <c r="A13" s="35" t="s">
        <v>9</v>
      </c>
      <c r="B13" s="41">
        <v>10000000000</v>
      </c>
      <c r="C13" s="37"/>
    </row>
    <row r="14" spans="1:26" x14ac:dyDescent="0.25">
      <c r="A14" s="35" t="s">
        <v>10</v>
      </c>
      <c r="B14" s="40">
        <v>65000000000</v>
      </c>
      <c r="C14" s="37"/>
      <c r="P14" s="6" t="s">
        <v>16</v>
      </c>
      <c r="Q14" s="6" t="s">
        <v>81</v>
      </c>
      <c r="R14" s="6" t="s">
        <v>65</v>
      </c>
      <c r="S14" s="6" t="s">
        <v>71</v>
      </c>
      <c r="T14" s="6" t="s">
        <v>66</v>
      </c>
      <c r="U14" s="6" t="s">
        <v>16</v>
      </c>
      <c r="V14" s="6" t="s">
        <v>84</v>
      </c>
      <c r="W14" s="6" t="s">
        <v>67</v>
      </c>
      <c r="X14" s="6" t="s">
        <v>72</v>
      </c>
      <c r="Y14" s="6" t="s">
        <v>68</v>
      </c>
      <c r="Z14" t="s">
        <v>69</v>
      </c>
    </row>
    <row r="15" spans="1:26" x14ac:dyDescent="0.25">
      <c r="A15" s="35" t="s">
        <v>11</v>
      </c>
      <c r="B15" s="40">
        <v>143000000000</v>
      </c>
      <c r="C15" s="37"/>
      <c r="P15" s="56">
        <v>44317</v>
      </c>
      <c r="Q15" s="57">
        <v>160.15</v>
      </c>
      <c r="R15" s="6">
        <v>4229.8900000000003</v>
      </c>
      <c r="S15" s="6">
        <v>13814.49</v>
      </c>
      <c r="T15" s="6">
        <v>34529.449999999997</v>
      </c>
      <c r="U15" s="56">
        <v>44317</v>
      </c>
      <c r="V15" s="58">
        <v>100</v>
      </c>
      <c r="W15" s="58">
        <v>100</v>
      </c>
      <c r="X15" s="58">
        <v>100</v>
      </c>
      <c r="Y15" s="58">
        <v>100</v>
      </c>
      <c r="Z15" t="s">
        <v>70</v>
      </c>
    </row>
    <row r="16" spans="1:26" x14ac:dyDescent="0.25">
      <c r="A16" s="35" t="s">
        <v>12</v>
      </c>
      <c r="B16" s="40" t="s">
        <v>80</v>
      </c>
      <c r="C16" s="37"/>
      <c r="P16" s="56">
        <v>44348</v>
      </c>
      <c r="Q16" s="6">
        <v>174.35</v>
      </c>
      <c r="R16" s="6">
        <v>4352.34</v>
      </c>
      <c r="S16" s="6">
        <v>14639.33</v>
      </c>
      <c r="T16" s="6">
        <v>34433.839999999997</v>
      </c>
      <c r="U16" s="56">
        <v>44348</v>
      </c>
      <c r="V16" s="59">
        <f>(Q16/$Q$15)*100</f>
        <v>108.86668748048704</v>
      </c>
      <c r="W16" s="59">
        <f>(R16/$R$15)*100</f>
        <v>102.89487433479356</v>
      </c>
      <c r="X16" s="59">
        <f>(S16/$S$15)*100</f>
        <v>105.97083207559599</v>
      </c>
      <c r="Y16" s="59">
        <f>(T16/$T$15)*100</f>
        <v>99.723105928417624</v>
      </c>
      <c r="Z16" t="s">
        <v>75</v>
      </c>
    </row>
    <row r="17" spans="1:25" x14ac:dyDescent="0.25">
      <c r="A17" s="42" t="s">
        <v>87</v>
      </c>
      <c r="B17" s="43"/>
      <c r="C17" s="44"/>
      <c r="P17" s="56">
        <v>44378</v>
      </c>
      <c r="Q17" s="6">
        <v>182.83</v>
      </c>
      <c r="R17" s="6">
        <v>4395.26</v>
      </c>
      <c r="S17" s="6">
        <v>14672.68</v>
      </c>
      <c r="T17" s="6">
        <v>35061.550000000003</v>
      </c>
      <c r="U17" s="56">
        <v>44378</v>
      </c>
      <c r="V17" s="59">
        <f>(Q17/$Q$15)*100</f>
        <v>114.16172338432719</v>
      </c>
      <c r="W17" s="59">
        <f t="shared" ref="W17:W75" si="0">(R17/$R$15)*100</f>
        <v>103.90955793176656</v>
      </c>
      <c r="X17" s="59">
        <f t="shared" ref="X17:X75" si="1">(S17/$S$15)*100</f>
        <v>106.21224525842069</v>
      </c>
      <c r="Y17" s="59">
        <f t="shared" ref="Y17:Y75" si="2">(T17/$T$15)*100</f>
        <v>101.54100340434039</v>
      </c>
    </row>
    <row r="18" spans="1:25" x14ac:dyDescent="0.25">
      <c r="P18" s="56">
        <v>44409</v>
      </c>
      <c r="Q18" s="6">
        <v>160</v>
      </c>
      <c r="R18" s="6">
        <v>4509.37</v>
      </c>
      <c r="S18" s="6">
        <v>14714.66</v>
      </c>
      <c r="T18" s="6">
        <v>35120.080000000002</v>
      </c>
      <c r="U18" s="56">
        <v>44409</v>
      </c>
      <c r="V18" s="59">
        <f>(Q18/$Q$15)*100</f>
        <v>99.906337808304713</v>
      </c>
      <c r="W18" s="59">
        <f t="shared" si="0"/>
        <v>106.60726401868605</v>
      </c>
      <c r="X18" s="59">
        <f t="shared" si="1"/>
        <v>106.51612907895984</v>
      </c>
      <c r="Y18" s="59">
        <f t="shared" si="2"/>
        <v>101.71051088273924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44440</v>
      </c>
      <c r="Q19" s="6">
        <v>171.28</v>
      </c>
      <c r="R19" s="6">
        <v>4455.4799999999996</v>
      </c>
      <c r="S19" s="6">
        <v>15047.7</v>
      </c>
      <c r="T19" s="6">
        <v>34326.46</v>
      </c>
      <c r="U19" s="56">
        <v>44440</v>
      </c>
      <c r="V19" s="59">
        <f t="shared" ref="V19:V75" si="3">(Q19/$Q$15)*100</f>
        <v>106.94973462379021</v>
      </c>
      <c r="W19" s="59">
        <f t="shared" si="0"/>
        <v>105.33323561605619</v>
      </c>
      <c r="X19" s="59">
        <f t="shared" si="1"/>
        <v>108.92693107020237</v>
      </c>
      <c r="Y19" s="59">
        <f t="shared" si="2"/>
        <v>99.412125012127333</v>
      </c>
    </row>
    <row r="20" spans="1:25" x14ac:dyDescent="0.25">
      <c r="A20" t="s">
        <v>16</v>
      </c>
      <c r="C20" s="7">
        <v>46157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3395888180340.4297</v>
      </c>
      <c r="P20" s="56">
        <v>44470</v>
      </c>
      <c r="Q20" s="6">
        <v>166.78</v>
      </c>
      <c r="R20" s="6">
        <v>4544.8999999999996</v>
      </c>
      <c r="S20" s="6">
        <v>15498.39</v>
      </c>
      <c r="T20" s="6">
        <v>35677.019999999997</v>
      </c>
      <c r="U20" s="56">
        <v>44470</v>
      </c>
      <c r="V20" s="59">
        <f t="shared" si="3"/>
        <v>104.13986887293163</v>
      </c>
      <c r="W20" s="59">
        <f t="shared" si="0"/>
        <v>107.44723858067229</v>
      </c>
      <c r="X20" s="59">
        <f t="shared" si="1"/>
        <v>112.1893750692208</v>
      </c>
      <c r="Y20" s="59">
        <f t="shared" si="2"/>
        <v>103.32345287862969</v>
      </c>
    </row>
    <row r="21" spans="1:25" x14ac:dyDescent="0.25">
      <c r="A21" t="s">
        <v>18</v>
      </c>
      <c r="B21" t="s">
        <v>73</v>
      </c>
      <c r="C21" s="29"/>
      <c r="D21" s="5">
        <v>716924000000</v>
      </c>
      <c r="E21" s="5">
        <f>D21*1.16</f>
        <v>831631840000</v>
      </c>
      <c r="F21" s="5">
        <f>E21*1.15</f>
        <v>956376615999.99988</v>
      </c>
      <c r="G21" s="5">
        <f>F21*1.13</f>
        <v>1080705576079.9998</v>
      </c>
      <c r="H21" s="5">
        <f>G21*1.12</f>
        <v>1210390245209.5999</v>
      </c>
      <c r="I21" s="5">
        <f>H21*1.09</f>
        <v>1319325367278.4639</v>
      </c>
      <c r="L21" t="s">
        <v>19</v>
      </c>
      <c r="M21" s="11">
        <f>(I22+I25)*16</f>
        <v>6332761762936.627</v>
      </c>
      <c r="P21" s="56">
        <v>44501</v>
      </c>
      <c r="Q21" s="6">
        <v>183.83</v>
      </c>
      <c r="R21" s="6">
        <v>4594.62</v>
      </c>
      <c r="S21" s="6">
        <v>15085.47</v>
      </c>
      <c r="T21" s="6">
        <v>34889.339999999997</v>
      </c>
      <c r="U21" s="56">
        <v>44501</v>
      </c>
      <c r="V21" s="59">
        <f t="shared" si="3"/>
        <v>114.7861379956291</v>
      </c>
      <c r="W21" s="59">
        <f t="shared" si="0"/>
        <v>108.62268285936511</v>
      </c>
      <c r="X21" s="59">
        <f t="shared" si="1"/>
        <v>109.20033964337446</v>
      </c>
      <c r="Y21" s="59">
        <f t="shared" si="2"/>
        <v>101.04226971469281</v>
      </c>
    </row>
    <row r="22" spans="1:25" x14ac:dyDescent="0.25">
      <c r="A22" t="s">
        <v>86</v>
      </c>
      <c r="B22" t="s">
        <v>83</v>
      </c>
      <c r="C22" s="30">
        <v>0.25</v>
      </c>
      <c r="D22" s="5">
        <f>D21*$C$22</f>
        <v>179231000000</v>
      </c>
      <c r="E22" s="5">
        <f t="shared" ref="E22:I22" si="4">E21*$C$22</f>
        <v>207907960000</v>
      </c>
      <c r="F22" s="5">
        <f t="shared" si="4"/>
        <v>239094153999.99997</v>
      </c>
      <c r="G22" s="5">
        <f t="shared" si="4"/>
        <v>270176394019.99994</v>
      </c>
      <c r="H22" s="5">
        <f t="shared" si="4"/>
        <v>302597561302.39996</v>
      </c>
      <c r="I22" s="5">
        <f t="shared" si="4"/>
        <v>329831341819.61597</v>
      </c>
      <c r="L22" t="s">
        <v>20</v>
      </c>
      <c r="M22" s="11">
        <f>(M20+M21)/2</f>
        <v>4864324971638.5283</v>
      </c>
      <c r="P22" s="56">
        <v>44531</v>
      </c>
      <c r="Q22" s="6">
        <v>171.07</v>
      </c>
      <c r="R22" s="6">
        <v>4766.18</v>
      </c>
      <c r="S22" s="6">
        <v>15653.37</v>
      </c>
      <c r="T22" s="6">
        <v>35950.559999999998</v>
      </c>
      <c r="U22" s="56">
        <v>44531</v>
      </c>
      <c r="V22" s="59">
        <f t="shared" si="3"/>
        <v>106.81860755541679</v>
      </c>
      <c r="W22" s="59">
        <f t="shared" si="0"/>
        <v>112.67858029405021</v>
      </c>
      <c r="X22" s="59">
        <f t="shared" si="1"/>
        <v>113.31124058868622</v>
      </c>
      <c r="Y22" s="59">
        <f t="shared" si="2"/>
        <v>104.11564620925036</v>
      </c>
    </row>
    <row r="23" spans="1:25" x14ac:dyDescent="0.25">
      <c r="A23" t="s">
        <v>21</v>
      </c>
      <c r="B23" t="s">
        <v>22</v>
      </c>
      <c r="C23" s="30"/>
      <c r="D23" s="5">
        <f>D22*$B$6</f>
        <v>10753860000</v>
      </c>
      <c r="E23" s="5">
        <f t="shared" ref="E23:I23" si="5">E22*$B$6</f>
        <v>12474477600</v>
      </c>
      <c r="F23" s="5">
        <f t="shared" si="5"/>
        <v>14345649239.999998</v>
      </c>
      <c r="G23" s="5">
        <f t="shared" si="5"/>
        <v>16210583641.199995</v>
      </c>
      <c r="H23" s="5">
        <f t="shared" si="5"/>
        <v>18155853678.143997</v>
      </c>
      <c r="I23" s="5">
        <f t="shared" si="5"/>
        <v>19789880509.176956</v>
      </c>
      <c r="P23" s="56">
        <v>44562</v>
      </c>
      <c r="Q23" s="6">
        <v>142.63999999999999</v>
      </c>
      <c r="R23" s="6">
        <v>4500.53</v>
      </c>
      <c r="S23" s="6">
        <v>13770.57</v>
      </c>
      <c r="T23" s="6">
        <v>34725.47</v>
      </c>
      <c r="U23" s="56">
        <v>44562</v>
      </c>
      <c r="V23" s="59">
        <f t="shared" si="3"/>
        <v>89.066500156103643</v>
      </c>
      <c r="W23" s="59">
        <f t="shared" si="0"/>
        <v>106.39827513245024</v>
      </c>
      <c r="X23" s="59">
        <f t="shared" si="1"/>
        <v>99.682072953833256</v>
      </c>
      <c r="Y23" s="59">
        <f t="shared" si="2"/>
        <v>100.56768932027589</v>
      </c>
    </row>
    <row r="24" spans="1:25" x14ac:dyDescent="0.25">
      <c r="A24" t="s">
        <v>23</v>
      </c>
      <c r="B24" t="s">
        <v>24</v>
      </c>
      <c r="C24" s="30"/>
      <c r="D24" s="5">
        <f>D22*(1-$B$6)</f>
        <v>168477140000</v>
      </c>
      <c r="E24" s="5">
        <f t="shared" ref="E24:I24" si="6">E22*(1-$B$6)</f>
        <v>195433482400</v>
      </c>
      <c r="F24" s="5">
        <f t="shared" si="6"/>
        <v>224748504759.99997</v>
      </c>
      <c r="G24" s="5">
        <f t="shared" si="6"/>
        <v>253965810378.79993</v>
      </c>
      <c r="H24" s="5">
        <f t="shared" si="6"/>
        <v>284441707624.25592</v>
      </c>
      <c r="I24" s="5">
        <f t="shared" si="6"/>
        <v>310041461310.43896</v>
      </c>
      <c r="P24" s="56">
        <v>44593</v>
      </c>
      <c r="Q24" s="6">
        <v>152.6</v>
      </c>
      <c r="R24" s="6">
        <v>4384.6499999999996</v>
      </c>
      <c r="S24" s="6">
        <v>13313.44</v>
      </c>
      <c r="T24" s="6">
        <v>34058.75</v>
      </c>
      <c r="U24" s="56">
        <v>44593</v>
      </c>
      <c r="V24" s="59">
        <f t="shared" si="3"/>
        <v>95.285669684670609</v>
      </c>
      <c r="W24" s="59">
        <f t="shared" si="0"/>
        <v>103.65872398573011</v>
      </c>
      <c r="X24" s="59">
        <f t="shared" si="1"/>
        <v>96.373011236752134</v>
      </c>
      <c r="Y24" s="59">
        <f t="shared" si="2"/>
        <v>98.636815819539564</v>
      </c>
    </row>
    <row r="25" spans="1:25" x14ac:dyDescent="0.25">
      <c r="A25" s="4" t="s">
        <v>25</v>
      </c>
      <c r="B25" s="8" t="s">
        <v>77</v>
      </c>
      <c r="C25" s="30">
        <v>0.05</v>
      </c>
      <c r="D25" s="27">
        <f>D21*$C$25</f>
        <v>35846200000</v>
      </c>
      <c r="E25" s="27">
        <f t="shared" ref="E25:I25" si="7">E21*$C$25</f>
        <v>41581592000</v>
      </c>
      <c r="F25" s="27">
        <f t="shared" si="7"/>
        <v>47818830800</v>
      </c>
      <c r="G25" s="27">
        <f t="shared" si="7"/>
        <v>54035278803.999992</v>
      </c>
      <c r="H25" s="27">
        <f t="shared" si="7"/>
        <v>60519512260.479996</v>
      </c>
      <c r="I25" s="27">
        <f t="shared" si="7"/>
        <v>65966268363.923195</v>
      </c>
      <c r="P25" s="56">
        <v>44621</v>
      </c>
      <c r="Q25" s="6">
        <v>161.25</v>
      </c>
      <c r="R25" s="6">
        <v>4543.0600000000004</v>
      </c>
      <c r="S25" s="6">
        <v>14169.3</v>
      </c>
      <c r="T25" s="6">
        <v>34861.24</v>
      </c>
      <c r="U25" s="56">
        <v>44621</v>
      </c>
      <c r="V25" s="59">
        <f t="shared" si="3"/>
        <v>100.68685607243208</v>
      </c>
      <c r="W25" s="59">
        <f t="shared" si="0"/>
        <v>107.40373863150106</v>
      </c>
      <c r="X25" s="59">
        <f t="shared" si="1"/>
        <v>102.56839014686751</v>
      </c>
      <c r="Y25" s="59">
        <f t="shared" si="2"/>
        <v>100.9608899070214</v>
      </c>
    </row>
    <row r="26" spans="1:25" x14ac:dyDescent="0.25">
      <c r="A26" t="s">
        <v>26</v>
      </c>
      <c r="B26" t="s">
        <v>79</v>
      </c>
      <c r="C26" s="30">
        <v>0.09</v>
      </c>
      <c r="D26" s="27">
        <f>D21*$C$26</f>
        <v>64523160000</v>
      </c>
      <c r="E26" s="27">
        <f t="shared" ref="E26:I26" si="8">E21*$C$26</f>
        <v>74846865600</v>
      </c>
      <c r="F26" s="27">
        <f t="shared" si="8"/>
        <v>86073895439.999985</v>
      </c>
      <c r="G26" s="27">
        <f t="shared" si="8"/>
        <v>97263501847.199982</v>
      </c>
      <c r="H26" s="27">
        <f t="shared" si="8"/>
        <v>108935122068.86398</v>
      </c>
      <c r="I26" s="27">
        <f t="shared" si="8"/>
        <v>118739283055.06174</v>
      </c>
      <c r="P26" s="56">
        <v>44652</v>
      </c>
      <c r="Q26" s="6">
        <v>144.35</v>
      </c>
      <c r="R26" s="6">
        <v>4271.78</v>
      </c>
      <c r="S26" s="6">
        <v>12839.29</v>
      </c>
      <c r="T26" s="6">
        <v>33811.4</v>
      </c>
      <c r="U26" s="56">
        <v>44652</v>
      </c>
      <c r="V26" s="59">
        <f t="shared" si="3"/>
        <v>90.134249141429905</v>
      </c>
      <c r="W26" s="59">
        <f t="shared" si="0"/>
        <v>100.99033308194774</v>
      </c>
      <c r="X26" s="59">
        <f t="shared" si="1"/>
        <v>92.940745550505312</v>
      </c>
      <c r="Y26" s="59">
        <f t="shared" si="2"/>
        <v>97.92047078653151</v>
      </c>
    </row>
    <row r="27" spans="1:25" x14ac:dyDescent="0.25">
      <c r="A27" t="s">
        <v>27</v>
      </c>
      <c r="B27" t="s">
        <v>78</v>
      </c>
      <c r="C27" s="30">
        <v>0.01</v>
      </c>
      <c r="D27" s="27">
        <f>D21*$C$27</f>
        <v>7169240000</v>
      </c>
      <c r="E27" s="27">
        <f t="shared" ref="E27:I27" si="9">E21*$C$27</f>
        <v>8316318400</v>
      </c>
      <c r="F27" s="27">
        <f t="shared" si="9"/>
        <v>9563766159.9999981</v>
      </c>
      <c r="G27" s="27">
        <f t="shared" si="9"/>
        <v>10807055760.799997</v>
      </c>
      <c r="H27" s="27">
        <f t="shared" si="9"/>
        <v>12103902452.095999</v>
      </c>
      <c r="I27" s="27">
        <f t="shared" si="9"/>
        <v>13193253672.784639</v>
      </c>
      <c r="P27" s="56">
        <v>44682</v>
      </c>
      <c r="Q27" s="59">
        <v>107.59</v>
      </c>
      <c r="R27" s="6">
        <v>4158.24</v>
      </c>
      <c r="S27" s="6">
        <v>11354.62</v>
      </c>
      <c r="T27" s="6">
        <v>33212.959999999999</v>
      </c>
      <c r="U27" s="56">
        <v>44682</v>
      </c>
      <c r="V27" s="59">
        <f t="shared" si="3"/>
        <v>67.180768029971901</v>
      </c>
      <c r="W27" s="59">
        <f t="shared" si="0"/>
        <v>98.306102522760625</v>
      </c>
      <c r="X27" s="59">
        <f t="shared" si="1"/>
        <v>82.193551843028601</v>
      </c>
      <c r="Y27" s="59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31"/>
      <c r="D28" s="27">
        <f>D24+D25-D26-D27</f>
        <v>132630940000</v>
      </c>
      <c r="E28" s="27">
        <f t="shared" ref="E28:I28" si="10">E24+E25-E26-E27</f>
        <v>153851890400</v>
      </c>
      <c r="F28" s="27">
        <f t="shared" si="10"/>
        <v>176929673960</v>
      </c>
      <c r="G28" s="27">
        <f t="shared" si="10"/>
        <v>199930531574.79996</v>
      </c>
      <c r="H28" s="27">
        <f t="shared" si="10"/>
        <v>223922195363.77591</v>
      </c>
      <c r="I28" s="27">
        <f t="shared" si="10"/>
        <v>244075192946.51581</v>
      </c>
      <c r="P28" s="56">
        <v>44713</v>
      </c>
      <c r="Q28" s="6">
        <v>116.46</v>
      </c>
      <c r="R28" s="6">
        <v>3911.74</v>
      </c>
      <c r="S28" s="6">
        <v>11127.85</v>
      </c>
      <c r="T28" s="6">
        <v>31097.26</v>
      </c>
      <c r="U28" s="56">
        <v>44713</v>
      </c>
      <c r="V28" s="59">
        <f t="shared" si="3"/>
        <v>72.719325632219793</v>
      </c>
      <c r="W28" s="59">
        <f t="shared" si="0"/>
        <v>92.478527810415855</v>
      </c>
      <c r="X28" s="59">
        <f t="shared" si="1"/>
        <v>80.552014587581596</v>
      </c>
      <c r="Y28" s="59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44743</v>
      </c>
      <c r="Q29" s="6">
        <v>122.42</v>
      </c>
      <c r="R29" s="6">
        <v>4130.29</v>
      </c>
      <c r="S29" s="6">
        <v>12390.69</v>
      </c>
      <c r="T29" s="6">
        <v>32845.129999999997</v>
      </c>
      <c r="U29" s="56">
        <v>44743</v>
      </c>
      <c r="V29" s="59">
        <f t="shared" si="3"/>
        <v>76.440836715579138</v>
      </c>
      <c r="W29" s="59">
        <f t="shared" si="0"/>
        <v>97.645328838338571</v>
      </c>
      <c r="X29" s="59">
        <f t="shared" si="1"/>
        <v>89.693430593528973</v>
      </c>
      <c r="Y29" s="59">
        <f t="shared" si="2"/>
        <v>95.122076951703548</v>
      </c>
    </row>
    <row r="30" spans="1:25" x14ac:dyDescent="0.25">
      <c r="A30" t="s">
        <v>36</v>
      </c>
      <c r="C30" s="11">
        <f>-G39</f>
        <v>-2592000000000</v>
      </c>
      <c r="D30" s="5">
        <f>D28</f>
        <v>132630940000</v>
      </c>
      <c r="E30" s="5">
        <f t="shared" ref="E30:I30" si="11">E28</f>
        <v>153851890400</v>
      </c>
      <c r="F30" s="5">
        <f t="shared" si="11"/>
        <v>176929673960</v>
      </c>
      <c r="G30" s="5">
        <f t="shared" si="11"/>
        <v>199930531574.79996</v>
      </c>
      <c r="H30" s="5">
        <f t="shared" si="11"/>
        <v>223922195363.77591</v>
      </c>
      <c r="I30" s="5">
        <f t="shared" si="11"/>
        <v>244075192946.51581</v>
      </c>
      <c r="J30" s="11">
        <f>I28+M22</f>
        <v>5108400164585.0439</v>
      </c>
      <c r="K30" t="s">
        <v>38</v>
      </c>
      <c r="P30" s="56">
        <v>44774</v>
      </c>
      <c r="Q30" s="6">
        <v>138.22999999999999</v>
      </c>
      <c r="R30" s="6">
        <v>3924.26</v>
      </c>
      <c r="S30" s="6">
        <v>12141.71</v>
      </c>
      <c r="T30" s="6">
        <v>31318.44</v>
      </c>
      <c r="U30" s="56">
        <v>44774</v>
      </c>
      <c r="V30" s="59">
        <f t="shared" si="3"/>
        <v>86.312831720262238</v>
      </c>
      <c r="W30" s="59">
        <f t="shared" si="0"/>
        <v>92.774516594994196</v>
      </c>
      <c r="X30" s="59">
        <f t="shared" si="1"/>
        <v>87.891120120974421</v>
      </c>
      <c r="Y30" s="59">
        <f t="shared" si="2"/>
        <v>90.700662767579558</v>
      </c>
    </row>
    <row r="31" spans="1:25" x14ac:dyDescent="0.25">
      <c r="A31" t="s">
        <v>37</v>
      </c>
      <c r="D31" s="6">
        <f>1/(1+$B$7)^D29</f>
        <v>0.9494191974098648</v>
      </c>
      <c r="E31" s="6">
        <f t="shared" ref="E31:I31" si="12">1/(1+$B$7)^E29</f>
        <v>0.85580343818648463</v>
      </c>
      <c r="F31" s="6">
        <f t="shared" si="12"/>
        <v>0.77141849123115114</v>
      </c>
      <c r="G31" s="6">
        <f t="shared" si="12"/>
        <v>0.69535416903019343</v>
      </c>
      <c r="H31" s="6">
        <f t="shared" si="12"/>
        <v>0.62679003146009316</v>
      </c>
      <c r="I31" s="6">
        <f t="shared" si="12"/>
        <v>0.59508648861334568</v>
      </c>
      <c r="J31" t="s">
        <v>39</v>
      </c>
      <c r="P31" s="56">
        <v>44805</v>
      </c>
      <c r="Q31" s="6">
        <v>113.78</v>
      </c>
      <c r="R31" s="6">
        <v>3585.62</v>
      </c>
      <c r="S31" s="6">
        <v>10867.93</v>
      </c>
      <c r="T31" s="6">
        <v>30822.42</v>
      </c>
      <c r="U31" s="56">
        <v>44805</v>
      </c>
      <c r="V31" s="59">
        <f t="shared" si="3"/>
        <v>71.045894473930687</v>
      </c>
      <c r="W31" s="59">
        <f t="shared" si="0"/>
        <v>84.768634645345372</v>
      </c>
      <c r="X31" s="59">
        <f t="shared" si="1"/>
        <v>78.670511904529235</v>
      </c>
      <c r="Y31" s="59">
        <f t="shared" si="2"/>
        <v>89.264149877857889</v>
      </c>
    </row>
    <row r="32" spans="1:25" x14ac:dyDescent="0.25">
      <c r="A32" t="s">
        <v>40</v>
      </c>
      <c r="C32" s="11">
        <f>-G39</f>
        <v>-2592000000000</v>
      </c>
      <c r="D32" s="5">
        <f>D30*D31</f>
        <v>125922360606.51593</v>
      </c>
      <c r="E32" s="5">
        <f t="shared" ref="E32:I32" si="13">E30*E31</f>
        <v>131666976775.81021</v>
      </c>
      <c r="F32" s="5">
        <f t="shared" si="13"/>
        <v>136486822140.24269</v>
      </c>
      <c r="G32" s="5">
        <f t="shared" si="13"/>
        <v>139022528646.95987</v>
      </c>
      <c r="H32" s="5">
        <f t="shared" si="13"/>
        <v>140352199876.67422</v>
      </c>
      <c r="I32" s="5">
        <f t="shared" si="13"/>
        <v>145245849528.16693</v>
      </c>
      <c r="J32" s="12">
        <f>M22</f>
        <v>4864324971638.5283</v>
      </c>
      <c r="P32" s="56">
        <v>44835</v>
      </c>
      <c r="Q32" s="6">
        <v>119.32</v>
      </c>
      <c r="R32" s="6">
        <v>3901.06</v>
      </c>
      <c r="S32" s="6">
        <v>11102.45</v>
      </c>
      <c r="T32" s="6">
        <v>32861.800000000003</v>
      </c>
      <c r="U32" s="56">
        <v>44835</v>
      </c>
      <c r="V32" s="59">
        <f t="shared" si="3"/>
        <v>74.505151420543243</v>
      </c>
      <c r="W32" s="59">
        <f t="shared" si="0"/>
        <v>92.226038975008791</v>
      </c>
      <c r="X32" s="59">
        <f t="shared" si="1"/>
        <v>80.368149674725601</v>
      </c>
      <c r="Y32" s="59">
        <f t="shared" si="2"/>
        <v>95.170354581379101</v>
      </c>
    </row>
    <row r="33" spans="1:25" x14ac:dyDescent="0.25">
      <c r="A33" t="s">
        <v>57</v>
      </c>
      <c r="C33" s="25">
        <v>-2592000</v>
      </c>
      <c r="D33" s="21">
        <v>125922</v>
      </c>
      <c r="E33" s="21">
        <v>131667</v>
      </c>
      <c r="F33" s="21">
        <v>136487</v>
      </c>
      <c r="G33" s="21">
        <v>139023</v>
      </c>
      <c r="H33" s="21">
        <v>140352</v>
      </c>
      <c r="I33" s="21">
        <v>145246</v>
      </c>
      <c r="J33" s="21">
        <v>4864325</v>
      </c>
      <c r="P33" s="56">
        <v>44866</v>
      </c>
      <c r="Q33" s="6">
        <v>94.14</v>
      </c>
      <c r="R33" s="6">
        <v>4026.12</v>
      </c>
      <c r="S33" s="6">
        <v>11226.36</v>
      </c>
      <c r="T33" s="6">
        <v>34429.879999999997</v>
      </c>
      <c r="U33" s="56">
        <v>44866</v>
      </c>
      <c r="V33" s="59">
        <f t="shared" si="3"/>
        <v>58.782391507961286</v>
      </c>
      <c r="W33" s="59">
        <f t="shared" si="0"/>
        <v>95.182617042050737</v>
      </c>
      <c r="X33" s="59">
        <f t="shared" si="1"/>
        <v>81.2651064208668</v>
      </c>
      <c r="Y33" s="59">
        <f t="shared" si="2"/>
        <v>99.711637457300938</v>
      </c>
    </row>
    <row r="34" spans="1:25" x14ac:dyDescent="0.25">
      <c r="P34" s="56">
        <v>44896</v>
      </c>
      <c r="Q34" s="6">
        <v>85.25</v>
      </c>
      <c r="R34" s="6">
        <v>3839.5</v>
      </c>
      <c r="S34" s="6">
        <v>10466.48</v>
      </c>
      <c r="T34" s="6">
        <v>33203.93</v>
      </c>
      <c r="U34" s="56">
        <v>44896</v>
      </c>
      <c r="V34" s="59">
        <f t="shared" si="3"/>
        <v>53.231345613487356</v>
      </c>
      <c r="W34" s="59">
        <f t="shared" si="0"/>
        <v>90.770681979909639</v>
      </c>
      <c r="X34" s="59">
        <f t="shared" si="1"/>
        <v>75.764505240511951</v>
      </c>
      <c r="Y34" s="59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6">
        <v>44927</v>
      </c>
      <c r="Q35" s="6">
        <v>97.25</v>
      </c>
      <c r="R35" s="6">
        <v>4070.56</v>
      </c>
      <c r="S35" s="6">
        <v>11140.43</v>
      </c>
      <c r="T35" s="6">
        <v>33375.49</v>
      </c>
      <c r="U35" s="56">
        <v>44927</v>
      </c>
      <c r="V35" s="59">
        <f t="shared" si="3"/>
        <v>60.724320949110208</v>
      </c>
      <c r="W35" s="59">
        <f t="shared" si="0"/>
        <v>96.233235379643432</v>
      </c>
      <c r="X35" s="59">
        <f t="shared" si="1"/>
        <v>80.643078390877989</v>
      </c>
      <c r="Y35" s="59">
        <f t="shared" si="2"/>
        <v>96.658041179341112</v>
      </c>
    </row>
    <row r="36" spans="1:25" x14ac:dyDescent="0.25">
      <c r="A36" s="11" t="s">
        <v>42</v>
      </c>
      <c r="B36" s="15">
        <f>SUM(D32:I32)</f>
        <v>818696737574.36987</v>
      </c>
      <c r="C36" t="s">
        <v>45</v>
      </c>
      <c r="F36" t="s">
        <v>33</v>
      </c>
      <c r="G36" s="13">
        <f>B13*B12</f>
        <v>2670000000000</v>
      </c>
      <c r="H36" t="s">
        <v>34</v>
      </c>
      <c r="L36" s="3" t="s">
        <v>52</v>
      </c>
      <c r="P36" s="56">
        <v>44958</v>
      </c>
      <c r="Q36" s="6">
        <v>97.2</v>
      </c>
      <c r="R36" s="6">
        <v>4045.64</v>
      </c>
      <c r="S36" s="6">
        <v>11689.01</v>
      </c>
      <c r="T36" s="6">
        <v>32816.92</v>
      </c>
      <c r="U36" s="56">
        <v>44958</v>
      </c>
      <c r="V36" s="59">
        <f t="shared" si="3"/>
        <v>60.693100218545112</v>
      </c>
      <c r="W36" s="59">
        <f t="shared" si="0"/>
        <v>95.644094763693616</v>
      </c>
      <c r="X36" s="59">
        <f t="shared" si="1"/>
        <v>84.614126182001655</v>
      </c>
      <c r="Y36" s="59">
        <f t="shared" si="2"/>
        <v>95.040378575389994</v>
      </c>
    </row>
    <row r="37" spans="1:25" x14ac:dyDescent="0.25">
      <c r="A37" t="s">
        <v>11</v>
      </c>
      <c r="B37" s="16">
        <f>B15</f>
        <v>143000000000</v>
      </c>
      <c r="F37" t="s">
        <v>10</v>
      </c>
      <c r="G37" s="12">
        <f>B14</f>
        <v>65000000000</v>
      </c>
      <c r="L37" t="s">
        <v>53</v>
      </c>
      <c r="M37" s="18">
        <f>(B40/B12)-1</f>
        <v>7.8843016706535263E-2</v>
      </c>
      <c r="P37" s="56">
        <v>44986</v>
      </c>
      <c r="Q37" s="6">
        <v>98.95</v>
      </c>
      <c r="R37" s="6">
        <v>3970.99</v>
      </c>
      <c r="S37" s="6">
        <v>11823.96</v>
      </c>
      <c r="T37" s="6">
        <v>33274.15</v>
      </c>
      <c r="U37" s="56">
        <v>44986</v>
      </c>
      <c r="V37" s="59">
        <f t="shared" si="3"/>
        <v>61.785825788323443</v>
      </c>
      <c r="W37" s="59">
        <f t="shared" si="0"/>
        <v>93.879273456283713</v>
      </c>
      <c r="X37" s="59">
        <f t="shared" si="1"/>
        <v>85.590999016250322</v>
      </c>
      <c r="Y37" s="59">
        <f t="shared" si="2"/>
        <v>96.364552577582344</v>
      </c>
    </row>
    <row r="38" spans="1:25" x14ac:dyDescent="0.25">
      <c r="A38" t="s">
        <v>10</v>
      </c>
      <c r="B38" s="16">
        <f>B14</f>
        <v>65000000000</v>
      </c>
      <c r="C38" s="3"/>
      <c r="F38" t="s">
        <v>11</v>
      </c>
      <c r="G38" s="12">
        <f>B15</f>
        <v>143000000000</v>
      </c>
      <c r="L38" t="s">
        <v>54</v>
      </c>
      <c r="M38" s="20">
        <f>IRR(C33:J33)</f>
        <v>0.13111801837784665</v>
      </c>
      <c r="N38" t="s">
        <v>58</v>
      </c>
      <c r="P38" s="56">
        <v>45017</v>
      </c>
      <c r="Q38" s="6">
        <v>106.96</v>
      </c>
      <c r="R38" s="6">
        <v>4133.5200000000004</v>
      </c>
      <c r="S38" s="6">
        <v>12072.46</v>
      </c>
      <c r="T38" s="6">
        <v>33808.959999999999</v>
      </c>
      <c r="U38" s="56">
        <v>45017</v>
      </c>
      <c r="V38" s="59">
        <f t="shared" si="3"/>
        <v>66.787386824851694</v>
      </c>
      <c r="W38" s="59">
        <f t="shared" si="0"/>
        <v>97.721690162155511</v>
      </c>
      <c r="X38" s="59">
        <f t="shared" si="1"/>
        <v>87.389834876278456</v>
      </c>
      <c r="Y38" s="59">
        <f t="shared" si="2"/>
        <v>97.913404354833347</v>
      </c>
    </row>
    <row r="39" spans="1:25" x14ac:dyDescent="0.25">
      <c r="A39" t="s">
        <v>44</v>
      </c>
      <c r="B39" s="15">
        <f>(((B36+B37)-B38)+(M22))/2</f>
        <v>2880510854606.4492</v>
      </c>
      <c r="C39" t="s">
        <v>82</v>
      </c>
      <c r="F39" t="s">
        <v>30</v>
      </c>
      <c r="G39" s="11">
        <f>G36+G37-G38</f>
        <v>2592000000000</v>
      </c>
      <c r="H39" t="s">
        <v>32</v>
      </c>
      <c r="P39" s="56">
        <v>45047</v>
      </c>
      <c r="Q39" s="6">
        <v>116.25</v>
      </c>
      <c r="R39" s="6">
        <v>4282.37</v>
      </c>
      <c r="S39" s="6">
        <v>13240.77</v>
      </c>
      <c r="T39" s="6">
        <v>33093.339999999997</v>
      </c>
      <c r="U39" s="56">
        <v>45047</v>
      </c>
      <c r="V39" s="59">
        <f t="shared" si="3"/>
        <v>72.58819856384639</v>
      </c>
      <c r="W39" s="59">
        <f t="shared" si="0"/>
        <v>101.2406942024497</v>
      </c>
      <c r="X39" s="59">
        <f t="shared" si="1"/>
        <v>95.846969377805479</v>
      </c>
      <c r="Y39" s="59">
        <f t="shared" si="2"/>
        <v>95.840912612277336</v>
      </c>
    </row>
    <row r="40" spans="1:25" x14ac:dyDescent="0.25">
      <c r="A40" t="s">
        <v>74</v>
      </c>
      <c r="B40" s="17">
        <f>B39/B13</f>
        <v>288.05108546064491</v>
      </c>
      <c r="C40" t="s">
        <v>46</v>
      </c>
      <c r="F40" t="s">
        <v>49</v>
      </c>
      <c r="G40" s="14">
        <f>G39/B13</f>
        <v>259.2</v>
      </c>
      <c r="H40" t="s">
        <v>50</v>
      </c>
      <c r="L40" s="47" t="s">
        <v>102</v>
      </c>
      <c r="M40" s="48"/>
      <c r="P40" s="56">
        <v>45078</v>
      </c>
      <c r="Q40" s="6">
        <v>129.33000000000001</v>
      </c>
      <c r="R40" s="6">
        <v>4450.38</v>
      </c>
      <c r="S40" s="6">
        <v>13492.52</v>
      </c>
      <c r="T40" s="6">
        <v>33727.43</v>
      </c>
      <c r="U40" s="56">
        <v>45078</v>
      </c>
      <c r="V40" s="59">
        <f t="shared" si="3"/>
        <v>80.755541679675318</v>
      </c>
      <c r="W40" s="59">
        <f t="shared" si="0"/>
        <v>105.21266510476633</v>
      </c>
      <c r="X40" s="59">
        <f t="shared" si="1"/>
        <v>97.669331260147857</v>
      </c>
      <c r="Y40" s="59">
        <f t="shared" si="2"/>
        <v>97.677287069443636</v>
      </c>
    </row>
    <row r="41" spans="1:25" x14ac:dyDescent="0.25">
      <c r="A41" t="s">
        <v>47</v>
      </c>
      <c r="B41" s="19">
        <f>(B40/B12)-1</f>
        <v>7.8843016706535263E-2</v>
      </c>
      <c r="C41" t="s">
        <v>48</v>
      </c>
      <c r="F41" t="s">
        <v>47</v>
      </c>
      <c r="G41" s="18">
        <f>(G40/B12)-1</f>
        <v>-2.921348314606742E-2</v>
      </c>
      <c r="H41" t="s">
        <v>51</v>
      </c>
      <c r="L41" s="49" t="s">
        <v>41</v>
      </c>
      <c r="M41" s="50">
        <f>B40</f>
        <v>288.05108546064491</v>
      </c>
      <c r="P41" s="56">
        <v>45108</v>
      </c>
      <c r="Q41" s="6">
        <v>130</v>
      </c>
      <c r="R41" s="6">
        <v>4582.2299999999996</v>
      </c>
      <c r="S41" s="6">
        <v>14032.81</v>
      </c>
      <c r="T41" s="6">
        <v>35065.620000000003</v>
      </c>
      <c r="U41" s="56">
        <v>45108</v>
      </c>
      <c r="V41" s="59">
        <f t="shared" si="3"/>
        <v>81.173899469247573</v>
      </c>
      <c r="W41" s="59">
        <f t="shared" si="0"/>
        <v>108.32976744076086</v>
      </c>
      <c r="X41" s="59">
        <f t="shared" si="1"/>
        <v>101.58036959742995</v>
      </c>
      <c r="Y41" s="59">
        <f t="shared" si="2"/>
        <v>101.5527904440992</v>
      </c>
    </row>
    <row r="42" spans="1:25" x14ac:dyDescent="0.25">
      <c r="L42" s="49" t="s">
        <v>8</v>
      </c>
      <c r="M42" s="50">
        <f>B12</f>
        <v>267</v>
      </c>
      <c r="P42" s="56">
        <v>45139</v>
      </c>
      <c r="Q42" s="6">
        <v>133.22</v>
      </c>
      <c r="R42" s="6">
        <v>4515.7700000000004</v>
      </c>
      <c r="S42" s="6">
        <v>13590.65</v>
      </c>
      <c r="T42" s="6">
        <v>34837.71</v>
      </c>
      <c r="U42" s="56">
        <v>45139</v>
      </c>
      <c r="V42" s="59">
        <f t="shared" si="3"/>
        <v>83.184514517639712</v>
      </c>
      <c r="W42" s="59">
        <f t="shared" si="0"/>
        <v>106.75856818971651</v>
      </c>
      <c r="X42" s="59">
        <f t="shared" si="1"/>
        <v>98.379672358516316</v>
      </c>
      <c r="Y42" s="59">
        <f t="shared" si="2"/>
        <v>100.89274517839119</v>
      </c>
    </row>
    <row r="43" spans="1:25" x14ac:dyDescent="0.25">
      <c r="L43" s="49" t="s">
        <v>103</v>
      </c>
      <c r="M43" s="50">
        <f>(B40-B12)</f>
        <v>21.051085460644913</v>
      </c>
      <c r="P43" s="56">
        <v>45170</v>
      </c>
      <c r="Q43" s="6">
        <v>129.12</v>
      </c>
      <c r="R43" s="6">
        <v>4320.0600000000004</v>
      </c>
      <c r="S43" s="6">
        <v>13211.81</v>
      </c>
      <c r="T43" s="6">
        <v>33507.5</v>
      </c>
      <c r="U43" s="56">
        <v>45170</v>
      </c>
      <c r="V43" s="59">
        <f t="shared" si="3"/>
        <v>80.624414611301916</v>
      </c>
      <c r="W43" s="59">
        <f t="shared" si="0"/>
        <v>102.13173392215873</v>
      </c>
      <c r="X43" s="59">
        <f t="shared" si="1"/>
        <v>95.637334422045257</v>
      </c>
      <c r="Y43" s="59">
        <f t="shared" si="2"/>
        <v>97.040352510682908</v>
      </c>
    </row>
    <row r="44" spans="1:25" x14ac:dyDescent="0.25">
      <c r="L44" s="49" t="s">
        <v>104</v>
      </c>
      <c r="M44" s="54">
        <f>((B40-B12)/(B12))</f>
        <v>7.8843016706535249E-2</v>
      </c>
      <c r="P44" s="56">
        <v>45200</v>
      </c>
      <c r="Q44" s="6">
        <v>125.17</v>
      </c>
      <c r="R44" s="6">
        <v>4117.37</v>
      </c>
      <c r="S44" s="6">
        <v>12643.01</v>
      </c>
      <c r="T44" s="6">
        <v>34061.32</v>
      </c>
      <c r="U44" s="56">
        <v>45200</v>
      </c>
      <c r="V44" s="59">
        <f t="shared" si="3"/>
        <v>78.157976896659378</v>
      </c>
      <c r="W44" s="59">
        <f t="shared" si="0"/>
        <v>97.339883543070854</v>
      </c>
      <c r="X44" s="59">
        <f t="shared" si="1"/>
        <v>91.519918578246461</v>
      </c>
      <c r="Y44" s="59">
        <f t="shared" si="2"/>
        <v>98.644258741451139</v>
      </c>
    </row>
    <row r="45" spans="1:25" x14ac:dyDescent="0.25">
      <c r="L45" s="52"/>
      <c r="M45" s="51"/>
      <c r="P45" s="56">
        <v>45231</v>
      </c>
      <c r="Q45" s="6">
        <v>145.18</v>
      </c>
      <c r="R45" s="6">
        <v>4559.34</v>
      </c>
      <c r="S45" s="6">
        <v>14250.85</v>
      </c>
      <c r="T45" s="6">
        <v>36245.5</v>
      </c>
      <c r="U45" s="56">
        <v>45231</v>
      </c>
      <c r="V45" s="59">
        <f t="shared" si="3"/>
        <v>90.65251326881048</v>
      </c>
      <c r="W45" s="59">
        <f t="shared" si="0"/>
        <v>107.78861861655977</v>
      </c>
      <c r="X45" s="59">
        <f t="shared" si="1"/>
        <v>103.15871233755283</v>
      </c>
      <c r="Y45" s="59">
        <f t="shared" si="2"/>
        <v>104.96981562115818</v>
      </c>
    </row>
    <row r="46" spans="1:25" x14ac:dyDescent="0.25">
      <c r="L46" s="52" t="s">
        <v>55</v>
      </c>
      <c r="M46" s="50"/>
      <c r="P46" s="56">
        <v>45261</v>
      </c>
      <c r="Q46" s="6">
        <v>153.41999999999999</v>
      </c>
      <c r="R46" s="6">
        <v>4769.83</v>
      </c>
      <c r="S46" s="6">
        <v>14992.97</v>
      </c>
      <c r="T46" s="6">
        <v>37689.54</v>
      </c>
      <c r="U46" s="56">
        <v>45261</v>
      </c>
      <c r="V46" s="59">
        <f t="shared" si="3"/>
        <v>95.797689665938165</v>
      </c>
      <c r="W46" s="59">
        <f t="shared" si="0"/>
        <v>112.76487095409099</v>
      </c>
      <c r="X46" s="59">
        <f t="shared" si="1"/>
        <v>108.53075285443039</v>
      </c>
      <c r="Y46" s="59">
        <f t="shared" si="2"/>
        <v>109.15186891189985</v>
      </c>
    </row>
    <row r="47" spans="1:25" x14ac:dyDescent="0.25">
      <c r="L47" s="49" t="s">
        <v>41</v>
      </c>
      <c r="M47" s="50">
        <f>B40</f>
        <v>288.05108546064491</v>
      </c>
      <c r="P47" s="56">
        <v>45292</v>
      </c>
      <c r="Q47" s="6">
        <v>155.34</v>
      </c>
      <c r="R47" s="6">
        <v>4958.6099999999997</v>
      </c>
      <c r="S47" s="6">
        <v>15628.95</v>
      </c>
      <c r="T47" s="6">
        <v>38109.43</v>
      </c>
      <c r="U47" s="56">
        <v>45292</v>
      </c>
      <c r="V47" s="59">
        <f t="shared" si="3"/>
        <v>96.996565719637843</v>
      </c>
      <c r="W47" s="59">
        <f t="shared" si="0"/>
        <v>117.22787117395485</v>
      </c>
      <c r="X47" s="59">
        <f t="shared" si="1"/>
        <v>113.13446967640499</v>
      </c>
      <c r="Y47" s="59">
        <f t="shared" si="2"/>
        <v>110.36790334048183</v>
      </c>
    </row>
    <row r="48" spans="1:25" x14ac:dyDescent="0.25">
      <c r="L48" s="49" t="s">
        <v>31</v>
      </c>
      <c r="M48" s="50">
        <f>G40</f>
        <v>259.2</v>
      </c>
      <c r="P48" s="56">
        <v>45323</v>
      </c>
      <c r="Q48" s="6">
        <v>174.99</v>
      </c>
      <c r="R48" s="6">
        <v>5137.08</v>
      </c>
      <c r="S48" s="6">
        <v>16274.94</v>
      </c>
      <c r="T48" s="6">
        <v>39087.379999999997</v>
      </c>
      <c r="U48" s="56">
        <v>45323</v>
      </c>
      <c r="V48" s="59">
        <f t="shared" si="3"/>
        <v>109.26631283172026</v>
      </c>
      <c r="W48" s="59">
        <f t="shared" si="0"/>
        <v>121.44712983079937</v>
      </c>
      <c r="X48" s="59">
        <f t="shared" si="1"/>
        <v>117.8106466471075</v>
      </c>
      <c r="Y48" s="59">
        <f t="shared" si="2"/>
        <v>113.20012337294688</v>
      </c>
    </row>
    <row r="49" spans="12:25" x14ac:dyDescent="0.25">
      <c r="L49" s="49" t="s">
        <v>103</v>
      </c>
      <c r="M49" s="50">
        <f>-(G40-B40)</f>
        <v>28.851085460644924</v>
      </c>
      <c r="P49" s="56">
        <v>45352</v>
      </c>
      <c r="Q49" s="6">
        <v>178.87</v>
      </c>
      <c r="R49" s="6">
        <v>5234.18</v>
      </c>
      <c r="S49" s="6">
        <v>16428.82</v>
      </c>
      <c r="T49" s="6">
        <v>39807.370000000003</v>
      </c>
      <c r="U49" s="56">
        <v>45352</v>
      </c>
      <c r="V49" s="59">
        <f t="shared" si="3"/>
        <v>111.68904152357165</v>
      </c>
      <c r="W49" s="59">
        <f t="shared" si="0"/>
        <v>123.74269780065201</v>
      </c>
      <c r="X49" s="59">
        <f t="shared" si="1"/>
        <v>118.92454951286658</v>
      </c>
      <c r="Y49" s="59">
        <f t="shared" si="2"/>
        <v>115.28527097883112</v>
      </c>
    </row>
    <row r="50" spans="12:25" x14ac:dyDescent="0.25">
      <c r="L50" s="53" t="s">
        <v>104</v>
      </c>
      <c r="M50" s="55">
        <f>((B40-G40)/(G40))</f>
        <v>0.11130820007964863</v>
      </c>
      <c r="P50" s="56">
        <v>45383</v>
      </c>
      <c r="Q50" s="6">
        <v>174.63</v>
      </c>
      <c r="R50" s="6">
        <v>4967.2299999999996</v>
      </c>
      <c r="S50" s="6">
        <v>15282.01</v>
      </c>
      <c r="T50" s="6">
        <v>37986.400000000001</v>
      </c>
      <c r="U50" s="56">
        <v>45383</v>
      </c>
      <c r="V50" s="59">
        <f t="shared" si="3"/>
        <v>109.04152357165158</v>
      </c>
      <c r="W50" s="59">
        <f t="shared" si="0"/>
        <v>117.43165897931149</v>
      </c>
      <c r="X50" s="59">
        <f t="shared" si="1"/>
        <v>110.62304869741844</v>
      </c>
      <c r="Y50" s="59">
        <f t="shared" si="2"/>
        <v>110.01159879465212</v>
      </c>
    </row>
    <row r="51" spans="12:25" x14ac:dyDescent="0.25">
      <c r="P51" s="56">
        <v>45413</v>
      </c>
      <c r="Q51" s="6">
        <v>180.75</v>
      </c>
      <c r="R51" s="6">
        <v>5277.51</v>
      </c>
      <c r="S51" s="6">
        <v>16735.02</v>
      </c>
      <c r="T51" s="6">
        <v>38686.32</v>
      </c>
      <c r="U51" s="56">
        <v>45413</v>
      </c>
      <c r="V51" s="59">
        <f t="shared" si="3"/>
        <v>112.86294099281923</v>
      </c>
      <c r="W51" s="59">
        <f t="shared" si="0"/>
        <v>124.76707432108162</v>
      </c>
      <c r="X51" s="59">
        <f t="shared" si="1"/>
        <v>121.14106275367386</v>
      </c>
      <c r="Y51" s="59">
        <f t="shared" si="2"/>
        <v>112.03862210374045</v>
      </c>
    </row>
    <row r="52" spans="12:25" x14ac:dyDescent="0.25">
      <c r="P52" s="56">
        <v>45444</v>
      </c>
      <c r="Q52" s="6">
        <v>189.08</v>
      </c>
      <c r="R52" s="6">
        <v>5464.62</v>
      </c>
      <c r="S52" s="6">
        <v>17689.36</v>
      </c>
      <c r="T52" s="6">
        <v>39150.33</v>
      </c>
      <c r="U52" s="56">
        <v>45444</v>
      </c>
      <c r="V52" s="59">
        <f t="shared" si="3"/>
        <v>118.0643147049641</v>
      </c>
      <c r="W52" s="59">
        <f t="shared" si="0"/>
        <v>129.19059360881724</v>
      </c>
      <c r="X52" s="59">
        <f t="shared" si="1"/>
        <v>128.04931633379155</v>
      </c>
      <c r="Y52" s="59">
        <f t="shared" si="2"/>
        <v>113.38243151860226</v>
      </c>
    </row>
    <row r="53" spans="12:25" x14ac:dyDescent="0.25">
      <c r="P53" s="56">
        <v>45474</v>
      </c>
      <c r="Q53" s="6">
        <v>183.13</v>
      </c>
      <c r="R53" s="6">
        <v>5459.1</v>
      </c>
      <c r="S53" s="6">
        <v>17357.88</v>
      </c>
      <c r="T53" s="6">
        <v>40287.53</v>
      </c>
      <c r="U53" s="56">
        <v>45474</v>
      </c>
      <c r="V53" s="59">
        <f t="shared" si="3"/>
        <v>114.34904776771775</v>
      </c>
      <c r="W53" s="59">
        <f t="shared" si="0"/>
        <v>129.06009376130348</v>
      </c>
      <c r="X53" s="59">
        <f t="shared" si="1"/>
        <v>125.64980683325986</v>
      </c>
      <c r="Y53" s="59">
        <f t="shared" si="2"/>
        <v>116.67585206251476</v>
      </c>
    </row>
    <row r="54" spans="12:25" x14ac:dyDescent="0.25">
      <c r="P54" s="56">
        <v>45505</v>
      </c>
      <c r="Q54" s="6">
        <v>177.04</v>
      </c>
      <c r="R54" s="6">
        <v>5648.4</v>
      </c>
      <c r="S54" s="6">
        <v>17877.79</v>
      </c>
      <c r="T54" s="6">
        <v>41175.08</v>
      </c>
      <c r="U54" s="56">
        <v>45505</v>
      </c>
      <c r="V54" s="59">
        <f t="shared" si="3"/>
        <v>110.54636278488917</v>
      </c>
      <c r="W54" s="59">
        <f t="shared" si="0"/>
        <v>133.53538744506358</v>
      </c>
      <c r="X54" s="59">
        <f t="shared" si="1"/>
        <v>129.41331891369137</v>
      </c>
      <c r="Y54" s="59">
        <f t="shared" si="2"/>
        <v>119.24626659272015</v>
      </c>
    </row>
    <row r="55" spans="12:25" x14ac:dyDescent="0.25">
      <c r="P55" s="56">
        <v>45536</v>
      </c>
      <c r="Q55" s="6">
        <v>191.6</v>
      </c>
      <c r="R55" s="6">
        <v>5751.07</v>
      </c>
      <c r="S55" s="6">
        <v>18137.849999999999</v>
      </c>
      <c r="T55" s="6">
        <v>42313</v>
      </c>
      <c r="U55" s="56">
        <v>45536</v>
      </c>
      <c r="V55" s="59">
        <f t="shared" si="3"/>
        <v>119.63783952544489</v>
      </c>
      <c r="W55" s="59">
        <f t="shared" si="0"/>
        <v>135.96263732626613</v>
      </c>
      <c r="X55" s="59">
        <f t="shared" si="1"/>
        <v>131.29583502539722</v>
      </c>
      <c r="Y55" s="59">
        <f t="shared" si="2"/>
        <v>122.54177231319932</v>
      </c>
    </row>
    <row r="56" spans="12:25" x14ac:dyDescent="0.25">
      <c r="P56" s="56">
        <v>45566</v>
      </c>
      <c r="Q56" s="6">
        <v>188.99</v>
      </c>
      <c r="R56" s="6">
        <v>5728.8</v>
      </c>
      <c r="S56" s="6">
        <v>18518.61</v>
      </c>
      <c r="T56" s="6">
        <v>42052.19</v>
      </c>
      <c r="U56" s="56">
        <v>45566</v>
      </c>
      <c r="V56" s="59">
        <f t="shared" si="3"/>
        <v>118.00811738994692</v>
      </c>
      <c r="W56" s="59">
        <f t="shared" si="0"/>
        <v>135.43614609363362</v>
      </c>
      <c r="X56" s="59">
        <f t="shared" si="1"/>
        <v>134.05207141197394</v>
      </c>
      <c r="Y56" s="59">
        <f t="shared" si="2"/>
        <v>121.78644606270881</v>
      </c>
    </row>
    <row r="57" spans="12:25" x14ac:dyDescent="0.25">
      <c r="P57" s="56">
        <v>45597</v>
      </c>
      <c r="Q57" s="6">
        <v>197.12</v>
      </c>
      <c r="R57" s="6">
        <v>5969.34</v>
      </c>
      <c r="S57" s="6">
        <v>19003.650000000001</v>
      </c>
      <c r="T57" s="6">
        <v>44296.51</v>
      </c>
      <c r="U57" s="56">
        <v>45597</v>
      </c>
      <c r="V57" s="59">
        <f t="shared" si="3"/>
        <v>123.08460817983141</v>
      </c>
      <c r="W57" s="59">
        <f t="shared" si="0"/>
        <v>141.1228187967063</v>
      </c>
      <c r="X57" s="59">
        <f t="shared" si="1"/>
        <v>137.5631673699138</v>
      </c>
      <c r="Y57" s="59">
        <f t="shared" si="2"/>
        <v>128.28617310730408</v>
      </c>
    </row>
    <row r="58" spans="12:25" x14ac:dyDescent="0.25">
      <c r="P58" s="56">
        <v>45627</v>
      </c>
      <c r="Q58" s="6">
        <v>224.92</v>
      </c>
      <c r="R58" s="6">
        <v>5942.47</v>
      </c>
      <c r="S58" s="6">
        <v>19722.03</v>
      </c>
      <c r="T58" s="6">
        <v>42840.26</v>
      </c>
      <c r="U58" s="56">
        <v>45627</v>
      </c>
      <c r="V58" s="59">
        <f t="shared" si="3"/>
        <v>140.44333437402435</v>
      </c>
      <c r="W58" s="59">
        <f t="shared" si="0"/>
        <v>140.48757769114565</v>
      </c>
      <c r="X58" s="59">
        <f t="shared" si="1"/>
        <v>142.76335934225582</v>
      </c>
      <c r="Y58" s="59">
        <f t="shared" si="2"/>
        <v>124.06875869728596</v>
      </c>
    </row>
    <row r="59" spans="12:25" x14ac:dyDescent="0.25">
      <c r="P59" s="56">
        <v>45658</v>
      </c>
      <c r="Q59" s="6">
        <v>234.85</v>
      </c>
      <c r="R59" s="6">
        <v>6040.53</v>
      </c>
      <c r="S59" s="6">
        <v>19627.439999999999</v>
      </c>
      <c r="T59" s="6">
        <v>44424.25</v>
      </c>
      <c r="U59" s="56">
        <v>45658</v>
      </c>
      <c r="V59" s="59">
        <f t="shared" si="3"/>
        <v>146.64377146425224</v>
      </c>
      <c r="W59" s="59">
        <f t="shared" si="0"/>
        <v>142.80584128665282</v>
      </c>
      <c r="X59" s="59">
        <f t="shared" si="1"/>
        <v>142.07864351126969</v>
      </c>
      <c r="Y59" s="59">
        <f t="shared" si="2"/>
        <v>128.65611818317407</v>
      </c>
    </row>
    <row r="60" spans="12:25" x14ac:dyDescent="0.25">
      <c r="P60" s="56">
        <v>45689</v>
      </c>
      <c r="Q60" s="6">
        <v>216.58</v>
      </c>
      <c r="R60" s="6">
        <v>5954.5</v>
      </c>
      <c r="S60" s="6">
        <v>19524.009999999998</v>
      </c>
      <c r="T60" s="6">
        <v>43840.91</v>
      </c>
      <c r="U60" s="56">
        <v>45689</v>
      </c>
      <c r="V60" s="59">
        <f t="shared" si="3"/>
        <v>135.23571651576646</v>
      </c>
      <c r="W60" s="59">
        <f t="shared" si="0"/>
        <v>140.77198225012944</v>
      </c>
      <c r="X60" s="59">
        <f t="shared" si="1"/>
        <v>141.32993689958874</v>
      </c>
      <c r="Y60" s="59">
        <f t="shared" si="2"/>
        <v>126.9667197131724</v>
      </c>
    </row>
    <row r="61" spans="12:25" x14ac:dyDescent="0.25">
      <c r="P61" s="56">
        <v>45717</v>
      </c>
      <c r="Q61" s="6">
        <v>196.21</v>
      </c>
      <c r="R61" s="6">
        <v>5074.08</v>
      </c>
      <c r="S61" s="6">
        <v>15587.79</v>
      </c>
      <c r="T61" s="6">
        <v>38314.86</v>
      </c>
      <c r="U61" s="56">
        <v>45717</v>
      </c>
      <c r="V61" s="59">
        <f t="shared" si="3"/>
        <v>122.51639088354666</v>
      </c>
      <c r="W61" s="59">
        <f t="shared" si="0"/>
        <v>119.95772939721836</v>
      </c>
      <c r="X61" s="59">
        <f t="shared" si="1"/>
        <v>112.83652165226512</v>
      </c>
      <c r="Y61" s="59">
        <f t="shared" si="2"/>
        <v>110.96284476005268</v>
      </c>
    </row>
    <row r="62" spans="12:25" x14ac:dyDescent="0.25">
      <c r="P62" s="56">
        <v>45748</v>
      </c>
      <c r="Q62" s="6">
        <v>172.61</v>
      </c>
      <c r="R62" s="6">
        <v>5282.7</v>
      </c>
      <c r="S62" s="6">
        <v>16286.45</v>
      </c>
      <c r="T62" s="6">
        <v>39142.230000000003</v>
      </c>
      <c r="U62" s="56">
        <v>45748</v>
      </c>
      <c r="V62" s="59">
        <f t="shared" si="3"/>
        <v>107.78020605682173</v>
      </c>
      <c r="W62" s="59">
        <f t="shared" si="0"/>
        <v>124.88977254727662</v>
      </c>
      <c r="X62" s="59">
        <f t="shared" si="1"/>
        <v>117.89396495998044</v>
      </c>
      <c r="Y62" s="59">
        <f t="shared" si="2"/>
        <v>113.35897328222721</v>
      </c>
    </row>
    <row r="63" spans="12:25" x14ac:dyDescent="0.25">
      <c r="P63" s="56">
        <v>45778</v>
      </c>
      <c r="Q63" s="6">
        <v>200.99</v>
      </c>
      <c r="R63" s="6">
        <v>5802.82</v>
      </c>
      <c r="S63" s="6">
        <v>19113.77</v>
      </c>
      <c r="T63" s="6">
        <v>41603.07</v>
      </c>
      <c r="U63" s="56">
        <v>45778</v>
      </c>
      <c r="V63" s="59">
        <f t="shared" si="3"/>
        <v>125.50109272556978</v>
      </c>
      <c r="W63" s="59">
        <f t="shared" si="0"/>
        <v>137.18607339670768</v>
      </c>
      <c r="X63" s="59">
        <f t="shared" si="1"/>
        <v>138.36030139368157</v>
      </c>
      <c r="Y63" s="59">
        <f t="shared" si="2"/>
        <v>120.48575925767715</v>
      </c>
    </row>
    <row r="64" spans="12:25" x14ac:dyDescent="0.25">
      <c r="P64" s="56">
        <v>45809</v>
      </c>
      <c r="Q64" s="6">
        <v>209.69</v>
      </c>
      <c r="R64" s="6">
        <v>6279.35</v>
      </c>
      <c r="S64" s="6">
        <v>19447.41</v>
      </c>
      <c r="T64" s="6">
        <v>42206.82</v>
      </c>
      <c r="U64" s="56">
        <v>45809</v>
      </c>
      <c r="V64" s="59">
        <f t="shared" si="3"/>
        <v>130.93349984389636</v>
      </c>
      <c r="W64" s="59">
        <f t="shared" si="0"/>
        <v>148.45185099376107</v>
      </c>
      <c r="X64" s="59">
        <f t="shared" si="1"/>
        <v>140.7754466505821</v>
      </c>
      <c r="Y64" s="59">
        <f t="shared" si="2"/>
        <v>122.2342666911868</v>
      </c>
    </row>
    <row r="65" spans="16:25" x14ac:dyDescent="0.25">
      <c r="P65" s="56">
        <v>45839</v>
      </c>
      <c r="Q65" s="6">
        <v>226.13</v>
      </c>
      <c r="R65" s="6">
        <v>6238.01</v>
      </c>
      <c r="S65" s="6">
        <v>20650.13</v>
      </c>
      <c r="T65" s="6">
        <v>44901.919999999998</v>
      </c>
      <c r="U65" s="56">
        <v>45839</v>
      </c>
      <c r="V65" s="59">
        <f t="shared" si="3"/>
        <v>141.19887605369965</v>
      </c>
      <c r="W65" s="59">
        <f t="shared" si="0"/>
        <v>147.47452061401123</v>
      </c>
      <c r="X65" s="59">
        <f t="shared" si="1"/>
        <v>149.48166743759631</v>
      </c>
      <c r="Y65" s="59">
        <f t="shared" si="2"/>
        <v>130.03948803123131</v>
      </c>
    </row>
    <row r="66" spans="16:25" x14ac:dyDescent="0.25">
      <c r="P66" s="56">
        <v>45870</v>
      </c>
      <c r="Q66" s="6">
        <v>228.84</v>
      </c>
      <c r="R66" s="6">
        <v>6460.26</v>
      </c>
      <c r="S66" s="6">
        <v>21496.54</v>
      </c>
      <c r="T66" s="6">
        <v>45544.88</v>
      </c>
      <c r="U66" s="56">
        <v>45870</v>
      </c>
      <c r="V66" s="59">
        <f t="shared" si="3"/>
        <v>142.8910396503278</v>
      </c>
      <c r="W66" s="59">
        <f t="shared" si="0"/>
        <v>152.72879436581093</v>
      </c>
      <c r="X66" s="59">
        <f t="shared" si="1"/>
        <v>155.60863991359795</v>
      </c>
      <c r="Y66" s="59">
        <f t="shared" si="2"/>
        <v>131.90155070526754</v>
      </c>
    </row>
    <row r="67" spans="16:25" x14ac:dyDescent="0.25">
      <c r="P67" s="56">
        <v>45901</v>
      </c>
      <c r="Q67" s="6">
        <v>231.48</v>
      </c>
      <c r="R67" s="6">
        <v>6715.79</v>
      </c>
      <c r="S67" s="6">
        <v>22780.51</v>
      </c>
      <c r="T67" s="6">
        <v>46758.28</v>
      </c>
      <c r="U67" s="56">
        <v>45901</v>
      </c>
      <c r="V67" s="59">
        <f t="shared" si="3"/>
        <v>144.53949422416483</v>
      </c>
      <c r="W67" s="59">
        <f t="shared" si="0"/>
        <v>158.76984980696895</v>
      </c>
      <c r="X67" s="59">
        <f t="shared" si="1"/>
        <v>164.90301125846844</v>
      </c>
      <c r="Y67" s="59">
        <f t="shared" si="2"/>
        <v>135.41565243581928</v>
      </c>
    </row>
    <row r="68" spans="16:25" x14ac:dyDescent="0.25">
      <c r="P68" s="56">
        <v>45931</v>
      </c>
      <c r="Q68" s="6">
        <v>224.21</v>
      </c>
      <c r="R68" s="6">
        <v>6840.2</v>
      </c>
      <c r="S68" s="6">
        <v>23204.87</v>
      </c>
      <c r="T68" s="6">
        <v>47207.12</v>
      </c>
      <c r="U68" s="56">
        <v>45931</v>
      </c>
      <c r="V68" s="59">
        <f t="shared" si="3"/>
        <v>140</v>
      </c>
      <c r="W68" s="59">
        <f t="shared" si="0"/>
        <v>161.71106104414062</v>
      </c>
      <c r="X68" s="59">
        <f t="shared" si="1"/>
        <v>167.97485828286096</v>
      </c>
      <c r="Y68" s="59">
        <f t="shared" si="2"/>
        <v>136.71552833885278</v>
      </c>
    </row>
    <row r="69" spans="16:25" x14ac:dyDescent="0.25">
      <c r="P69" s="56">
        <v>45962</v>
      </c>
      <c r="Q69" s="6">
        <v>220.69</v>
      </c>
      <c r="R69" s="6">
        <v>6849.09</v>
      </c>
      <c r="S69" s="6">
        <v>23365.69</v>
      </c>
      <c r="T69" s="6">
        <v>46245.41</v>
      </c>
      <c r="U69" s="56">
        <v>45962</v>
      </c>
      <c r="V69" s="59">
        <f t="shared" si="3"/>
        <v>137.80206056821729</v>
      </c>
      <c r="W69" s="59">
        <f t="shared" si="0"/>
        <v>161.9212319942126</v>
      </c>
      <c r="X69" s="59">
        <f t="shared" si="1"/>
        <v>169.13899825473106</v>
      </c>
      <c r="Y69" s="59">
        <f t="shared" si="2"/>
        <v>133.93034062228043</v>
      </c>
    </row>
    <row r="70" spans="16:25" x14ac:dyDescent="0.25">
      <c r="P70" s="56">
        <v>45992</v>
      </c>
      <c r="Q70" s="6">
        <v>227.35</v>
      </c>
      <c r="R70" s="6">
        <v>6929.94</v>
      </c>
      <c r="S70" s="6">
        <v>23593.1</v>
      </c>
      <c r="T70" s="6">
        <v>48134.89</v>
      </c>
      <c r="U70" s="56">
        <v>45992</v>
      </c>
      <c r="V70" s="59">
        <f t="shared" si="3"/>
        <v>141.96066187948796</v>
      </c>
      <c r="W70" s="59">
        <f t="shared" si="0"/>
        <v>163.83262921730824</v>
      </c>
      <c r="X70" s="59">
        <f t="shared" si="1"/>
        <v>170.78516832687995</v>
      </c>
      <c r="Y70" s="59">
        <f t="shared" si="2"/>
        <v>139.40242314893518</v>
      </c>
    </row>
    <row r="71" spans="16:25" x14ac:dyDescent="0.25">
      <c r="P71" s="56">
        <v>46023</v>
      </c>
      <c r="Q71" s="6">
        <v>239.16</v>
      </c>
      <c r="R71" s="6">
        <v>6939.03</v>
      </c>
      <c r="S71" s="6">
        <v>23461.82</v>
      </c>
      <c r="T71" s="6">
        <v>49098.71</v>
      </c>
      <c r="U71" s="56">
        <v>46023</v>
      </c>
      <c r="V71" s="59">
        <f t="shared" si="3"/>
        <v>149.33499843896348</v>
      </c>
      <c r="W71" s="59">
        <f t="shared" si="0"/>
        <v>164.04752842272492</v>
      </c>
      <c r="X71" s="59">
        <f t="shared" si="1"/>
        <v>169.83486180090614</v>
      </c>
      <c r="Y71" s="59">
        <f t="shared" si="2"/>
        <v>142.19372159127934</v>
      </c>
    </row>
    <row r="72" spans="16:25" x14ac:dyDescent="0.25">
      <c r="P72" s="56">
        <v>46054</v>
      </c>
      <c r="Q72" s="6">
        <v>210.11</v>
      </c>
      <c r="R72" s="6">
        <v>6909.51</v>
      </c>
      <c r="S72" s="6">
        <v>22668.21</v>
      </c>
      <c r="T72" s="6">
        <v>48977.919999999998</v>
      </c>
      <c r="U72" s="56">
        <v>46054</v>
      </c>
      <c r="V72" s="59">
        <f t="shared" si="3"/>
        <v>131.19575398064316</v>
      </c>
      <c r="W72" s="59">
        <f t="shared" si="0"/>
        <v>163.34963793384699</v>
      </c>
      <c r="X72" s="59">
        <f t="shared" si="1"/>
        <v>164.09009670280989</v>
      </c>
      <c r="Y72" s="59">
        <f t="shared" si="2"/>
        <v>141.8439042614348</v>
      </c>
    </row>
    <row r="73" spans="16:25" x14ac:dyDescent="0.25">
      <c r="P73" s="56">
        <v>46082</v>
      </c>
      <c r="Q73" s="6">
        <v>205.37</v>
      </c>
      <c r="R73" s="6">
        <v>6368.85</v>
      </c>
      <c r="S73" s="6">
        <v>20948.36</v>
      </c>
      <c r="T73" s="6">
        <v>45577.47</v>
      </c>
      <c r="U73" s="56">
        <v>46082</v>
      </c>
      <c r="V73" s="59">
        <f t="shared" si="3"/>
        <v>128.23602872307211</v>
      </c>
      <c r="W73" s="59">
        <f t="shared" si="0"/>
        <v>150.56774526051504</v>
      </c>
      <c r="X73" s="59">
        <f t="shared" si="1"/>
        <v>151.64048763291299</v>
      </c>
      <c r="Y73" s="59">
        <f t="shared" si="2"/>
        <v>131.99593390569501</v>
      </c>
    </row>
    <row r="74" spans="16:25" x14ac:dyDescent="0.25">
      <c r="P74" s="56">
        <v>46113</v>
      </c>
      <c r="Q74" s="6">
        <v>263.99</v>
      </c>
      <c r="R74" s="6">
        <v>7123.06</v>
      </c>
      <c r="S74" s="6">
        <v>24468.48</v>
      </c>
      <c r="T74" s="6">
        <v>49447.43</v>
      </c>
      <c r="U74" s="56">
        <v>46113</v>
      </c>
      <c r="V74" s="59">
        <f t="shared" si="3"/>
        <v>164.83921323758977</v>
      </c>
      <c r="W74" s="59">
        <f t="shared" si="0"/>
        <v>168.39823257815215</v>
      </c>
      <c r="X74" s="59">
        <f t="shared" si="1"/>
        <v>177.12184814640278</v>
      </c>
      <c r="Y74" s="59">
        <f t="shared" si="2"/>
        <v>143.20364210840313</v>
      </c>
    </row>
    <row r="75" spans="16:25" x14ac:dyDescent="0.25">
      <c r="P75" s="56">
        <v>46143</v>
      </c>
      <c r="Q75" s="60">
        <v>268.41000000000003</v>
      </c>
      <c r="R75" s="6">
        <v>7473.47</v>
      </c>
      <c r="S75" s="6">
        <v>26343.97</v>
      </c>
      <c r="T75" s="6">
        <v>50579.7</v>
      </c>
      <c r="U75" s="56">
        <v>46143</v>
      </c>
      <c r="V75" s="59">
        <f t="shared" si="3"/>
        <v>167.59912581954418</v>
      </c>
      <c r="W75" s="59">
        <f t="shared" si="0"/>
        <v>176.68237235483664</v>
      </c>
      <c r="X75" s="59">
        <f t="shared" si="1"/>
        <v>190.69810032798895</v>
      </c>
      <c r="Y75" s="59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310-4D62-4B29-B756-3264C6AC528E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64</v>
      </c>
    </row>
    <row r="5" spans="1:26" x14ac:dyDescent="0.25">
      <c r="A5" s="32" t="s">
        <v>1</v>
      </c>
      <c r="B5" s="33"/>
      <c r="C5" s="34"/>
      <c r="P5" t="s">
        <v>59</v>
      </c>
    </row>
    <row r="6" spans="1:26" x14ac:dyDescent="0.25">
      <c r="A6" s="35" t="s">
        <v>2</v>
      </c>
      <c r="B6" s="36">
        <v>7.0000000000000007E-2</v>
      </c>
      <c r="C6" s="37"/>
      <c r="P6" t="s">
        <v>60</v>
      </c>
      <c r="Q6" t="s">
        <v>61</v>
      </c>
      <c r="S6" t="s">
        <v>62</v>
      </c>
      <c r="T6" t="s">
        <v>63</v>
      </c>
    </row>
    <row r="7" spans="1:26" x14ac:dyDescent="0.25">
      <c r="A7" s="35" t="s">
        <v>3</v>
      </c>
      <c r="B7" s="45">
        <v>0.11940000000000001</v>
      </c>
      <c r="C7" s="37"/>
      <c r="P7">
        <v>2026</v>
      </c>
      <c r="Q7" s="22">
        <f>D28</f>
        <v>75993944000</v>
      </c>
      <c r="R7" s="22"/>
      <c r="S7" t="s">
        <v>41</v>
      </c>
      <c r="T7" s="14">
        <f>B40</f>
        <v>135.45292223967519</v>
      </c>
    </row>
    <row r="8" spans="1:26" x14ac:dyDescent="0.25">
      <c r="A8" s="35" t="s">
        <v>4</v>
      </c>
      <c r="B8" s="45">
        <v>2.5000000000000001E-2</v>
      </c>
      <c r="C8" s="37"/>
      <c r="P8">
        <v>2027</v>
      </c>
      <c r="Q8" s="22">
        <f>E28</f>
        <v>83593338400.000015</v>
      </c>
      <c r="R8" s="22"/>
      <c r="S8" t="s">
        <v>95</v>
      </c>
      <c r="T8" s="14">
        <v>131.55000000000001</v>
      </c>
    </row>
    <row r="9" spans="1:26" x14ac:dyDescent="0.25">
      <c r="A9" s="35" t="s">
        <v>5</v>
      </c>
      <c r="B9" s="38" t="s">
        <v>90</v>
      </c>
      <c r="C9" s="37"/>
      <c r="P9">
        <v>2028</v>
      </c>
      <c r="Q9" s="22">
        <f>F28</f>
        <v>91116738856.000031</v>
      </c>
      <c r="R9" s="22"/>
      <c r="S9" t="s">
        <v>8</v>
      </c>
      <c r="T9" s="14">
        <f>B12</f>
        <v>267</v>
      </c>
    </row>
    <row r="10" spans="1:26" x14ac:dyDescent="0.25">
      <c r="A10" s="35" t="s">
        <v>6</v>
      </c>
      <c r="B10" s="39">
        <v>46157</v>
      </c>
      <c r="C10" s="37"/>
      <c r="P10">
        <v>2029</v>
      </c>
      <c r="Q10" s="22">
        <f>G28</f>
        <v>98406077964.480026</v>
      </c>
      <c r="R10" s="22"/>
    </row>
    <row r="11" spans="1:26" x14ac:dyDescent="0.25">
      <c r="A11" s="35" t="s">
        <v>7</v>
      </c>
      <c r="B11" s="39">
        <v>46387</v>
      </c>
      <c r="C11" s="37"/>
      <c r="P11">
        <v>2030</v>
      </c>
      <c r="Q11" s="22">
        <f>H28</f>
        <v>105294503421.99367</v>
      </c>
      <c r="R11" s="22"/>
    </row>
    <row r="12" spans="1:26" x14ac:dyDescent="0.25">
      <c r="A12" s="35" t="s">
        <v>8</v>
      </c>
      <c r="B12" s="40">
        <v>267</v>
      </c>
      <c r="C12" s="37" t="s">
        <v>85</v>
      </c>
      <c r="P12">
        <v>2031</v>
      </c>
      <c r="Q12" s="22">
        <f>I28</f>
        <v>110559228593.09334</v>
      </c>
      <c r="R12" s="22"/>
    </row>
    <row r="13" spans="1:26" x14ac:dyDescent="0.25">
      <c r="A13" s="35" t="s">
        <v>9</v>
      </c>
      <c r="B13" s="41">
        <v>10000000000</v>
      </c>
      <c r="C13" s="37"/>
    </row>
    <row r="14" spans="1:26" x14ac:dyDescent="0.25">
      <c r="A14" s="35" t="s">
        <v>10</v>
      </c>
      <c r="B14" s="40">
        <v>65000000000</v>
      </c>
      <c r="C14" s="37"/>
      <c r="P14" s="6" t="s">
        <v>16</v>
      </c>
      <c r="Q14" s="6" t="s">
        <v>81</v>
      </c>
      <c r="R14" s="6" t="s">
        <v>65</v>
      </c>
      <c r="S14" s="6" t="s">
        <v>71</v>
      </c>
      <c r="T14" s="6" t="s">
        <v>66</v>
      </c>
      <c r="U14" s="6" t="s">
        <v>16</v>
      </c>
      <c r="V14" s="6" t="s">
        <v>84</v>
      </c>
      <c r="W14" s="6" t="s">
        <v>67</v>
      </c>
      <c r="X14" s="6" t="s">
        <v>72</v>
      </c>
      <c r="Y14" s="6" t="s">
        <v>68</v>
      </c>
      <c r="Z14" t="s">
        <v>69</v>
      </c>
    </row>
    <row r="15" spans="1:26" x14ac:dyDescent="0.25">
      <c r="A15" s="35" t="s">
        <v>11</v>
      </c>
      <c r="B15" s="40">
        <v>143000000000</v>
      </c>
      <c r="C15" s="37"/>
      <c r="P15" s="56">
        <v>44317</v>
      </c>
      <c r="Q15" s="57">
        <v>160.15</v>
      </c>
      <c r="R15" s="6">
        <v>4229.8900000000003</v>
      </c>
      <c r="S15" s="6">
        <v>13814.49</v>
      </c>
      <c r="T15" s="6">
        <v>34529.449999999997</v>
      </c>
      <c r="U15" s="56">
        <v>44317</v>
      </c>
      <c r="V15" s="58">
        <v>100</v>
      </c>
      <c r="W15" s="58">
        <v>100</v>
      </c>
      <c r="X15" s="58">
        <v>100</v>
      </c>
      <c r="Y15" s="58">
        <v>100</v>
      </c>
      <c r="Z15" t="s">
        <v>70</v>
      </c>
    </row>
    <row r="16" spans="1:26" x14ac:dyDescent="0.25">
      <c r="A16" s="35" t="s">
        <v>12</v>
      </c>
      <c r="B16" s="40" t="s">
        <v>94</v>
      </c>
      <c r="C16" s="37"/>
      <c r="P16" s="56">
        <v>44348</v>
      </c>
      <c r="Q16" s="6">
        <v>174.35</v>
      </c>
      <c r="R16" s="6">
        <v>4352.34</v>
      </c>
      <c r="S16" s="6">
        <v>14639.33</v>
      </c>
      <c r="T16" s="6">
        <v>34433.839999999997</v>
      </c>
      <c r="U16" s="56">
        <v>44348</v>
      </c>
      <c r="V16" s="59">
        <f>(Q16/$Q$15)*100</f>
        <v>108.86668748048704</v>
      </c>
      <c r="W16" s="59">
        <f>(R16/$R$15)*100</f>
        <v>102.89487433479356</v>
      </c>
      <c r="X16" s="59">
        <f>(S16/$S$15)*100</f>
        <v>105.97083207559599</v>
      </c>
      <c r="Y16" s="59">
        <f>(T16/$T$15)*100</f>
        <v>99.723105928417624</v>
      </c>
      <c r="Z16" t="s">
        <v>75</v>
      </c>
    </row>
    <row r="17" spans="1:25" x14ac:dyDescent="0.25">
      <c r="A17" s="42" t="s">
        <v>88</v>
      </c>
      <c r="B17" s="43"/>
      <c r="C17" s="44"/>
      <c r="P17" s="56">
        <v>44378</v>
      </c>
      <c r="Q17" s="6">
        <v>182.83</v>
      </c>
      <c r="R17" s="6">
        <v>4395.26</v>
      </c>
      <c r="S17" s="6">
        <v>14672.68</v>
      </c>
      <c r="T17" s="6">
        <v>35061.550000000003</v>
      </c>
      <c r="U17" s="56">
        <v>44378</v>
      </c>
      <c r="V17" s="59">
        <f>(Q17/$Q$15)*100</f>
        <v>114.16172338432719</v>
      </c>
      <c r="W17" s="59">
        <f t="shared" ref="W17:W75" si="0">(R17/$R$15)*100</f>
        <v>103.90955793176656</v>
      </c>
      <c r="X17" s="59">
        <f t="shared" ref="X17:X75" si="1">(S17/$S$15)*100</f>
        <v>106.21224525842069</v>
      </c>
      <c r="Y17" s="59">
        <f t="shared" ref="Y17:Y75" si="2">(T17/$T$15)*100</f>
        <v>101.54100340434039</v>
      </c>
    </row>
    <row r="18" spans="1:25" x14ac:dyDescent="0.25">
      <c r="P18" s="56">
        <v>44409</v>
      </c>
      <c r="Q18" s="6">
        <v>160</v>
      </c>
      <c r="R18" s="6">
        <v>4509.37</v>
      </c>
      <c r="S18" s="6">
        <v>14714.66</v>
      </c>
      <c r="T18" s="6">
        <v>35120.080000000002</v>
      </c>
      <c r="U18" s="56">
        <v>44409</v>
      </c>
      <c r="V18" s="59">
        <f>(Q18/$Q$15)*100</f>
        <v>99.906337808304713</v>
      </c>
      <c r="W18" s="59">
        <f t="shared" si="0"/>
        <v>106.60726401868605</v>
      </c>
      <c r="X18" s="59">
        <f t="shared" si="1"/>
        <v>106.51612907895984</v>
      </c>
      <c r="Y18" s="59">
        <f t="shared" si="2"/>
        <v>101.71051088273924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44440</v>
      </c>
      <c r="Q19" s="6">
        <v>171.28</v>
      </c>
      <c r="R19" s="6">
        <v>4455.4799999999996</v>
      </c>
      <c r="S19" s="6">
        <v>15047.7</v>
      </c>
      <c r="T19" s="6">
        <v>34326.46</v>
      </c>
      <c r="U19" s="56">
        <v>44440</v>
      </c>
      <c r="V19" s="59">
        <f t="shared" ref="V19:V75" si="3">(Q19/$Q$15)*100</f>
        <v>106.94973462379021</v>
      </c>
      <c r="W19" s="59">
        <f t="shared" si="0"/>
        <v>105.33323561605619</v>
      </c>
      <c r="X19" s="59">
        <f t="shared" si="1"/>
        <v>108.92693107020237</v>
      </c>
      <c r="Y19" s="59">
        <f t="shared" si="2"/>
        <v>99.412125012127333</v>
      </c>
    </row>
    <row r="20" spans="1:25" x14ac:dyDescent="0.25">
      <c r="A20" t="s">
        <v>16</v>
      </c>
      <c r="C20" s="7">
        <v>46157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1200457725719.4983</v>
      </c>
      <c r="P20" s="56">
        <v>44470</v>
      </c>
      <c r="Q20" s="6">
        <v>166.78</v>
      </c>
      <c r="R20" s="6">
        <v>4544.8999999999996</v>
      </c>
      <c r="S20" s="6">
        <v>15498.39</v>
      </c>
      <c r="T20" s="6">
        <v>35677.019999999997</v>
      </c>
      <c r="U20" s="56">
        <v>44470</v>
      </c>
      <c r="V20" s="59">
        <f t="shared" si="3"/>
        <v>104.13986887293163</v>
      </c>
      <c r="W20" s="59">
        <f t="shared" si="0"/>
        <v>107.44723858067229</v>
      </c>
      <c r="X20" s="59">
        <f t="shared" si="1"/>
        <v>112.1893750692208</v>
      </c>
      <c r="Y20" s="59">
        <f t="shared" si="2"/>
        <v>103.32345287862969</v>
      </c>
    </row>
    <row r="21" spans="1:25" x14ac:dyDescent="0.25">
      <c r="A21" t="s">
        <v>18</v>
      </c>
      <c r="B21" t="s">
        <v>73</v>
      </c>
      <c r="C21" s="29"/>
      <c r="D21" s="5">
        <v>716924000000</v>
      </c>
      <c r="E21" s="5">
        <f>D21*1.1</f>
        <v>788616400000.00012</v>
      </c>
      <c r="F21" s="5">
        <f>E21*1.09</f>
        <v>859591876000.00024</v>
      </c>
      <c r="G21" s="26">
        <f>F21*1.08</f>
        <v>928359226080.00037</v>
      </c>
      <c r="H21" s="5">
        <f>G21*1.07</f>
        <v>993344371905.60046</v>
      </c>
      <c r="I21" s="5">
        <f>H21*1.05</f>
        <v>1043011590500.8805</v>
      </c>
      <c r="L21" t="s">
        <v>19</v>
      </c>
      <c r="M21" s="11">
        <f>(I22+I25)*13</f>
        <v>3254196162362.7476</v>
      </c>
      <c r="P21" s="56">
        <v>44501</v>
      </c>
      <c r="Q21" s="6">
        <v>183.83</v>
      </c>
      <c r="R21" s="6">
        <v>4594.62</v>
      </c>
      <c r="S21" s="6">
        <v>15085.47</v>
      </c>
      <c r="T21" s="6">
        <v>34889.339999999997</v>
      </c>
      <c r="U21" s="56">
        <v>44501</v>
      </c>
      <c r="V21" s="59">
        <f t="shared" si="3"/>
        <v>114.7861379956291</v>
      </c>
      <c r="W21" s="59">
        <f t="shared" si="0"/>
        <v>108.62268285936511</v>
      </c>
      <c r="X21" s="59">
        <f t="shared" si="1"/>
        <v>109.20033964337446</v>
      </c>
      <c r="Y21" s="59">
        <f t="shared" si="2"/>
        <v>101.04226971469281</v>
      </c>
    </row>
    <row r="22" spans="1:25" x14ac:dyDescent="0.25">
      <c r="A22" t="s">
        <v>86</v>
      </c>
      <c r="B22" t="s">
        <v>128</v>
      </c>
      <c r="C22" s="30">
        <v>0.2</v>
      </c>
      <c r="D22" s="5">
        <f>D21*$C$22</f>
        <v>143384800000</v>
      </c>
      <c r="E22" s="5">
        <f t="shared" ref="E22:I22" si="4">E21*$C$22</f>
        <v>157723280000.00003</v>
      </c>
      <c r="F22" s="5">
        <f t="shared" si="4"/>
        <v>171918375200.00006</v>
      </c>
      <c r="G22" s="5">
        <f t="shared" si="4"/>
        <v>185671845216.00009</v>
      </c>
      <c r="H22" s="5">
        <f t="shared" si="4"/>
        <v>198668874381.12012</v>
      </c>
      <c r="I22" s="5">
        <f t="shared" si="4"/>
        <v>208602318100.17612</v>
      </c>
      <c r="L22" t="s">
        <v>20</v>
      </c>
      <c r="M22" s="11">
        <f>(M20+M21)/2</f>
        <v>2227326944041.123</v>
      </c>
      <c r="P22" s="56">
        <v>44531</v>
      </c>
      <c r="Q22" s="6">
        <v>171.07</v>
      </c>
      <c r="R22" s="6">
        <v>4766.18</v>
      </c>
      <c r="S22" s="6">
        <v>15653.37</v>
      </c>
      <c r="T22" s="6">
        <v>35950.559999999998</v>
      </c>
      <c r="U22" s="56">
        <v>44531</v>
      </c>
      <c r="V22" s="59">
        <f t="shared" si="3"/>
        <v>106.81860755541679</v>
      </c>
      <c r="W22" s="59">
        <f t="shared" si="0"/>
        <v>112.67858029405021</v>
      </c>
      <c r="X22" s="59">
        <f t="shared" si="1"/>
        <v>113.31124058868622</v>
      </c>
      <c r="Y22" s="59">
        <f t="shared" si="2"/>
        <v>104.11564620925036</v>
      </c>
    </row>
    <row r="23" spans="1:25" x14ac:dyDescent="0.25">
      <c r="A23" t="s">
        <v>21</v>
      </c>
      <c r="B23" t="s">
        <v>22</v>
      </c>
      <c r="C23" s="30"/>
      <c r="D23" s="5">
        <f>D22*$B$6</f>
        <v>10036936000.000002</v>
      </c>
      <c r="E23" s="26">
        <f t="shared" ref="E23:I23" si="5">E22*$B$6</f>
        <v>11040629600.000004</v>
      </c>
      <c r="F23" s="5">
        <f t="shared" si="5"/>
        <v>12034286264.000006</v>
      </c>
      <c r="G23" s="26">
        <f t="shared" si="5"/>
        <v>12997029165.120008</v>
      </c>
      <c r="H23" s="26">
        <f t="shared" si="5"/>
        <v>13906821206.67841</v>
      </c>
      <c r="I23" s="5">
        <f t="shared" si="5"/>
        <v>14602162267.012329</v>
      </c>
      <c r="P23" s="56">
        <v>44562</v>
      </c>
      <c r="Q23" s="6">
        <v>142.63999999999999</v>
      </c>
      <c r="R23" s="6">
        <v>4500.53</v>
      </c>
      <c r="S23" s="6">
        <v>13770.57</v>
      </c>
      <c r="T23" s="6">
        <v>34725.47</v>
      </c>
      <c r="U23" s="56">
        <v>44562</v>
      </c>
      <c r="V23" s="59">
        <f t="shared" si="3"/>
        <v>89.066500156103643</v>
      </c>
      <c r="W23" s="59">
        <f t="shared" si="0"/>
        <v>106.39827513245024</v>
      </c>
      <c r="X23" s="59">
        <f t="shared" si="1"/>
        <v>99.682072953833256</v>
      </c>
      <c r="Y23" s="59">
        <f t="shared" si="2"/>
        <v>100.56768932027589</v>
      </c>
    </row>
    <row r="24" spans="1:25" x14ac:dyDescent="0.25">
      <c r="A24" t="s">
        <v>23</v>
      </c>
      <c r="B24" t="s">
        <v>24</v>
      </c>
      <c r="C24" s="30"/>
      <c r="D24" s="5">
        <f>D22*(1-$B$6)</f>
        <v>133347863999.99998</v>
      </c>
      <c r="E24" s="5">
        <f t="shared" ref="E24:I24" si="6">E22*(1-$B$6)</f>
        <v>146682650400.00003</v>
      </c>
      <c r="F24" s="5">
        <f t="shared" si="6"/>
        <v>159884088936.00006</v>
      </c>
      <c r="G24" s="5">
        <f t="shared" si="6"/>
        <v>172674816050.88007</v>
      </c>
      <c r="H24" s="5">
        <f t="shared" si="6"/>
        <v>184762053174.44171</v>
      </c>
      <c r="I24" s="5">
        <f t="shared" si="6"/>
        <v>194000155833.16379</v>
      </c>
      <c r="P24" s="56">
        <v>44593</v>
      </c>
      <c r="Q24" s="6">
        <v>152.6</v>
      </c>
      <c r="R24" s="6">
        <v>4384.6499999999996</v>
      </c>
      <c r="S24" s="6">
        <v>13313.44</v>
      </c>
      <c r="T24" s="6">
        <v>34058.75</v>
      </c>
      <c r="U24" s="56">
        <v>44593</v>
      </c>
      <c r="V24" s="59">
        <f t="shared" si="3"/>
        <v>95.285669684670609</v>
      </c>
      <c r="W24" s="59">
        <f t="shared" si="0"/>
        <v>103.65872398573011</v>
      </c>
      <c r="X24" s="59">
        <f t="shared" si="1"/>
        <v>96.373011236752134</v>
      </c>
      <c r="Y24" s="59">
        <f t="shared" si="2"/>
        <v>98.636815819539564</v>
      </c>
    </row>
    <row r="25" spans="1:25" x14ac:dyDescent="0.25">
      <c r="A25" s="4" t="s">
        <v>25</v>
      </c>
      <c r="B25" s="8" t="s">
        <v>91</v>
      </c>
      <c r="C25" s="30">
        <v>0.04</v>
      </c>
      <c r="D25" s="27">
        <f>D21*$C$25</f>
        <v>28676960000</v>
      </c>
      <c r="E25" s="27">
        <f t="shared" ref="E25:I25" si="7">E21*$C$25</f>
        <v>31544656000.000004</v>
      </c>
      <c r="F25" s="27">
        <f t="shared" si="7"/>
        <v>34383675040.000008</v>
      </c>
      <c r="G25" s="27">
        <f t="shared" si="7"/>
        <v>37134369043.200012</v>
      </c>
      <c r="H25" s="27">
        <f t="shared" si="7"/>
        <v>39733774876.224022</v>
      </c>
      <c r="I25" s="27">
        <f t="shared" si="7"/>
        <v>41720463620.035217</v>
      </c>
      <c r="P25" s="56">
        <v>44621</v>
      </c>
      <c r="Q25" s="6">
        <v>161.25</v>
      </c>
      <c r="R25" s="6">
        <v>4543.0600000000004</v>
      </c>
      <c r="S25" s="6">
        <v>14169.3</v>
      </c>
      <c r="T25" s="6">
        <v>34861.24</v>
      </c>
      <c r="U25" s="56">
        <v>44621</v>
      </c>
      <c r="V25" s="59">
        <f t="shared" si="3"/>
        <v>100.68685607243208</v>
      </c>
      <c r="W25" s="59">
        <f t="shared" si="0"/>
        <v>107.40373863150106</v>
      </c>
      <c r="X25" s="59">
        <f t="shared" si="1"/>
        <v>102.56839014686751</v>
      </c>
      <c r="Y25" s="59">
        <f t="shared" si="2"/>
        <v>100.9608899070214</v>
      </c>
    </row>
    <row r="26" spans="1:25" x14ac:dyDescent="0.25">
      <c r="A26" t="s">
        <v>26</v>
      </c>
      <c r="B26" t="s">
        <v>92</v>
      </c>
      <c r="C26" s="30">
        <v>0.1</v>
      </c>
      <c r="D26" s="28">
        <f>D21*$C$26</f>
        <v>71692400000</v>
      </c>
      <c r="E26" s="28">
        <f t="shared" ref="E26:I26" si="8">E21*$C$26</f>
        <v>78861640000.000015</v>
      </c>
      <c r="F26" s="28">
        <f t="shared" si="8"/>
        <v>85959187600.000031</v>
      </c>
      <c r="G26" s="28">
        <f t="shared" si="8"/>
        <v>92835922608.000046</v>
      </c>
      <c r="H26" s="28">
        <f t="shared" si="8"/>
        <v>99334437190.560059</v>
      </c>
      <c r="I26" s="28">
        <f t="shared" si="8"/>
        <v>104301159050.08806</v>
      </c>
      <c r="P26" s="56">
        <v>44652</v>
      </c>
      <c r="Q26" s="6">
        <v>144.35</v>
      </c>
      <c r="R26" s="6">
        <v>4271.78</v>
      </c>
      <c r="S26" s="6">
        <v>12839.29</v>
      </c>
      <c r="T26" s="6">
        <v>33811.4</v>
      </c>
      <c r="U26" s="56">
        <v>44652</v>
      </c>
      <c r="V26" s="59">
        <f t="shared" si="3"/>
        <v>90.134249141429905</v>
      </c>
      <c r="W26" s="59">
        <f t="shared" si="0"/>
        <v>100.99033308194774</v>
      </c>
      <c r="X26" s="59">
        <f t="shared" si="1"/>
        <v>92.940745550505312</v>
      </c>
      <c r="Y26" s="59">
        <f t="shared" si="2"/>
        <v>97.92047078653151</v>
      </c>
    </row>
    <row r="27" spans="1:25" x14ac:dyDescent="0.25">
      <c r="A27" t="s">
        <v>27</v>
      </c>
      <c r="B27" t="s">
        <v>93</v>
      </c>
      <c r="C27" s="30">
        <v>0.02</v>
      </c>
      <c r="D27" s="28">
        <f>D21*$C$27</f>
        <v>14338480000</v>
      </c>
      <c r="E27" s="28">
        <f t="shared" ref="E27:I27" si="9">E21*$C$27</f>
        <v>15772328000.000002</v>
      </c>
      <c r="F27" s="28">
        <f t="shared" si="9"/>
        <v>17191837520.000004</v>
      </c>
      <c r="G27" s="28">
        <f t="shared" si="9"/>
        <v>18567184521.600006</v>
      </c>
      <c r="H27" s="28">
        <f t="shared" si="9"/>
        <v>19866887438.112011</v>
      </c>
      <c r="I27" s="28">
        <f t="shared" si="9"/>
        <v>20860231810.017609</v>
      </c>
      <c r="P27" s="56">
        <v>44682</v>
      </c>
      <c r="Q27" s="59">
        <v>107.59</v>
      </c>
      <c r="R27" s="6">
        <v>4158.24</v>
      </c>
      <c r="S27" s="6">
        <v>11354.62</v>
      </c>
      <c r="T27" s="6">
        <v>33212.959999999999</v>
      </c>
      <c r="U27" s="56">
        <v>44682</v>
      </c>
      <c r="V27" s="59">
        <f t="shared" si="3"/>
        <v>67.180768029971901</v>
      </c>
      <c r="W27" s="59">
        <f t="shared" si="0"/>
        <v>98.306102522760625</v>
      </c>
      <c r="X27" s="59">
        <f t="shared" si="1"/>
        <v>82.193551843028601</v>
      </c>
      <c r="Y27" s="59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31"/>
      <c r="D28" s="27">
        <f>D24+D25-D26-D27</f>
        <v>75993944000</v>
      </c>
      <c r="E28" s="27">
        <f t="shared" ref="E28:I28" si="10">E24+E25-E26-E27</f>
        <v>83593338400.000015</v>
      </c>
      <c r="F28" s="27">
        <f t="shared" si="10"/>
        <v>91116738856.000031</v>
      </c>
      <c r="G28" s="27">
        <f t="shared" si="10"/>
        <v>98406077964.480026</v>
      </c>
      <c r="H28" s="27">
        <f t="shared" si="10"/>
        <v>105294503421.99367</v>
      </c>
      <c r="I28" s="27">
        <f t="shared" si="10"/>
        <v>110559228593.09334</v>
      </c>
      <c r="P28" s="56">
        <v>44713</v>
      </c>
      <c r="Q28" s="6">
        <v>116.46</v>
      </c>
      <c r="R28" s="6">
        <v>3911.74</v>
      </c>
      <c r="S28" s="6">
        <v>11127.85</v>
      </c>
      <c r="T28" s="6">
        <v>31097.26</v>
      </c>
      <c r="U28" s="56">
        <v>44713</v>
      </c>
      <c r="V28" s="59">
        <f t="shared" si="3"/>
        <v>72.719325632219793</v>
      </c>
      <c r="W28" s="59">
        <f t="shared" si="0"/>
        <v>92.478527810415855</v>
      </c>
      <c r="X28" s="59">
        <f t="shared" si="1"/>
        <v>80.552014587581596</v>
      </c>
      <c r="Y28" s="59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44743</v>
      </c>
      <c r="Q29" s="6">
        <v>122.42</v>
      </c>
      <c r="R29" s="6">
        <v>4130.29</v>
      </c>
      <c r="S29" s="6">
        <v>12390.69</v>
      </c>
      <c r="T29" s="6">
        <v>32845.129999999997</v>
      </c>
      <c r="U29" s="56">
        <v>44743</v>
      </c>
      <c r="V29" s="59">
        <f t="shared" si="3"/>
        <v>76.440836715579138</v>
      </c>
      <c r="W29" s="59">
        <f t="shared" si="0"/>
        <v>97.645328838338571</v>
      </c>
      <c r="X29" s="59">
        <f t="shared" si="1"/>
        <v>89.693430593528973</v>
      </c>
      <c r="Y29" s="59">
        <f t="shared" si="2"/>
        <v>95.122076951703548</v>
      </c>
    </row>
    <row r="30" spans="1:25" x14ac:dyDescent="0.25">
      <c r="A30" t="s">
        <v>36</v>
      </c>
      <c r="C30" s="11">
        <f>-G39</f>
        <v>-2592000000000</v>
      </c>
      <c r="D30" s="5">
        <f>D28</f>
        <v>75993944000</v>
      </c>
      <c r="E30" s="5">
        <f t="shared" ref="E30:I30" si="11">E28</f>
        <v>83593338400.000015</v>
      </c>
      <c r="F30" s="5">
        <f t="shared" si="11"/>
        <v>91116738856.000031</v>
      </c>
      <c r="G30" s="5">
        <f t="shared" si="11"/>
        <v>98406077964.480026</v>
      </c>
      <c r="H30" s="5">
        <f t="shared" si="11"/>
        <v>105294503421.99367</v>
      </c>
      <c r="I30" s="5">
        <f t="shared" si="11"/>
        <v>110559228593.09334</v>
      </c>
      <c r="J30" s="11">
        <f>I28+M22</f>
        <v>2337886172634.2163</v>
      </c>
      <c r="K30" t="s">
        <v>38</v>
      </c>
      <c r="P30" s="56">
        <v>44774</v>
      </c>
      <c r="Q30" s="6">
        <v>138.22999999999999</v>
      </c>
      <c r="R30" s="6">
        <v>3924.26</v>
      </c>
      <c r="S30" s="6">
        <v>12141.71</v>
      </c>
      <c r="T30" s="6">
        <v>31318.44</v>
      </c>
      <c r="U30" s="56">
        <v>44774</v>
      </c>
      <c r="V30" s="59">
        <f t="shared" si="3"/>
        <v>86.312831720262238</v>
      </c>
      <c r="W30" s="59">
        <f t="shared" si="0"/>
        <v>92.774516594994196</v>
      </c>
      <c r="X30" s="59">
        <f t="shared" si="1"/>
        <v>87.891120120974421</v>
      </c>
      <c r="Y30" s="59">
        <f t="shared" si="2"/>
        <v>90.700662767579558</v>
      </c>
    </row>
    <row r="31" spans="1:25" x14ac:dyDescent="0.25">
      <c r="A31" t="s">
        <v>37</v>
      </c>
      <c r="D31" s="6">
        <f>1/(1+$B$7)^D29</f>
        <v>0.94516438547054249</v>
      </c>
      <c r="E31" s="6">
        <f t="shared" ref="E31:I31" si="12">1/(1+$B$7)^E29</f>
        <v>0.84434910261795826</v>
      </c>
      <c r="F31" s="6">
        <f t="shared" si="12"/>
        <v>0.75428720977126884</v>
      </c>
      <c r="G31" s="6">
        <f t="shared" si="12"/>
        <v>0.67383170428021155</v>
      </c>
      <c r="H31" s="6">
        <f t="shared" si="12"/>
        <v>0.60195792771146295</v>
      </c>
      <c r="I31" s="6">
        <f t="shared" si="12"/>
        <v>0.56894919482452599</v>
      </c>
      <c r="J31" t="s">
        <v>39</v>
      </c>
      <c r="P31" s="56">
        <v>44805</v>
      </c>
      <c r="Q31" s="6">
        <v>113.78</v>
      </c>
      <c r="R31" s="6">
        <v>3585.62</v>
      </c>
      <c r="S31" s="6">
        <v>10867.93</v>
      </c>
      <c r="T31" s="6">
        <v>30822.42</v>
      </c>
      <c r="U31" s="56">
        <v>44805</v>
      </c>
      <c r="V31" s="59">
        <f t="shared" si="3"/>
        <v>71.045894473930687</v>
      </c>
      <c r="W31" s="59">
        <f t="shared" si="0"/>
        <v>84.768634645345372</v>
      </c>
      <c r="X31" s="59">
        <f t="shared" si="1"/>
        <v>78.670511904529235</v>
      </c>
      <c r="Y31" s="59">
        <f t="shared" si="2"/>
        <v>89.264149877857889</v>
      </c>
    </row>
    <row r="32" spans="1:25" x14ac:dyDescent="0.25">
      <c r="A32" t="s">
        <v>40</v>
      </c>
      <c r="C32" s="11">
        <f>-G39</f>
        <v>-2592000000000</v>
      </c>
      <c r="D32" s="5">
        <f>D30*D31</f>
        <v>71826769380.242813</v>
      </c>
      <c r="E32" s="5">
        <f t="shared" ref="E32:I32" si="13">E30*E31</f>
        <v>70581960262.879318</v>
      </c>
      <c r="F32" s="5">
        <f t="shared" si="13"/>
        <v>68728190715.149612</v>
      </c>
      <c r="G32" s="5">
        <f t="shared" si="13"/>
        <v>66309135226.336945</v>
      </c>
      <c r="H32" s="5">
        <f t="shared" si="13"/>
        <v>63382861079.310852</v>
      </c>
      <c r="I32" s="5">
        <f t="shared" si="13"/>
        <v>62902584088.461166</v>
      </c>
      <c r="J32" s="12">
        <f>M22</f>
        <v>2227326944041.123</v>
      </c>
      <c r="P32" s="56">
        <v>44835</v>
      </c>
      <c r="Q32" s="6">
        <v>119.32</v>
      </c>
      <c r="R32" s="6">
        <v>3901.06</v>
      </c>
      <c r="S32" s="6">
        <v>11102.45</v>
      </c>
      <c r="T32" s="6">
        <v>32861.800000000003</v>
      </c>
      <c r="U32" s="56">
        <v>44835</v>
      </c>
      <c r="V32" s="59">
        <f t="shared" si="3"/>
        <v>74.505151420543243</v>
      </c>
      <c r="W32" s="59">
        <f t="shared" si="0"/>
        <v>92.226038975008791</v>
      </c>
      <c r="X32" s="59">
        <f t="shared" si="1"/>
        <v>80.368149674725601</v>
      </c>
      <c r="Y32" s="59">
        <f t="shared" si="2"/>
        <v>95.170354581379101</v>
      </c>
    </row>
    <row r="33" spans="1:25" x14ac:dyDescent="0.25">
      <c r="A33" t="s">
        <v>57</v>
      </c>
      <c r="C33" s="25">
        <v>-2592000</v>
      </c>
      <c r="D33" s="21">
        <v>71827</v>
      </c>
      <c r="E33" s="21">
        <v>70582</v>
      </c>
      <c r="F33" s="21">
        <v>68728</v>
      </c>
      <c r="G33" s="21">
        <v>66309</v>
      </c>
      <c r="H33" s="21">
        <v>63383</v>
      </c>
      <c r="I33" s="21">
        <v>62903</v>
      </c>
      <c r="J33" s="21">
        <v>2227327</v>
      </c>
      <c r="P33" s="56">
        <v>44866</v>
      </c>
      <c r="Q33" s="6">
        <v>94.14</v>
      </c>
      <c r="R33" s="6">
        <v>4026.12</v>
      </c>
      <c r="S33" s="6">
        <v>11226.36</v>
      </c>
      <c r="T33" s="6">
        <v>34429.879999999997</v>
      </c>
      <c r="U33" s="56">
        <v>44866</v>
      </c>
      <c r="V33" s="59">
        <f t="shared" si="3"/>
        <v>58.782391507961286</v>
      </c>
      <c r="W33" s="59">
        <f t="shared" si="0"/>
        <v>95.182617042050737</v>
      </c>
      <c r="X33" s="59">
        <f t="shared" si="1"/>
        <v>81.2651064208668</v>
      </c>
      <c r="Y33" s="59">
        <f t="shared" si="2"/>
        <v>99.711637457300938</v>
      </c>
    </row>
    <row r="34" spans="1:25" x14ac:dyDescent="0.25">
      <c r="P34" s="56">
        <v>44896</v>
      </c>
      <c r="Q34" s="6">
        <v>85.25</v>
      </c>
      <c r="R34" s="6">
        <v>3839.5</v>
      </c>
      <c r="S34" s="6">
        <v>10466.48</v>
      </c>
      <c r="T34" s="6">
        <v>33203.93</v>
      </c>
      <c r="U34" s="56">
        <v>44896</v>
      </c>
      <c r="V34" s="59">
        <f t="shared" si="3"/>
        <v>53.231345613487356</v>
      </c>
      <c r="W34" s="59">
        <f t="shared" si="0"/>
        <v>90.770681979909639</v>
      </c>
      <c r="X34" s="59">
        <f t="shared" si="1"/>
        <v>75.764505240511951</v>
      </c>
      <c r="Y34" s="59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6">
        <v>44927</v>
      </c>
      <c r="Q35" s="6">
        <v>97.25</v>
      </c>
      <c r="R35" s="6">
        <v>4070.56</v>
      </c>
      <c r="S35" s="6">
        <v>11140.43</v>
      </c>
      <c r="T35" s="6">
        <v>33375.49</v>
      </c>
      <c r="U35" s="56">
        <v>44927</v>
      </c>
      <c r="V35" s="59">
        <f t="shared" si="3"/>
        <v>60.724320949110208</v>
      </c>
      <c r="W35" s="59">
        <f t="shared" si="0"/>
        <v>96.233235379643432</v>
      </c>
      <c r="X35" s="59">
        <f t="shared" si="1"/>
        <v>80.643078390877989</v>
      </c>
      <c r="Y35" s="59">
        <f t="shared" si="2"/>
        <v>96.658041179341112</v>
      </c>
    </row>
    <row r="36" spans="1:25" x14ac:dyDescent="0.25">
      <c r="A36" s="11" t="s">
        <v>42</v>
      </c>
      <c r="B36" s="15">
        <f>SUM(D32:I32)</f>
        <v>403731500752.38068</v>
      </c>
      <c r="C36" t="s">
        <v>45</v>
      </c>
      <c r="F36" t="s">
        <v>33</v>
      </c>
      <c r="G36" s="13">
        <f>B13*B12</f>
        <v>2670000000000</v>
      </c>
      <c r="H36" t="s">
        <v>34</v>
      </c>
      <c r="L36" s="3" t="s">
        <v>52</v>
      </c>
      <c r="P36" s="56">
        <v>44958</v>
      </c>
      <c r="Q36" s="6">
        <v>97.2</v>
      </c>
      <c r="R36" s="6">
        <v>4045.64</v>
      </c>
      <c r="S36" s="6">
        <v>11689.01</v>
      </c>
      <c r="T36" s="6">
        <v>32816.92</v>
      </c>
      <c r="U36" s="56">
        <v>44958</v>
      </c>
      <c r="V36" s="59">
        <f t="shared" si="3"/>
        <v>60.693100218545112</v>
      </c>
      <c r="W36" s="59">
        <f t="shared" si="0"/>
        <v>95.644094763693616</v>
      </c>
      <c r="X36" s="59">
        <f t="shared" si="1"/>
        <v>84.614126182001655</v>
      </c>
      <c r="Y36" s="59">
        <f t="shared" si="2"/>
        <v>95.040378575389994</v>
      </c>
    </row>
    <row r="37" spans="1:25" x14ac:dyDescent="0.25">
      <c r="A37" t="s">
        <v>11</v>
      </c>
      <c r="B37" s="16">
        <f>B15</f>
        <v>143000000000</v>
      </c>
      <c r="F37" t="s">
        <v>10</v>
      </c>
      <c r="G37" s="12">
        <f>B14</f>
        <v>65000000000</v>
      </c>
      <c r="L37" t="s">
        <v>53</v>
      </c>
      <c r="M37" s="18">
        <f>(B40/B12)-1</f>
        <v>-0.49268568449559857</v>
      </c>
      <c r="P37" s="56">
        <v>44986</v>
      </c>
      <c r="Q37" s="6">
        <v>98.95</v>
      </c>
      <c r="R37" s="6">
        <v>3970.99</v>
      </c>
      <c r="S37" s="6">
        <v>11823.96</v>
      </c>
      <c r="T37" s="6">
        <v>33274.15</v>
      </c>
      <c r="U37" s="56">
        <v>44986</v>
      </c>
      <c r="V37" s="59">
        <f t="shared" si="3"/>
        <v>61.785825788323443</v>
      </c>
      <c r="W37" s="59">
        <f t="shared" si="0"/>
        <v>93.879273456283713</v>
      </c>
      <c r="X37" s="59">
        <f t="shared" si="1"/>
        <v>85.590999016250322</v>
      </c>
      <c r="Y37" s="59">
        <f t="shared" si="2"/>
        <v>96.364552577582344</v>
      </c>
    </row>
    <row r="38" spans="1:25" x14ac:dyDescent="0.25">
      <c r="A38" t="s">
        <v>10</v>
      </c>
      <c r="B38" s="16">
        <f>B14</f>
        <v>65000000000</v>
      </c>
      <c r="C38" s="3"/>
      <c r="F38" t="s">
        <v>11</v>
      </c>
      <c r="G38" s="12">
        <f>B15</f>
        <v>143000000000</v>
      </c>
      <c r="L38" t="s">
        <v>54</v>
      </c>
      <c r="M38" s="20">
        <f>IRR(C33:J33)</f>
        <v>2.322478951977347E-3</v>
      </c>
      <c r="N38" t="s">
        <v>58</v>
      </c>
      <c r="P38" s="56">
        <v>45017</v>
      </c>
      <c r="Q38" s="6">
        <v>106.96</v>
      </c>
      <c r="R38" s="6">
        <v>4133.5200000000004</v>
      </c>
      <c r="S38" s="6">
        <v>12072.46</v>
      </c>
      <c r="T38" s="6">
        <v>33808.959999999999</v>
      </c>
      <c r="U38" s="56">
        <v>45017</v>
      </c>
      <c r="V38" s="59">
        <f t="shared" si="3"/>
        <v>66.787386824851694</v>
      </c>
      <c r="W38" s="59">
        <f t="shared" si="0"/>
        <v>97.721690162155511</v>
      </c>
      <c r="X38" s="59">
        <f t="shared" si="1"/>
        <v>87.389834876278456</v>
      </c>
      <c r="Y38" s="59">
        <f t="shared" si="2"/>
        <v>97.913404354833347</v>
      </c>
    </row>
    <row r="39" spans="1:25" x14ac:dyDescent="0.25">
      <c r="A39" t="s">
        <v>44</v>
      </c>
      <c r="B39" s="15">
        <f>(((B36+B37)-B38)+(M22))/2</f>
        <v>1354529222396.752</v>
      </c>
      <c r="C39" t="s">
        <v>82</v>
      </c>
      <c r="F39" t="s">
        <v>30</v>
      </c>
      <c r="G39" s="11">
        <f>G36+G37-G38</f>
        <v>2592000000000</v>
      </c>
      <c r="H39" t="s">
        <v>32</v>
      </c>
      <c r="P39" s="56">
        <v>45047</v>
      </c>
      <c r="Q39" s="6">
        <v>116.25</v>
      </c>
      <c r="R39" s="6">
        <v>4282.37</v>
      </c>
      <c r="S39" s="6">
        <v>13240.77</v>
      </c>
      <c r="T39" s="6">
        <v>33093.339999999997</v>
      </c>
      <c r="U39" s="56">
        <v>45047</v>
      </c>
      <c r="V39" s="59">
        <f t="shared" si="3"/>
        <v>72.58819856384639</v>
      </c>
      <c r="W39" s="59">
        <f t="shared" si="0"/>
        <v>101.2406942024497</v>
      </c>
      <c r="X39" s="59">
        <f t="shared" si="1"/>
        <v>95.846969377805479</v>
      </c>
      <c r="Y39" s="59">
        <f t="shared" si="2"/>
        <v>95.840912612277336</v>
      </c>
    </row>
    <row r="40" spans="1:25" x14ac:dyDescent="0.25">
      <c r="A40" t="s">
        <v>74</v>
      </c>
      <c r="B40" s="17">
        <f>B39/B13</f>
        <v>135.45292223967519</v>
      </c>
      <c r="C40" t="s">
        <v>46</v>
      </c>
      <c r="F40" t="s">
        <v>49</v>
      </c>
      <c r="G40" s="14">
        <f>G39/B13</f>
        <v>259.2</v>
      </c>
      <c r="H40" t="s">
        <v>50</v>
      </c>
      <c r="L40" s="47" t="s">
        <v>102</v>
      </c>
      <c r="M40" s="48"/>
      <c r="P40" s="56">
        <v>45078</v>
      </c>
      <c r="Q40" s="6">
        <v>129.33000000000001</v>
      </c>
      <c r="R40" s="6">
        <v>4450.38</v>
      </c>
      <c r="S40" s="6">
        <v>13492.52</v>
      </c>
      <c r="T40" s="6">
        <v>33727.43</v>
      </c>
      <c r="U40" s="56">
        <v>45078</v>
      </c>
      <c r="V40" s="59">
        <f t="shared" si="3"/>
        <v>80.755541679675318</v>
      </c>
      <c r="W40" s="59">
        <f t="shared" si="0"/>
        <v>105.21266510476633</v>
      </c>
      <c r="X40" s="59">
        <f t="shared" si="1"/>
        <v>97.669331260147857</v>
      </c>
      <c r="Y40" s="59">
        <f t="shared" si="2"/>
        <v>97.677287069443636</v>
      </c>
    </row>
    <row r="41" spans="1:25" x14ac:dyDescent="0.25">
      <c r="A41" t="s">
        <v>47</v>
      </c>
      <c r="B41" s="19">
        <f>(B40/B12)-1</f>
        <v>-0.49268568449559857</v>
      </c>
      <c r="C41" t="s">
        <v>48</v>
      </c>
      <c r="F41" t="s">
        <v>47</v>
      </c>
      <c r="G41" s="18">
        <f>(G40/B12)-1</f>
        <v>-2.921348314606742E-2</v>
      </c>
      <c r="H41" t="s">
        <v>51</v>
      </c>
      <c r="L41" s="49" t="s">
        <v>41</v>
      </c>
      <c r="M41" s="50">
        <f>B40</f>
        <v>135.45292223967519</v>
      </c>
      <c r="P41" s="56">
        <v>45108</v>
      </c>
      <c r="Q41" s="6">
        <v>130</v>
      </c>
      <c r="R41" s="6">
        <v>4582.2299999999996</v>
      </c>
      <c r="S41" s="6">
        <v>14032.81</v>
      </c>
      <c r="T41" s="6">
        <v>35065.620000000003</v>
      </c>
      <c r="U41" s="56">
        <v>45108</v>
      </c>
      <c r="V41" s="59">
        <f t="shared" si="3"/>
        <v>81.173899469247573</v>
      </c>
      <c r="W41" s="59">
        <f t="shared" si="0"/>
        <v>108.32976744076086</v>
      </c>
      <c r="X41" s="59">
        <f t="shared" si="1"/>
        <v>101.58036959742995</v>
      </c>
      <c r="Y41" s="59">
        <f t="shared" si="2"/>
        <v>101.5527904440992</v>
      </c>
    </row>
    <row r="42" spans="1:25" x14ac:dyDescent="0.25">
      <c r="L42" s="49" t="s">
        <v>8</v>
      </c>
      <c r="M42" s="50">
        <f>B12</f>
        <v>267</v>
      </c>
      <c r="P42" s="56">
        <v>45139</v>
      </c>
      <c r="Q42" s="6">
        <v>133.22</v>
      </c>
      <c r="R42" s="6">
        <v>4515.7700000000004</v>
      </c>
      <c r="S42" s="6">
        <v>13590.65</v>
      </c>
      <c r="T42" s="6">
        <v>34837.71</v>
      </c>
      <c r="U42" s="56">
        <v>45139</v>
      </c>
      <c r="V42" s="59">
        <f t="shared" si="3"/>
        <v>83.184514517639712</v>
      </c>
      <c r="W42" s="59">
        <f t="shared" si="0"/>
        <v>106.75856818971651</v>
      </c>
      <c r="X42" s="59">
        <f t="shared" si="1"/>
        <v>98.379672358516316</v>
      </c>
      <c r="Y42" s="59">
        <f t="shared" si="2"/>
        <v>100.89274517839119</v>
      </c>
    </row>
    <row r="43" spans="1:25" x14ac:dyDescent="0.25">
      <c r="L43" s="49" t="s">
        <v>103</v>
      </c>
      <c r="M43" s="50">
        <f>(B40-B12)</f>
        <v>-131.54707776032481</v>
      </c>
      <c r="P43" s="56">
        <v>45170</v>
      </c>
      <c r="Q43" s="6">
        <v>129.12</v>
      </c>
      <c r="R43" s="6">
        <v>4320.0600000000004</v>
      </c>
      <c r="S43" s="6">
        <v>13211.81</v>
      </c>
      <c r="T43" s="6">
        <v>33507.5</v>
      </c>
      <c r="U43" s="56">
        <v>45170</v>
      </c>
      <c r="V43" s="59">
        <f t="shared" si="3"/>
        <v>80.624414611301916</v>
      </c>
      <c r="W43" s="59">
        <f t="shared" si="0"/>
        <v>102.13173392215873</v>
      </c>
      <c r="X43" s="59">
        <f t="shared" si="1"/>
        <v>95.637334422045257</v>
      </c>
      <c r="Y43" s="59">
        <f t="shared" si="2"/>
        <v>97.040352510682908</v>
      </c>
    </row>
    <row r="44" spans="1:25" x14ac:dyDescent="0.25">
      <c r="L44" s="49" t="s">
        <v>104</v>
      </c>
      <c r="M44" s="54">
        <f>((B40-B12)/(B12))</f>
        <v>-0.49268568449559852</v>
      </c>
      <c r="P44" s="56">
        <v>45200</v>
      </c>
      <c r="Q44" s="6">
        <v>125.17</v>
      </c>
      <c r="R44" s="6">
        <v>4117.37</v>
      </c>
      <c r="S44" s="6">
        <v>12643.01</v>
      </c>
      <c r="T44" s="6">
        <v>34061.32</v>
      </c>
      <c r="U44" s="56">
        <v>45200</v>
      </c>
      <c r="V44" s="59">
        <f t="shared" si="3"/>
        <v>78.157976896659378</v>
      </c>
      <c r="W44" s="59">
        <f t="shared" si="0"/>
        <v>97.339883543070854</v>
      </c>
      <c r="X44" s="59">
        <f t="shared" si="1"/>
        <v>91.519918578246461</v>
      </c>
      <c r="Y44" s="59">
        <f t="shared" si="2"/>
        <v>98.644258741451139</v>
      </c>
    </row>
    <row r="45" spans="1:25" x14ac:dyDescent="0.25">
      <c r="L45" s="52"/>
      <c r="M45" s="51"/>
      <c r="P45" s="56">
        <v>45231</v>
      </c>
      <c r="Q45" s="6">
        <v>145.18</v>
      </c>
      <c r="R45" s="6">
        <v>4559.34</v>
      </c>
      <c r="S45" s="6">
        <v>14250.85</v>
      </c>
      <c r="T45" s="6">
        <v>36245.5</v>
      </c>
      <c r="U45" s="56">
        <v>45231</v>
      </c>
      <c r="V45" s="59">
        <f t="shared" si="3"/>
        <v>90.65251326881048</v>
      </c>
      <c r="W45" s="59">
        <f t="shared" si="0"/>
        <v>107.78861861655977</v>
      </c>
      <c r="X45" s="59">
        <f t="shared" si="1"/>
        <v>103.15871233755283</v>
      </c>
      <c r="Y45" s="59">
        <f t="shared" si="2"/>
        <v>104.96981562115818</v>
      </c>
    </row>
    <row r="46" spans="1:25" x14ac:dyDescent="0.25">
      <c r="L46" s="52" t="s">
        <v>55</v>
      </c>
      <c r="M46" s="50"/>
      <c r="P46" s="56">
        <v>45261</v>
      </c>
      <c r="Q46" s="6">
        <v>153.41999999999999</v>
      </c>
      <c r="R46" s="6">
        <v>4769.83</v>
      </c>
      <c r="S46" s="6">
        <v>14992.97</v>
      </c>
      <c r="T46" s="6">
        <v>37689.54</v>
      </c>
      <c r="U46" s="56">
        <v>45261</v>
      </c>
      <c r="V46" s="59">
        <f t="shared" si="3"/>
        <v>95.797689665938165</v>
      </c>
      <c r="W46" s="59">
        <f t="shared" si="0"/>
        <v>112.76487095409099</v>
      </c>
      <c r="X46" s="59">
        <f t="shared" si="1"/>
        <v>108.53075285443039</v>
      </c>
      <c r="Y46" s="59">
        <f t="shared" si="2"/>
        <v>109.15186891189985</v>
      </c>
    </row>
    <row r="47" spans="1:25" x14ac:dyDescent="0.25">
      <c r="L47" s="49" t="s">
        <v>41</v>
      </c>
      <c r="M47" s="50">
        <f>B40</f>
        <v>135.45292223967519</v>
      </c>
      <c r="P47" s="56">
        <v>45292</v>
      </c>
      <c r="Q47" s="6">
        <v>155.34</v>
      </c>
      <c r="R47" s="6">
        <v>4958.6099999999997</v>
      </c>
      <c r="S47" s="6">
        <v>15628.95</v>
      </c>
      <c r="T47" s="6">
        <v>38109.43</v>
      </c>
      <c r="U47" s="56">
        <v>45292</v>
      </c>
      <c r="V47" s="59">
        <f t="shared" si="3"/>
        <v>96.996565719637843</v>
      </c>
      <c r="W47" s="59">
        <f t="shared" si="0"/>
        <v>117.22787117395485</v>
      </c>
      <c r="X47" s="59">
        <f t="shared" si="1"/>
        <v>113.13446967640499</v>
      </c>
      <c r="Y47" s="59">
        <f t="shared" si="2"/>
        <v>110.36790334048183</v>
      </c>
    </row>
    <row r="48" spans="1:25" x14ac:dyDescent="0.25">
      <c r="L48" s="49" t="s">
        <v>31</v>
      </c>
      <c r="M48" s="50">
        <f>G40</f>
        <v>259.2</v>
      </c>
      <c r="P48" s="56">
        <v>45323</v>
      </c>
      <c r="Q48" s="6">
        <v>174.99</v>
      </c>
      <c r="R48" s="6">
        <v>5137.08</v>
      </c>
      <c r="S48" s="6">
        <v>16274.94</v>
      </c>
      <c r="T48" s="6">
        <v>39087.379999999997</v>
      </c>
      <c r="U48" s="56">
        <v>45323</v>
      </c>
      <c r="V48" s="59">
        <f t="shared" si="3"/>
        <v>109.26631283172026</v>
      </c>
      <c r="W48" s="59">
        <f t="shared" si="0"/>
        <v>121.44712983079937</v>
      </c>
      <c r="X48" s="59">
        <f t="shared" si="1"/>
        <v>117.8106466471075</v>
      </c>
      <c r="Y48" s="59">
        <f t="shared" si="2"/>
        <v>113.20012337294688</v>
      </c>
    </row>
    <row r="49" spans="12:25" x14ac:dyDescent="0.25">
      <c r="L49" s="49" t="s">
        <v>103</v>
      </c>
      <c r="M49" s="50">
        <f>-(G40-B40)</f>
        <v>-123.7470777603248</v>
      </c>
      <c r="P49" s="56">
        <v>45352</v>
      </c>
      <c r="Q49" s="6">
        <v>178.87</v>
      </c>
      <c r="R49" s="6">
        <v>5234.18</v>
      </c>
      <c r="S49" s="6">
        <v>16428.82</v>
      </c>
      <c r="T49" s="6">
        <v>39807.370000000003</v>
      </c>
      <c r="U49" s="56">
        <v>45352</v>
      </c>
      <c r="V49" s="59">
        <f t="shared" si="3"/>
        <v>111.68904152357165</v>
      </c>
      <c r="W49" s="59">
        <f t="shared" si="0"/>
        <v>123.74269780065201</v>
      </c>
      <c r="X49" s="59">
        <f t="shared" si="1"/>
        <v>118.92454951286658</v>
      </c>
      <c r="Y49" s="59">
        <f t="shared" si="2"/>
        <v>115.28527097883112</v>
      </c>
    </row>
    <row r="50" spans="12:25" x14ac:dyDescent="0.25">
      <c r="L50" s="53" t="s">
        <v>104</v>
      </c>
      <c r="M50" s="55">
        <f>((B40-G40)/(G40))</f>
        <v>-0.4774192814827346</v>
      </c>
      <c r="P50" s="56">
        <v>45383</v>
      </c>
      <c r="Q50" s="6">
        <v>174.63</v>
      </c>
      <c r="R50" s="6">
        <v>4967.2299999999996</v>
      </c>
      <c r="S50" s="6">
        <v>15282.01</v>
      </c>
      <c r="T50" s="6">
        <v>37986.400000000001</v>
      </c>
      <c r="U50" s="56">
        <v>45383</v>
      </c>
      <c r="V50" s="59">
        <f t="shared" si="3"/>
        <v>109.04152357165158</v>
      </c>
      <c r="W50" s="59">
        <f t="shared" si="0"/>
        <v>117.43165897931149</v>
      </c>
      <c r="X50" s="59">
        <f t="shared" si="1"/>
        <v>110.62304869741844</v>
      </c>
      <c r="Y50" s="59">
        <f t="shared" si="2"/>
        <v>110.01159879465212</v>
      </c>
    </row>
    <row r="51" spans="12:25" x14ac:dyDescent="0.25">
      <c r="P51" s="56">
        <v>45413</v>
      </c>
      <c r="Q51" s="6">
        <v>180.75</v>
      </c>
      <c r="R51" s="6">
        <v>5277.51</v>
      </c>
      <c r="S51" s="6">
        <v>16735.02</v>
      </c>
      <c r="T51" s="6">
        <v>38686.32</v>
      </c>
      <c r="U51" s="56">
        <v>45413</v>
      </c>
      <c r="V51" s="59">
        <f t="shared" si="3"/>
        <v>112.86294099281923</v>
      </c>
      <c r="W51" s="59">
        <f t="shared" si="0"/>
        <v>124.76707432108162</v>
      </c>
      <c r="X51" s="59">
        <f t="shared" si="1"/>
        <v>121.14106275367386</v>
      </c>
      <c r="Y51" s="59">
        <f t="shared" si="2"/>
        <v>112.03862210374045</v>
      </c>
    </row>
    <row r="52" spans="12:25" x14ac:dyDescent="0.25">
      <c r="P52" s="56">
        <v>45444</v>
      </c>
      <c r="Q52" s="6">
        <v>189.08</v>
      </c>
      <c r="R52" s="6">
        <v>5464.62</v>
      </c>
      <c r="S52" s="6">
        <v>17689.36</v>
      </c>
      <c r="T52" s="6">
        <v>39150.33</v>
      </c>
      <c r="U52" s="56">
        <v>45444</v>
      </c>
      <c r="V52" s="59">
        <f t="shared" si="3"/>
        <v>118.0643147049641</v>
      </c>
      <c r="W52" s="59">
        <f t="shared" si="0"/>
        <v>129.19059360881724</v>
      </c>
      <c r="X52" s="59">
        <f t="shared" si="1"/>
        <v>128.04931633379155</v>
      </c>
      <c r="Y52" s="59">
        <f t="shared" si="2"/>
        <v>113.38243151860226</v>
      </c>
    </row>
    <row r="53" spans="12:25" x14ac:dyDescent="0.25">
      <c r="P53" s="56">
        <v>45474</v>
      </c>
      <c r="Q53" s="6">
        <v>183.13</v>
      </c>
      <c r="R53" s="6">
        <v>5459.1</v>
      </c>
      <c r="S53" s="6">
        <v>17357.88</v>
      </c>
      <c r="T53" s="6">
        <v>40287.53</v>
      </c>
      <c r="U53" s="56">
        <v>45474</v>
      </c>
      <c r="V53" s="59">
        <f t="shared" si="3"/>
        <v>114.34904776771775</v>
      </c>
      <c r="W53" s="59">
        <f t="shared" si="0"/>
        <v>129.06009376130348</v>
      </c>
      <c r="X53" s="59">
        <f t="shared" si="1"/>
        <v>125.64980683325986</v>
      </c>
      <c r="Y53" s="59">
        <f t="shared" si="2"/>
        <v>116.67585206251476</v>
      </c>
    </row>
    <row r="54" spans="12:25" x14ac:dyDescent="0.25">
      <c r="P54" s="56">
        <v>45505</v>
      </c>
      <c r="Q54" s="6">
        <v>177.04</v>
      </c>
      <c r="R54" s="6">
        <v>5648.4</v>
      </c>
      <c r="S54" s="6">
        <v>17877.79</v>
      </c>
      <c r="T54" s="6">
        <v>41175.08</v>
      </c>
      <c r="U54" s="56">
        <v>45505</v>
      </c>
      <c r="V54" s="59">
        <f t="shared" si="3"/>
        <v>110.54636278488917</v>
      </c>
      <c r="W54" s="59">
        <f t="shared" si="0"/>
        <v>133.53538744506358</v>
      </c>
      <c r="X54" s="59">
        <f t="shared" si="1"/>
        <v>129.41331891369137</v>
      </c>
      <c r="Y54" s="59">
        <f t="shared" si="2"/>
        <v>119.24626659272015</v>
      </c>
    </row>
    <row r="55" spans="12:25" x14ac:dyDescent="0.25">
      <c r="P55" s="56">
        <v>45536</v>
      </c>
      <c r="Q55" s="6">
        <v>191.6</v>
      </c>
      <c r="R55" s="6">
        <v>5751.07</v>
      </c>
      <c r="S55" s="6">
        <v>18137.849999999999</v>
      </c>
      <c r="T55" s="6">
        <v>42313</v>
      </c>
      <c r="U55" s="56">
        <v>45536</v>
      </c>
      <c r="V55" s="59">
        <f t="shared" si="3"/>
        <v>119.63783952544489</v>
      </c>
      <c r="W55" s="59">
        <f t="shared" si="0"/>
        <v>135.96263732626613</v>
      </c>
      <c r="X55" s="59">
        <f t="shared" si="1"/>
        <v>131.29583502539722</v>
      </c>
      <c r="Y55" s="59">
        <f t="shared" si="2"/>
        <v>122.54177231319932</v>
      </c>
    </row>
    <row r="56" spans="12:25" x14ac:dyDescent="0.25">
      <c r="P56" s="56">
        <v>45566</v>
      </c>
      <c r="Q56" s="6">
        <v>188.99</v>
      </c>
      <c r="R56" s="6">
        <v>5728.8</v>
      </c>
      <c r="S56" s="6">
        <v>18518.61</v>
      </c>
      <c r="T56" s="6">
        <v>42052.19</v>
      </c>
      <c r="U56" s="56">
        <v>45566</v>
      </c>
      <c r="V56" s="59">
        <f t="shared" si="3"/>
        <v>118.00811738994692</v>
      </c>
      <c r="W56" s="59">
        <f t="shared" si="0"/>
        <v>135.43614609363362</v>
      </c>
      <c r="X56" s="59">
        <f t="shared" si="1"/>
        <v>134.05207141197394</v>
      </c>
      <c r="Y56" s="59">
        <f t="shared" si="2"/>
        <v>121.78644606270881</v>
      </c>
    </row>
    <row r="57" spans="12:25" x14ac:dyDescent="0.25">
      <c r="P57" s="56">
        <v>45597</v>
      </c>
      <c r="Q57" s="6">
        <v>197.12</v>
      </c>
      <c r="R57" s="6">
        <v>5969.34</v>
      </c>
      <c r="S57" s="6">
        <v>19003.650000000001</v>
      </c>
      <c r="T57" s="6">
        <v>44296.51</v>
      </c>
      <c r="U57" s="56">
        <v>45597</v>
      </c>
      <c r="V57" s="59">
        <f t="shared" si="3"/>
        <v>123.08460817983141</v>
      </c>
      <c r="W57" s="59">
        <f t="shared" si="0"/>
        <v>141.1228187967063</v>
      </c>
      <c r="X57" s="59">
        <f t="shared" si="1"/>
        <v>137.5631673699138</v>
      </c>
      <c r="Y57" s="59">
        <f t="shared" si="2"/>
        <v>128.28617310730408</v>
      </c>
    </row>
    <row r="58" spans="12:25" x14ac:dyDescent="0.25">
      <c r="P58" s="56">
        <v>45627</v>
      </c>
      <c r="Q58" s="6">
        <v>224.92</v>
      </c>
      <c r="R58" s="6">
        <v>5942.47</v>
      </c>
      <c r="S58" s="6">
        <v>19722.03</v>
      </c>
      <c r="T58" s="6">
        <v>42840.26</v>
      </c>
      <c r="U58" s="56">
        <v>45627</v>
      </c>
      <c r="V58" s="59">
        <f t="shared" si="3"/>
        <v>140.44333437402435</v>
      </c>
      <c r="W58" s="59">
        <f t="shared" si="0"/>
        <v>140.48757769114565</v>
      </c>
      <c r="X58" s="59">
        <f t="shared" si="1"/>
        <v>142.76335934225582</v>
      </c>
      <c r="Y58" s="59">
        <f t="shared" si="2"/>
        <v>124.06875869728596</v>
      </c>
    </row>
    <row r="59" spans="12:25" x14ac:dyDescent="0.25">
      <c r="P59" s="56">
        <v>45658</v>
      </c>
      <c r="Q59" s="6">
        <v>234.85</v>
      </c>
      <c r="R59" s="6">
        <v>6040.53</v>
      </c>
      <c r="S59" s="6">
        <v>19627.439999999999</v>
      </c>
      <c r="T59" s="6">
        <v>44424.25</v>
      </c>
      <c r="U59" s="56">
        <v>45658</v>
      </c>
      <c r="V59" s="59">
        <f t="shared" si="3"/>
        <v>146.64377146425224</v>
      </c>
      <c r="W59" s="59">
        <f t="shared" si="0"/>
        <v>142.80584128665282</v>
      </c>
      <c r="X59" s="59">
        <f t="shared" si="1"/>
        <v>142.07864351126969</v>
      </c>
      <c r="Y59" s="59">
        <f t="shared" si="2"/>
        <v>128.65611818317407</v>
      </c>
    </row>
    <row r="60" spans="12:25" x14ac:dyDescent="0.25">
      <c r="P60" s="56">
        <v>45689</v>
      </c>
      <c r="Q60" s="6">
        <v>216.58</v>
      </c>
      <c r="R60" s="6">
        <v>5954.5</v>
      </c>
      <c r="S60" s="6">
        <v>19524.009999999998</v>
      </c>
      <c r="T60" s="6">
        <v>43840.91</v>
      </c>
      <c r="U60" s="56">
        <v>45689</v>
      </c>
      <c r="V60" s="59">
        <f t="shared" si="3"/>
        <v>135.23571651576646</v>
      </c>
      <c r="W60" s="59">
        <f t="shared" si="0"/>
        <v>140.77198225012944</v>
      </c>
      <c r="X60" s="59">
        <f t="shared" si="1"/>
        <v>141.32993689958874</v>
      </c>
      <c r="Y60" s="59">
        <f t="shared" si="2"/>
        <v>126.9667197131724</v>
      </c>
    </row>
    <row r="61" spans="12:25" x14ac:dyDescent="0.25">
      <c r="P61" s="56">
        <v>45717</v>
      </c>
      <c r="Q61" s="6">
        <v>196.21</v>
      </c>
      <c r="R61" s="6">
        <v>5074.08</v>
      </c>
      <c r="S61" s="6">
        <v>15587.79</v>
      </c>
      <c r="T61" s="6">
        <v>38314.86</v>
      </c>
      <c r="U61" s="56">
        <v>45717</v>
      </c>
      <c r="V61" s="59">
        <f t="shared" si="3"/>
        <v>122.51639088354666</v>
      </c>
      <c r="W61" s="59">
        <f t="shared" si="0"/>
        <v>119.95772939721836</v>
      </c>
      <c r="X61" s="59">
        <f t="shared" si="1"/>
        <v>112.83652165226512</v>
      </c>
      <c r="Y61" s="59">
        <f t="shared" si="2"/>
        <v>110.96284476005268</v>
      </c>
    </row>
    <row r="62" spans="12:25" x14ac:dyDescent="0.25">
      <c r="P62" s="56">
        <v>45748</v>
      </c>
      <c r="Q62" s="6">
        <v>172.61</v>
      </c>
      <c r="R62" s="6">
        <v>5282.7</v>
      </c>
      <c r="S62" s="6">
        <v>16286.45</v>
      </c>
      <c r="T62" s="6">
        <v>39142.230000000003</v>
      </c>
      <c r="U62" s="56">
        <v>45748</v>
      </c>
      <c r="V62" s="59">
        <f t="shared" si="3"/>
        <v>107.78020605682173</v>
      </c>
      <c r="W62" s="59">
        <f t="shared" si="0"/>
        <v>124.88977254727662</v>
      </c>
      <c r="X62" s="59">
        <f t="shared" si="1"/>
        <v>117.89396495998044</v>
      </c>
      <c r="Y62" s="59">
        <f t="shared" si="2"/>
        <v>113.35897328222721</v>
      </c>
    </row>
    <row r="63" spans="12:25" x14ac:dyDescent="0.25">
      <c r="P63" s="56">
        <v>45778</v>
      </c>
      <c r="Q63" s="6">
        <v>200.99</v>
      </c>
      <c r="R63" s="6">
        <v>5802.82</v>
      </c>
      <c r="S63" s="6">
        <v>19113.77</v>
      </c>
      <c r="T63" s="6">
        <v>41603.07</v>
      </c>
      <c r="U63" s="56">
        <v>45778</v>
      </c>
      <c r="V63" s="59">
        <f t="shared" si="3"/>
        <v>125.50109272556978</v>
      </c>
      <c r="W63" s="59">
        <f t="shared" si="0"/>
        <v>137.18607339670768</v>
      </c>
      <c r="X63" s="59">
        <f t="shared" si="1"/>
        <v>138.36030139368157</v>
      </c>
      <c r="Y63" s="59">
        <f t="shared" si="2"/>
        <v>120.48575925767715</v>
      </c>
    </row>
    <row r="64" spans="12:25" x14ac:dyDescent="0.25">
      <c r="P64" s="56">
        <v>45809</v>
      </c>
      <c r="Q64" s="6">
        <v>209.69</v>
      </c>
      <c r="R64" s="6">
        <v>6279.35</v>
      </c>
      <c r="S64" s="6">
        <v>19447.41</v>
      </c>
      <c r="T64" s="6">
        <v>42206.82</v>
      </c>
      <c r="U64" s="56">
        <v>45809</v>
      </c>
      <c r="V64" s="59">
        <f t="shared" si="3"/>
        <v>130.93349984389636</v>
      </c>
      <c r="W64" s="59">
        <f t="shared" si="0"/>
        <v>148.45185099376107</v>
      </c>
      <c r="X64" s="59">
        <f t="shared" si="1"/>
        <v>140.7754466505821</v>
      </c>
      <c r="Y64" s="59">
        <f t="shared" si="2"/>
        <v>122.2342666911868</v>
      </c>
    </row>
    <row r="65" spans="16:25" x14ac:dyDescent="0.25">
      <c r="P65" s="56">
        <v>45839</v>
      </c>
      <c r="Q65" s="6">
        <v>226.13</v>
      </c>
      <c r="R65" s="6">
        <v>6238.01</v>
      </c>
      <c r="S65" s="6">
        <v>20650.13</v>
      </c>
      <c r="T65" s="6">
        <v>44901.919999999998</v>
      </c>
      <c r="U65" s="56">
        <v>45839</v>
      </c>
      <c r="V65" s="59">
        <f t="shared" si="3"/>
        <v>141.19887605369965</v>
      </c>
      <c r="W65" s="59">
        <f t="shared" si="0"/>
        <v>147.47452061401123</v>
      </c>
      <c r="X65" s="59">
        <f t="shared" si="1"/>
        <v>149.48166743759631</v>
      </c>
      <c r="Y65" s="59">
        <f t="shared" si="2"/>
        <v>130.03948803123131</v>
      </c>
    </row>
    <row r="66" spans="16:25" x14ac:dyDescent="0.25">
      <c r="P66" s="56">
        <v>45870</v>
      </c>
      <c r="Q66" s="6">
        <v>228.84</v>
      </c>
      <c r="R66" s="6">
        <v>6460.26</v>
      </c>
      <c r="S66" s="6">
        <v>21496.54</v>
      </c>
      <c r="T66" s="6">
        <v>45544.88</v>
      </c>
      <c r="U66" s="56">
        <v>45870</v>
      </c>
      <c r="V66" s="59">
        <f t="shared" si="3"/>
        <v>142.8910396503278</v>
      </c>
      <c r="W66" s="59">
        <f t="shared" si="0"/>
        <v>152.72879436581093</v>
      </c>
      <c r="X66" s="59">
        <f t="shared" si="1"/>
        <v>155.60863991359795</v>
      </c>
      <c r="Y66" s="59">
        <f t="shared" si="2"/>
        <v>131.90155070526754</v>
      </c>
    </row>
    <row r="67" spans="16:25" x14ac:dyDescent="0.25">
      <c r="P67" s="56">
        <v>45901</v>
      </c>
      <c r="Q67" s="6">
        <v>231.48</v>
      </c>
      <c r="R67" s="6">
        <v>6715.79</v>
      </c>
      <c r="S67" s="6">
        <v>22780.51</v>
      </c>
      <c r="T67" s="6">
        <v>46758.28</v>
      </c>
      <c r="U67" s="56">
        <v>45901</v>
      </c>
      <c r="V67" s="59">
        <f t="shared" si="3"/>
        <v>144.53949422416483</v>
      </c>
      <c r="W67" s="59">
        <f t="shared" si="0"/>
        <v>158.76984980696895</v>
      </c>
      <c r="X67" s="59">
        <f t="shared" si="1"/>
        <v>164.90301125846844</v>
      </c>
      <c r="Y67" s="59">
        <f t="shared" si="2"/>
        <v>135.41565243581928</v>
      </c>
    </row>
    <row r="68" spans="16:25" x14ac:dyDescent="0.25">
      <c r="P68" s="56">
        <v>45931</v>
      </c>
      <c r="Q68" s="6">
        <v>224.21</v>
      </c>
      <c r="R68" s="6">
        <v>6840.2</v>
      </c>
      <c r="S68" s="6">
        <v>23204.87</v>
      </c>
      <c r="T68" s="6">
        <v>47207.12</v>
      </c>
      <c r="U68" s="56">
        <v>45931</v>
      </c>
      <c r="V68" s="59">
        <f t="shared" si="3"/>
        <v>140</v>
      </c>
      <c r="W68" s="59">
        <f t="shared" si="0"/>
        <v>161.71106104414062</v>
      </c>
      <c r="X68" s="59">
        <f t="shared" si="1"/>
        <v>167.97485828286096</v>
      </c>
      <c r="Y68" s="59">
        <f t="shared" si="2"/>
        <v>136.71552833885278</v>
      </c>
    </row>
    <row r="69" spans="16:25" x14ac:dyDescent="0.25">
      <c r="P69" s="56">
        <v>45962</v>
      </c>
      <c r="Q69" s="6">
        <v>220.69</v>
      </c>
      <c r="R69" s="6">
        <v>6849.09</v>
      </c>
      <c r="S69" s="6">
        <v>23365.69</v>
      </c>
      <c r="T69" s="6">
        <v>46245.41</v>
      </c>
      <c r="U69" s="56">
        <v>45962</v>
      </c>
      <c r="V69" s="59">
        <f t="shared" si="3"/>
        <v>137.80206056821729</v>
      </c>
      <c r="W69" s="59">
        <f t="shared" si="0"/>
        <v>161.9212319942126</v>
      </c>
      <c r="X69" s="59">
        <f t="shared" si="1"/>
        <v>169.13899825473106</v>
      </c>
      <c r="Y69" s="59">
        <f t="shared" si="2"/>
        <v>133.93034062228043</v>
      </c>
    </row>
    <row r="70" spans="16:25" x14ac:dyDescent="0.25">
      <c r="P70" s="56">
        <v>45992</v>
      </c>
      <c r="Q70" s="6">
        <v>227.35</v>
      </c>
      <c r="R70" s="6">
        <v>6929.94</v>
      </c>
      <c r="S70" s="6">
        <v>23593.1</v>
      </c>
      <c r="T70" s="6">
        <v>48134.89</v>
      </c>
      <c r="U70" s="56">
        <v>45992</v>
      </c>
      <c r="V70" s="59">
        <f t="shared" si="3"/>
        <v>141.96066187948796</v>
      </c>
      <c r="W70" s="59">
        <f t="shared" si="0"/>
        <v>163.83262921730824</v>
      </c>
      <c r="X70" s="59">
        <f t="shared" si="1"/>
        <v>170.78516832687995</v>
      </c>
      <c r="Y70" s="59">
        <f t="shared" si="2"/>
        <v>139.40242314893518</v>
      </c>
    </row>
    <row r="71" spans="16:25" x14ac:dyDescent="0.25">
      <c r="P71" s="56">
        <v>46023</v>
      </c>
      <c r="Q71" s="6">
        <v>239.16</v>
      </c>
      <c r="R71" s="6">
        <v>6939.03</v>
      </c>
      <c r="S71" s="6">
        <v>23461.82</v>
      </c>
      <c r="T71" s="6">
        <v>49098.71</v>
      </c>
      <c r="U71" s="56">
        <v>46023</v>
      </c>
      <c r="V71" s="59">
        <f t="shared" si="3"/>
        <v>149.33499843896348</v>
      </c>
      <c r="W71" s="59">
        <f t="shared" si="0"/>
        <v>164.04752842272492</v>
      </c>
      <c r="X71" s="59">
        <f t="shared" si="1"/>
        <v>169.83486180090614</v>
      </c>
      <c r="Y71" s="59">
        <f t="shared" si="2"/>
        <v>142.19372159127934</v>
      </c>
    </row>
    <row r="72" spans="16:25" x14ac:dyDescent="0.25">
      <c r="P72" s="56">
        <v>46054</v>
      </c>
      <c r="Q72" s="6">
        <v>210.11</v>
      </c>
      <c r="R72" s="6">
        <v>6909.51</v>
      </c>
      <c r="S72" s="6">
        <v>22668.21</v>
      </c>
      <c r="T72" s="6">
        <v>48977.919999999998</v>
      </c>
      <c r="U72" s="56">
        <v>46054</v>
      </c>
      <c r="V72" s="59">
        <f t="shared" si="3"/>
        <v>131.19575398064316</v>
      </c>
      <c r="W72" s="59">
        <f t="shared" si="0"/>
        <v>163.34963793384699</v>
      </c>
      <c r="X72" s="59">
        <f t="shared" si="1"/>
        <v>164.09009670280989</v>
      </c>
      <c r="Y72" s="59">
        <f t="shared" si="2"/>
        <v>141.8439042614348</v>
      </c>
    </row>
    <row r="73" spans="16:25" x14ac:dyDescent="0.25">
      <c r="P73" s="56">
        <v>46082</v>
      </c>
      <c r="Q73" s="6">
        <v>205.37</v>
      </c>
      <c r="R73" s="6">
        <v>6368.85</v>
      </c>
      <c r="S73" s="6">
        <v>20948.36</v>
      </c>
      <c r="T73" s="6">
        <v>45577.47</v>
      </c>
      <c r="U73" s="56">
        <v>46082</v>
      </c>
      <c r="V73" s="59">
        <f t="shared" si="3"/>
        <v>128.23602872307211</v>
      </c>
      <c r="W73" s="59">
        <f t="shared" si="0"/>
        <v>150.56774526051504</v>
      </c>
      <c r="X73" s="59">
        <f t="shared" si="1"/>
        <v>151.64048763291299</v>
      </c>
      <c r="Y73" s="59">
        <f t="shared" si="2"/>
        <v>131.99593390569501</v>
      </c>
    </row>
    <row r="74" spans="16:25" x14ac:dyDescent="0.25">
      <c r="P74" s="56">
        <v>46113</v>
      </c>
      <c r="Q74" s="6">
        <v>263.99</v>
      </c>
      <c r="R74" s="6">
        <v>7123.06</v>
      </c>
      <c r="S74" s="6">
        <v>24468.48</v>
      </c>
      <c r="T74" s="6">
        <v>49447.43</v>
      </c>
      <c r="U74" s="56">
        <v>46113</v>
      </c>
      <c r="V74" s="59">
        <f t="shared" si="3"/>
        <v>164.83921323758977</v>
      </c>
      <c r="W74" s="59">
        <f t="shared" si="0"/>
        <v>168.39823257815215</v>
      </c>
      <c r="X74" s="59">
        <f t="shared" si="1"/>
        <v>177.12184814640278</v>
      </c>
      <c r="Y74" s="59">
        <f t="shared" si="2"/>
        <v>143.20364210840313</v>
      </c>
    </row>
    <row r="75" spans="16:25" x14ac:dyDescent="0.25">
      <c r="P75" s="56">
        <v>46143</v>
      </c>
      <c r="Q75" s="60">
        <v>268.41000000000003</v>
      </c>
      <c r="R75" s="6">
        <v>7473.47</v>
      </c>
      <c r="S75" s="6">
        <v>26343.97</v>
      </c>
      <c r="T75" s="6">
        <v>50579.7</v>
      </c>
      <c r="U75" s="56">
        <v>46143</v>
      </c>
      <c r="V75" s="59">
        <f t="shared" si="3"/>
        <v>167.59912581954418</v>
      </c>
      <c r="W75" s="59">
        <f t="shared" si="0"/>
        <v>176.68237235483664</v>
      </c>
      <c r="X75" s="59">
        <f t="shared" si="1"/>
        <v>190.69810032798895</v>
      </c>
      <c r="Y75" s="59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360F-7146-4F44-BD0C-B12C6AA26A8D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64</v>
      </c>
    </row>
    <row r="5" spans="1:26" x14ac:dyDescent="0.25">
      <c r="A5" s="32" t="s">
        <v>1</v>
      </c>
      <c r="B5" s="33"/>
      <c r="C5" s="34"/>
      <c r="P5" t="s">
        <v>59</v>
      </c>
    </row>
    <row r="6" spans="1:26" x14ac:dyDescent="0.25">
      <c r="A6" s="35" t="s">
        <v>2</v>
      </c>
      <c r="B6" s="36">
        <v>0.05</v>
      </c>
      <c r="C6" s="37"/>
      <c r="P6" t="s">
        <v>60</v>
      </c>
      <c r="Q6" t="s">
        <v>61</v>
      </c>
      <c r="S6" t="s">
        <v>62</v>
      </c>
      <c r="T6" t="s">
        <v>63</v>
      </c>
    </row>
    <row r="7" spans="1:26" x14ac:dyDescent="0.25">
      <c r="A7" s="35" t="s">
        <v>3</v>
      </c>
      <c r="B7" s="45">
        <v>9.9400000000000002E-2</v>
      </c>
      <c r="C7" s="37"/>
      <c r="P7">
        <v>2026</v>
      </c>
      <c r="Q7" s="22">
        <f>D28</f>
        <v>186400240000</v>
      </c>
      <c r="R7" s="22"/>
      <c r="S7" t="s">
        <v>41</v>
      </c>
      <c r="T7" s="14">
        <f>B40</f>
        <v>476.16793485471521</v>
      </c>
    </row>
    <row r="8" spans="1:26" x14ac:dyDescent="0.25">
      <c r="A8" s="35" t="s">
        <v>4</v>
      </c>
      <c r="B8" s="45">
        <v>4.4999999999999998E-2</v>
      </c>
      <c r="C8" s="37"/>
      <c r="P8">
        <v>2027</v>
      </c>
      <c r="Q8" s="22">
        <f>E28</f>
        <v>219952283200</v>
      </c>
      <c r="R8" s="22"/>
      <c r="S8" t="s">
        <v>56</v>
      </c>
      <c r="T8" s="14">
        <v>209.17</v>
      </c>
    </row>
    <row r="9" spans="1:26" x14ac:dyDescent="0.25">
      <c r="A9" s="35" t="s">
        <v>5</v>
      </c>
      <c r="B9" s="38" t="s">
        <v>96</v>
      </c>
      <c r="C9" s="37"/>
      <c r="P9">
        <v>2028</v>
      </c>
      <c r="Q9" s="22">
        <f>F28</f>
        <v>252945125679.99994</v>
      </c>
      <c r="R9" s="22"/>
      <c r="S9" t="s">
        <v>8</v>
      </c>
      <c r="T9" s="14">
        <f>B12</f>
        <v>267</v>
      </c>
    </row>
    <row r="10" spans="1:26" x14ac:dyDescent="0.25">
      <c r="A10" s="35" t="s">
        <v>6</v>
      </c>
      <c r="B10" s="39">
        <v>46157</v>
      </c>
      <c r="C10" s="37"/>
      <c r="P10">
        <v>2029</v>
      </c>
      <c r="Q10" s="22">
        <f>G28</f>
        <v>293416345788.79993</v>
      </c>
      <c r="R10" s="22"/>
    </row>
    <row r="11" spans="1:26" x14ac:dyDescent="0.25">
      <c r="A11" s="35" t="s">
        <v>7</v>
      </c>
      <c r="B11" s="39">
        <v>46387</v>
      </c>
      <c r="C11" s="37"/>
      <c r="P11">
        <v>2030</v>
      </c>
      <c r="Q11" s="22">
        <f>H28</f>
        <v>328626307283.45593</v>
      </c>
      <c r="R11" s="22"/>
    </row>
    <row r="12" spans="1:26" x14ac:dyDescent="0.25">
      <c r="A12" s="35" t="s">
        <v>8</v>
      </c>
      <c r="B12" s="40">
        <v>267</v>
      </c>
      <c r="C12" s="37" t="s">
        <v>85</v>
      </c>
      <c r="P12">
        <v>2031</v>
      </c>
      <c r="Q12" s="22">
        <f>I28</f>
        <v>361488938011.80157</v>
      </c>
      <c r="R12" s="22"/>
    </row>
    <row r="13" spans="1:26" x14ac:dyDescent="0.25">
      <c r="A13" s="35" t="s">
        <v>9</v>
      </c>
      <c r="B13" s="41">
        <v>10000000000</v>
      </c>
      <c r="C13" s="37"/>
    </row>
    <row r="14" spans="1:26" x14ac:dyDescent="0.25">
      <c r="A14" s="35" t="s">
        <v>10</v>
      </c>
      <c r="B14" s="40">
        <v>65000000000</v>
      </c>
      <c r="C14" s="37"/>
      <c r="P14" s="6" t="s">
        <v>16</v>
      </c>
      <c r="Q14" s="6" t="s">
        <v>81</v>
      </c>
      <c r="R14" s="6" t="s">
        <v>65</v>
      </c>
      <c r="S14" s="6" t="s">
        <v>71</v>
      </c>
      <c r="T14" s="6" t="s">
        <v>66</v>
      </c>
      <c r="U14" s="6" t="s">
        <v>16</v>
      </c>
      <c r="V14" s="6" t="s">
        <v>84</v>
      </c>
      <c r="W14" s="6" t="s">
        <v>67</v>
      </c>
      <c r="X14" s="6" t="s">
        <v>72</v>
      </c>
      <c r="Y14" s="6" t="s">
        <v>68</v>
      </c>
      <c r="Z14" t="s">
        <v>69</v>
      </c>
    </row>
    <row r="15" spans="1:26" x14ac:dyDescent="0.25">
      <c r="A15" s="35" t="s">
        <v>11</v>
      </c>
      <c r="B15" s="40">
        <v>143000000000</v>
      </c>
      <c r="C15" s="37"/>
      <c r="P15" s="56">
        <v>44317</v>
      </c>
      <c r="Q15" s="57">
        <v>160.15</v>
      </c>
      <c r="R15" s="6">
        <v>4229.8900000000003</v>
      </c>
      <c r="S15" s="6">
        <v>13814.49</v>
      </c>
      <c r="T15" s="6">
        <v>34529.449999999997</v>
      </c>
      <c r="U15" s="56">
        <v>44317</v>
      </c>
      <c r="V15" s="58">
        <v>100</v>
      </c>
      <c r="W15" s="58">
        <v>100</v>
      </c>
      <c r="X15" s="58">
        <v>100</v>
      </c>
      <c r="Y15" s="58">
        <v>100</v>
      </c>
      <c r="Z15" t="s">
        <v>70</v>
      </c>
    </row>
    <row r="16" spans="1:26" x14ac:dyDescent="0.25">
      <c r="A16" s="35" t="s">
        <v>12</v>
      </c>
      <c r="B16" s="40" t="s">
        <v>101</v>
      </c>
      <c r="C16" s="37"/>
      <c r="P16" s="56">
        <v>44348</v>
      </c>
      <c r="Q16" s="6">
        <v>174.35</v>
      </c>
      <c r="R16" s="6">
        <v>4352.34</v>
      </c>
      <c r="S16" s="6">
        <v>14639.33</v>
      </c>
      <c r="T16" s="6">
        <v>34433.839999999997</v>
      </c>
      <c r="U16" s="56">
        <v>44348</v>
      </c>
      <c r="V16" s="59">
        <f>(Q16/$Q$15)*100</f>
        <v>108.86668748048704</v>
      </c>
      <c r="W16" s="59">
        <f>(R16/$R$15)*100</f>
        <v>102.89487433479356</v>
      </c>
      <c r="X16" s="59">
        <f>(S16/$S$15)*100</f>
        <v>105.97083207559599</v>
      </c>
      <c r="Y16" s="59">
        <f>(T16/$T$15)*100</f>
        <v>99.723105928417624</v>
      </c>
      <c r="Z16" t="s">
        <v>75</v>
      </c>
    </row>
    <row r="17" spans="1:25" x14ac:dyDescent="0.25">
      <c r="A17" s="42" t="s">
        <v>89</v>
      </c>
      <c r="B17" s="43"/>
      <c r="C17" s="44"/>
      <c r="P17" s="56">
        <v>44378</v>
      </c>
      <c r="Q17" s="6">
        <v>182.83</v>
      </c>
      <c r="R17" s="6">
        <v>4395.26</v>
      </c>
      <c r="S17" s="6">
        <v>14672.68</v>
      </c>
      <c r="T17" s="6">
        <v>35061.550000000003</v>
      </c>
      <c r="U17" s="56">
        <v>44378</v>
      </c>
      <c r="V17" s="59">
        <f>(Q17/$Q$15)*100</f>
        <v>114.16172338432719</v>
      </c>
      <c r="W17" s="59">
        <f t="shared" ref="W17:W75" si="0">(R17/$R$15)*100</f>
        <v>103.90955793176656</v>
      </c>
      <c r="X17" s="59">
        <f t="shared" ref="X17:X75" si="1">(S17/$S$15)*100</f>
        <v>106.21224525842069</v>
      </c>
      <c r="Y17" s="59">
        <f t="shared" ref="Y17:Y75" si="2">(T17/$T$15)*100</f>
        <v>101.54100340434039</v>
      </c>
    </row>
    <row r="18" spans="1:25" x14ac:dyDescent="0.25">
      <c r="P18" s="56">
        <v>44409</v>
      </c>
      <c r="Q18" s="6">
        <v>160</v>
      </c>
      <c r="R18" s="6">
        <v>4509.37</v>
      </c>
      <c r="S18" s="6">
        <v>14714.66</v>
      </c>
      <c r="T18" s="6">
        <v>35120.080000000002</v>
      </c>
      <c r="U18" s="56">
        <v>44409</v>
      </c>
      <c r="V18" s="59">
        <f>(Q18/$Q$15)*100</f>
        <v>99.906337808304713</v>
      </c>
      <c r="W18" s="59">
        <f t="shared" si="0"/>
        <v>106.60726401868605</v>
      </c>
      <c r="X18" s="59">
        <f t="shared" si="1"/>
        <v>106.51612907895984</v>
      </c>
      <c r="Y18" s="59">
        <f t="shared" si="2"/>
        <v>101.71051088273924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44440</v>
      </c>
      <c r="Q19" s="6">
        <v>171.28</v>
      </c>
      <c r="R19" s="6">
        <v>4455.4799999999996</v>
      </c>
      <c r="S19" s="6">
        <v>15047.7</v>
      </c>
      <c r="T19" s="6">
        <v>34326.46</v>
      </c>
      <c r="U19" s="56">
        <v>44440</v>
      </c>
      <c r="V19" s="59">
        <f t="shared" ref="V19:V75" si="3">(Q19/$Q$15)*100</f>
        <v>106.94973462379021</v>
      </c>
      <c r="W19" s="59">
        <f t="shared" si="0"/>
        <v>105.33323561605619</v>
      </c>
      <c r="X19" s="59">
        <f t="shared" si="1"/>
        <v>108.92693107020237</v>
      </c>
      <c r="Y19" s="59">
        <f t="shared" si="2"/>
        <v>99.412125012127333</v>
      </c>
    </row>
    <row r="20" spans="1:25" x14ac:dyDescent="0.25">
      <c r="A20" t="s">
        <v>16</v>
      </c>
      <c r="C20" s="7">
        <v>46157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6944043018792.8789</v>
      </c>
      <c r="P20" s="56">
        <v>44470</v>
      </c>
      <c r="Q20" s="6">
        <v>166.78</v>
      </c>
      <c r="R20" s="6">
        <v>4544.8999999999996</v>
      </c>
      <c r="S20" s="6">
        <v>15498.39</v>
      </c>
      <c r="T20" s="6">
        <v>35677.019999999997</v>
      </c>
      <c r="U20" s="56">
        <v>44470</v>
      </c>
      <c r="V20" s="59">
        <f t="shared" si="3"/>
        <v>104.13986887293163</v>
      </c>
      <c r="W20" s="59">
        <f t="shared" si="0"/>
        <v>107.44723858067229</v>
      </c>
      <c r="X20" s="59">
        <f t="shared" si="1"/>
        <v>112.1893750692208</v>
      </c>
      <c r="Y20" s="59">
        <f t="shared" si="2"/>
        <v>103.32345287862969</v>
      </c>
    </row>
    <row r="21" spans="1:25" x14ac:dyDescent="0.25">
      <c r="A21" t="s">
        <v>18</v>
      </c>
      <c r="B21" t="s">
        <v>73</v>
      </c>
      <c r="C21" s="29"/>
      <c r="D21" s="5">
        <v>716924000000</v>
      </c>
      <c r="E21" s="5">
        <f>D21*1.18</f>
        <v>845970320000</v>
      </c>
      <c r="F21" s="5">
        <f>E21*1.15</f>
        <v>972865867999.99988</v>
      </c>
      <c r="G21" s="26">
        <f>F21*1.16</f>
        <v>1128524406879.9998</v>
      </c>
      <c r="H21" s="5">
        <f>G21*1.12</f>
        <v>1263947335705.5999</v>
      </c>
      <c r="I21" s="5">
        <f>H21*1.1</f>
        <v>1390342069276.1599</v>
      </c>
      <c r="L21" t="s">
        <v>19</v>
      </c>
      <c r="M21" s="11">
        <f>(I22+I25)*19</f>
        <v>9509939753848.9336</v>
      </c>
      <c r="P21" s="56">
        <v>44501</v>
      </c>
      <c r="Q21" s="6">
        <v>183.83</v>
      </c>
      <c r="R21" s="6">
        <v>4594.62</v>
      </c>
      <c r="S21" s="6">
        <v>15085.47</v>
      </c>
      <c r="T21" s="6">
        <v>34889.339999999997</v>
      </c>
      <c r="U21" s="56">
        <v>44501</v>
      </c>
      <c r="V21" s="59">
        <f t="shared" si="3"/>
        <v>114.7861379956291</v>
      </c>
      <c r="W21" s="59">
        <f t="shared" si="0"/>
        <v>108.62268285936511</v>
      </c>
      <c r="X21" s="59">
        <f t="shared" si="1"/>
        <v>109.20033964337446</v>
      </c>
      <c r="Y21" s="59">
        <f t="shared" si="2"/>
        <v>101.04226971469281</v>
      </c>
    </row>
    <row r="22" spans="1:25" x14ac:dyDescent="0.25">
      <c r="A22" t="s">
        <v>86</v>
      </c>
      <c r="B22" t="s">
        <v>100</v>
      </c>
      <c r="C22" s="30">
        <v>0.3</v>
      </c>
      <c r="D22" s="5">
        <f>D21*$C$22</f>
        <v>215077200000</v>
      </c>
      <c r="E22" s="5">
        <f t="shared" ref="E22:I22" si="4">E21*$C$22</f>
        <v>253791096000</v>
      </c>
      <c r="F22" s="5">
        <f t="shared" si="4"/>
        <v>291859760399.99994</v>
      </c>
      <c r="G22" s="5">
        <f t="shared" si="4"/>
        <v>338557322063.99994</v>
      </c>
      <c r="H22" s="5">
        <f t="shared" si="4"/>
        <v>379184200711.67993</v>
      </c>
      <c r="I22" s="5">
        <f t="shared" si="4"/>
        <v>417102620782.84796</v>
      </c>
      <c r="L22" t="s">
        <v>20</v>
      </c>
      <c r="M22" s="11">
        <f>(M20+M21)/2</f>
        <v>8226991386320.9063</v>
      </c>
      <c r="P22" s="56">
        <v>44531</v>
      </c>
      <c r="Q22" s="6">
        <v>171.07</v>
      </c>
      <c r="R22" s="6">
        <v>4766.18</v>
      </c>
      <c r="S22" s="6">
        <v>15653.37</v>
      </c>
      <c r="T22" s="6">
        <v>35950.559999999998</v>
      </c>
      <c r="U22" s="56">
        <v>44531</v>
      </c>
      <c r="V22" s="59">
        <f t="shared" si="3"/>
        <v>106.81860755541679</v>
      </c>
      <c r="W22" s="59">
        <f t="shared" si="0"/>
        <v>112.67858029405021</v>
      </c>
      <c r="X22" s="59">
        <f t="shared" si="1"/>
        <v>113.31124058868622</v>
      </c>
      <c r="Y22" s="59">
        <f t="shared" si="2"/>
        <v>104.11564620925036</v>
      </c>
    </row>
    <row r="23" spans="1:25" x14ac:dyDescent="0.25">
      <c r="A23" t="s">
        <v>21</v>
      </c>
      <c r="B23" t="s">
        <v>22</v>
      </c>
      <c r="C23" s="30"/>
      <c r="D23" s="5">
        <f>D22*$B$6</f>
        <v>10753860000</v>
      </c>
      <c r="E23" s="26">
        <f t="shared" ref="E23:I23" si="5">E22*$B$6</f>
        <v>12689554800</v>
      </c>
      <c r="F23" s="5">
        <f t="shared" si="5"/>
        <v>14592988019.999998</v>
      </c>
      <c r="G23" s="26">
        <f t="shared" si="5"/>
        <v>16927866103.199997</v>
      </c>
      <c r="H23" s="26">
        <f t="shared" si="5"/>
        <v>18959210035.583996</v>
      </c>
      <c r="I23" s="5">
        <f t="shared" si="5"/>
        <v>20855131039.142399</v>
      </c>
      <c r="P23" s="56">
        <v>44562</v>
      </c>
      <c r="Q23" s="6">
        <v>142.63999999999999</v>
      </c>
      <c r="R23" s="6">
        <v>4500.53</v>
      </c>
      <c r="S23" s="6">
        <v>13770.57</v>
      </c>
      <c r="T23" s="6">
        <v>34725.47</v>
      </c>
      <c r="U23" s="56">
        <v>44562</v>
      </c>
      <c r="V23" s="59">
        <f t="shared" si="3"/>
        <v>89.066500156103643</v>
      </c>
      <c r="W23" s="59">
        <f t="shared" si="0"/>
        <v>106.39827513245024</v>
      </c>
      <c r="X23" s="59">
        <f t="shared" si="1"/>
        <v>99.682072953833256</v>
      </c>
      <c r="Y23" s="59">
        <f t="shared" si="2"/>
        <v>100.56768932027589</v>
      </c>
    </row>
    <row r="24" spans="1:25" x14ac:dyDescent="0.25">
      <c r="A24" t="s">
        <v>23</v>
      </c>
      <c r="B24" t="s">
        <v>24</v>
      </c>
      <c r="C24" s="30"/>
      <c r="D24" s="5">
        <f>D22*(1-$B$6)</f>
        <v>204323340000</v>
      </c>
      <c r="E24" s="5">
        <f t="shared" ref="E24:I24" si="6">E22*(1-$B$6)</f>
        <v>241101541200</v>
      </c>
      <c r="F24" s="5">
        <f t="shared" si="6"/>
        <v>277266772379.99994</v>
      </c>
      <c r="G24" s="5">
        <f t="shared" si="6"/>
        <v>321629455960.79993</v>
      </c>
      <c r="H24" s="5">
        <f t="shared" si="6"/>
        <v>360224990676.09595</v>
      </c>
      <c r="I24" s="5">
        <f t="shared" si="6"/>
        <v>396247489743.70557</v>
      </c>
      <c r="P24" s="56">
        <v>44593</v>
      </c>
      <c r="Q24" s="6">
        <v>152.6</v>
      </c>
      <c r="R24" s="6">
        <v>4384.6499999999996</v>
      </c>
      <c r="S24" s="6">
        <v>13313.44</v>
      </c>
      <c r="T24" s="6">
        <v>34058.75</v>
      </c>
      <c r="U24" s="56">
        <v>44593</v>
      </c>
      <c r="V24" s="59">
        <f t="shared" si="3"/>
        <v>95.285669684670609</v>
      </c>
      <c r="W24" s="59">
        <f t="shared" si="0"/>
        <v>103.65872398573011</v>
      </c>
      <c r="X24" s="59">
        <f t="shared" si="1"/>
        <v>96.373011236752134</v>
      </c>
      <c r="Y24" s="59">
        <f t="shared" si="2"/>
        <v>98.636815819539564</v>
      </c>
    </row>
    <row r="25" spans="1:25" x14ac:dyDescent="0.25">
      <c r="A25" s="4" t="s">
        <v>25</v>
      </c>
      <c r="B25" s="8" t="s">
        <v>99</v>
      </c>
      <c r="C25" s="30">
        <v>0.06</v>
      </c>
      <c r="D25" s="27">
        <f>D21*$C$25</f>
        <v>43015440000</v>
      </c>
      <c r="E25" s="27">
        <f t="shared" ref="E25:I25" si="7">E21*$C$25</f>
        <v>50758219200</v>
      </c>
      <c r="F25" s="27">
        <f t="shared" si="7"/>
        <v>58371952079.999992</v>
      </c>
      <c r="G25" s="27">
        <f t="shared" si="7"/>
        <v>67711464412.79998</v>
      </c>
      <c r="H25" s="27">
        <f t="shared" si="7"/>
        <v>75836840142.335983</v>
      </c>
      <c r="I25" s="27">
        <f t="shared" si="7"/>
        <v>83420524156.569595</v>
      </c>
      <c r="P25" s="56">
        <v>44621</v>
      </c>
      <c r="Q25" s="6">
        <v>161.25</v>
      </c>
      <c r="R25" s="6">
        <v>4543.0600000000004</v>
      </c>
      <c r="S25" s="6">
        <v>14169.3</v>
      </c>
      <c r="T25" s="6">
        <v>34861.24</v>
      </c>
      <c r="U25" s="56">
        <v>44621</v>
      </c>
      <c r="V25" s="59">
        <f t="shared" si="3"/>
        <v>100.68685607243208</v>
      </c>
      <c r="W25" s="59">
        <f t="shared" si="0"/>
        <v>107.40373863150106</v>
      </c>
      <c r="X25" s="59">
        <f t="shared" si="1"/>
        <v>102.56839014686751</v>
      </c>
      <c r="Y25" s="59">
        <f t="shared" si="2"/>
        <v>100.9608899070214</v>
      </c>
    </row>
    <row r="26" spans="1:25" x14ac:dyDescent="0.25">
      <c r="A26" t="s">
        <v>26</v>
      </c>
      <c r="B26" t="s">
        <v>98</v>
      </c>
      <c r="C26" s="30">
        <v>0.08</v>
      </c>
      <c r="D26" s="28">
        <f>D21*$C$26</f>
        <v>57353920000</v>
      </c>
      <c r="E26" s="28">
        <f t="shared" ref="E26:I26" si="8">E21*$C$26</f>
        <v>67677625600</v>
      </c>
      <c r="F26" s="28">
        <f t="shared" si="8"/>
        <v>77829269439.999985</v>
      </c>
      <c r="G26" s="28">
        <f t="shared" si="8"/>
        <v>90281952550.399979</v>
      </c>
      <c r="H26" s="28">
        <f t="shared" si="8"/>
        <v>101115786856.44798</v>
      </c>
      <c r="I26" s="28">
        <f t="shared" si="8"/>
        <v>111227365542.09279</v>
      </c>
      <c r="P26" s="56">
        <v>44652</v>
      </c>
      <c r="Q26" s="6">
        <v>144.35</v>
      </c>
      <c r="R26" s="6">
        <v>4271.78</v>
      </c>
      <c r="S26" s="6">
        <v>12839.29</v>
      </c>
      <c r="T26" s="6">
        <v>33811.4</v>
      </c>
      <c r="U26" s="56">
        <v>44652</v>
      </c>
      <c r="V26" s="59">
        <f t="shared" si="3"/>
        <v>90.134249141429905</v>
      </c>
      <c r="W26" s="59">
        <f t="shared" si="0"/>
        <v>100.99033308194774</v>
      </c>
      <c r="X26" s="59">
        <f t="shared" si="1"/>
        <v>92.940745550505312</v>
      </c>
      <c r="Y26" s="59">
        <f t="shared" si="2"/>
        <v>97.92047078653151</v>
      </c>
    </row>
    <row r="27" spans="1:25" x14ac:dyDescent="0.25">
      <c r="A27" t="s">
        <v>27</v>
      </c>
      <c r="B27" t="s">
        <v>97</v>
      </c>
      <c r="C27" s="46">
        <v>5.0000000000000001E-3</v>
      </c>
      <c r="D27" s="28">
        <f>D21*$C$27</f>
        <v>3584620000</v>
      </c>
      <c r="E27" s="28">
        <f t="shared" ref="E27:I27" si="9">E21*$C$27</f>
        <v>4229851600</v>
      </c>
      <c r="F27" s="28">
        <f t="shared" si="9"/>
        <v>4864329339.999999</v>
      </c>
      <c r="G27" s="28">
        <f t="shared" si="9"/>
        <v>5642622034.3999987</v>
      </c>
      <c r="H27" s="28">
        <f t="shared" si="9"/>
        <v>6319736678.5279989</v>
      </c>
      <c r="I27" s="28">
        <f t="shared" si="9"/>
        <v>6951710346.3807993</v>
      </c>
      <c r="P27" s="56">
        <v>44682</v>
      </c>
      <c r="Q27" s="59">
        <v>107.59</v>
      </c>
      <c r="R27" s="6">
        <v>4158.24</v>
      </c>
      <c r="S27" s="6">
        <v>11354.62</v>
      </c>
      <c r="T27" s="6">
        <v>33212.959999999999</v>
      </c>
      <c r="U27" s="56">
        <v>44682</v>
      </c>
      <c r="V27" s="59">
        <f t="shared" si="3"/>
        <v>67.180768029971901</v>
      </c>
      <c r="W27" s="59">
        <f t="shared" si="0"/>
        <v>98.306102522760625</v>
      </c>
      <c r="X27" s="59">
        <f t="shared" si="1"/>
        <v>82.193551843028601</v>
      </c>
      <c r="Y27" s="59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31"/>
      <c r="D28" s="27">
        <f>D24+D25-D26-D27</f>
        <v>186400240000</v>
      </c>
      <c r="E28" s="27">
        <f t="shared" ref="E28:I28" si="10">E24+E25-E26-E27</f>
        <v>219952283200</v>
      </c>
      <c r="F28" s="27">
        <f t="shared" si="10"/>
        <v>252945125679.99994</v>
      </c>
      <c r="G28" s="27">
        <f t="shared" si="10"/>
        <v>293416345788.79993</v>
      </c>
      <c r="H28" s="27">
        <f t="shared" si="10"/>
        <v>328626307283.45593</v>
      </c>
      <c r="I28" s="27">
        <f t="shared" si="10"/>
        <v>361488938011.80157</v>
      </c>
      <c r="P28" s="56">
        <v>44713</v>
      </c>
      <c r="Q28" s="6">
        <v>116.46</v>
      </c>
      <c r="R28" s="6">
        <v>3911.74</v>
      </c>
      <c r="S28" s="6">
        <v>11127.85</v>
      </c>
      <c r="T28" s="6">
        <v>31097.26</v>
      </c>
      <c r="U28" s="56">
        <v>44713</v>
      </c>
      <c r="V28" s="59">
        <f t="shared" si="3"/>
        <v>72.719325632219793</v>
      </c>
      <c r="W28" s="59">
        <f t="shared" si="0"/>
        <v>92.478527810415855</v>
      </c>
      <c r="X28" s="59">
        <f t="shared" si="1"/>
        <v>80.552014587581596</v>
      </c>
      <c r="Y28" s="59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44743</v>
      </c>
      <c r="Q29" s="6">
        <v>122.42</v>
      </c>
      <c r="R29" s="6">
        <v>4130.29</v>
      </c>
      <c r="S29" s="6">
        <v>12390.69</v>
      </c>
      <c r="T29" s="6">
        <v>32845.129999999997</v>
      </c>
      <c r="U29" s="56">
        <v>44743</v>
      </c>
      <c r="V29" s="59">
        <f t="shared" si="3"/>
        <v>76.440836715579138</v>
      </c>
      <c r="W29" s="59">
        <f t="shared" si="0"/>
        <v>97.645328838338571</v>
      </c>
      <c r="X29" s="59">
        <f t="shared" si="1"/>
        <v>89.693430593528973</v>
      </c>
      <c r="Y29" s="59">
        <f t="shared" si="2"/>
        <v>95.122076951703548</v>
      </c>
    </row>
    <row r="30" spans="1:25" x14ac:dyDescent="0.25">
      <c r="A30" t="s">
        <v>36</v>
      </c>
      <c r="C30" s="11">
        <f>-G39</f>
        <v>-2592000000000</v>
      </c>
      <c r="D30" s="5">
        <f>D28</f>
        <v>186400240000</v>
      </c>
      <c r="E30" s="5">
        <f t="shared" ref="E30:I30" si="11">E28</f>
        <v>219952283200</v>
      </c>
      <c r="F30" s="5">
        <f t="shared" si="11"/>
        <v>252945125679.99994</v>
      </c>
      <c r="G30" s="5">
        <f t="shared" si="11"/>
        <v>293416345788.79993</v>
      </c>
      <c r="H30" s="5">
        <f t="shared" si="11"/>
        <v>328626307283.45593</v>
      </c>
      <c r="I30" s="5">
        <f t="shared" si="11"/>
        <v>361488938011.80157</v>
      </c>
      <c r="J30" s="11">
        <f>I28+M22</f>
        <v>8588480324332.708</v>
      </c>
      <c r="K30" t="s">
        <v>38</v>
      </c>
      <c r="P30" s="56">
        <v>44774</v>
      </c>
      <c r="Q30" s="6">
        <v>138.22999999999999</v>
      </c>
      <c r="R30" s="6">
        <v>3924.26</v>
      </c>
      <c r="S30" s="6">
        <v>12141.71</v>
      </c>
      <c r="T30" s="6">
        <v>31318.44</v>
      </c>
      <c r="U30" s="56">
        <v>44774</v>
      </c>
      <c r="V30" s="59">
        <f t="shared" si="3"/>
        <v>86.312831720262238</v>
      </c>
      <c r="W30" s="59">
        <f t="shared" si="0"/>
        <v>92.774516594994196</v>
      </c>
      <c r="X30" s="59">
        <f t="shared" si="1"/>
        <v>87.891120120974421</v>
      </c>
      <c r="Y30" s="59">
        <f t="shared" si="2"/>
        <v>90.700662767579558</v>
      </c>
    </row>
    <row r="31" spans="1:25" x14ac:dyDescent="0.25">
      <c r="A31" t="s">
        <v>37</v>
      </c>
      <c r="D31" s="6">
        <f>1/(1+$B$7)^D29</f>
        <v>0.95372273092363902</v>
      </c>
      <c r="E31" s="6">
        <f t="shared" ref="E31:I31" si="12">1/(1+$B$7)^E29</f>
        <v>0.86749384293581866</v>
      </c>
      <c r="F31" s="6">
        <f t="shared" si="12"/>
        <v>0.78906116330345533</v>
      </c>
      <c r="G31" s="6">
        <f t="shared" si="12"/>
        <v>0.7177198138106744</v>
      </c>
      <c r="H31" s="6">
        <f t="shared" si="12"/>
        <v>0.65282864636226523</v>
      </c>
      <c r="I31" s="6">
        <f t="shared" si="12"/>
        <v>0.62261751943380228</v>
      </c>
      <c r="J31" t="s">
        <v>39</v>
      </c>
      <c r="P31" s="56">
        <v>44805</v>
      </c>
      <c r="Q31" s="6">
        <v>113.78</v>
      </c>
      <c r="R31" s="6">
        <v>3585.62</v>
      </c>
      <c r="S31" s="6">
        <v>10867.93</v>
      </c>
      <c r="T31" s="6">
        <v>30822.42</v>
      </c>
      <c r="U31" s="56">
        <v>44805</v>
      </c>
      <c r="V31" s="59">
        <f t="shared" si="3"/>
        <v>71.045894473930687</v>
      </c>
      <c r="W31" s="59">
        <f t="shared" si="0"/>
        <v>84.768634645345372</v>
      </c>
      <c r="X31" s="59">
        <f t="shared" si="1"/>
        <v>78.670511904529235</v>
      </c>
      <c r="Y31" s="59">
        <f t="shared" si="2"/>
        <v>89.264149877857889</v>
      </c>
    </row>
    <row r="32" spans="1:25" x14ac:dyDescent="0.25">
      <c r="A32" t="s">
        <v>40</v>
      </c>
      <c r="C32" s="11">
        <f>-G39</f>
        <v>-2592000000000</v>
      </c>
      <c r="D32" s="5">
        <f>D30*D31</f>
        <v>177774145937.62173</v>
      </c>
      <c r="E32" s="5">
        <f t="shared" ref="E32:I32" si="13">E30*E31</f>
        <v>190807251415.67551</v>
      </c>
      <c r="F32" s="5">
        <f t="shared" si="13"/>
        <v>199589175120.99945</v>
      </c>
      <c r="G32" s="5">
        <f t="shared" si="13"/>
        <v>210590725068.54593</v>
      </c>
      <c r="H32" s="5">
        <f t="shared" si="13"/>
        <v>214536667342.88837</v>
      </c>
      <c r="I32" s="5">
        <f t="shared" si="13"/>
        <v>225069345887.66742</v>
      </c>
      <c r="J32" s="12">
        <f>M22</f>
        <v>8226991386320.9063</v>
      </c>
      <c r="P32" s="56">
        <v>44835</v>
      </c>
      <c r="Q32" s="6">
        <v>119.32</v>
      </c>
      <c r="R32" s="6">
        <v>3901.06</v>
      </c>
      <c r="S32" s="6">
        <v>11102.45</v>
      </c>
      <c r="T32" s="6">
        <v>32861.800000000003</v>
      </c>
      <c r="U32" s="56">
        <v>44835</v>
      </c>
      <c r="V32" s="59">
        <f t="shared" si="3"/>
        <v>74.505151420543243</v>
      </c>
      <c r="W32" s="59">
        <f t="shared" si="0"/>
        <v>92.226038975008791</v>
      </c>
      <c r="X32" s="59">
        <f t="shared" si="1"/>
        <v>80.368149674725601</v>
      </c>
      <c r="Y32" s="59">
        <f t="shared" si="2"/>
        <v>95.170354581379101</v>
      </c>
    </row>
    <row r="33" spans="1:25" x14ac:dyDescent="0.25">
      <c r="A33" t="s">
        <v>57</v>
      </c>
      <c r="C33" s="25">
        <v>-2592000</v>
      </c>
      <c r="D33" s="21">
        <v>177774</v>
      </c>
      <c r="E33" s="21">
        <v>190807</v>
      </c>
      <c r="F33" s="21">
        <v>199589</v>
      </c>
      <c r="G33" s="21">
        <v>210591</v>
      </c>
      <c r="H33" s="21">
        <v>214537</v>
      </c>
      <c r="I33" s="21">
        <v>225069</v>
      </c>
      <c r="J33" s="21">
        <v>8226991</v>
      </c>
      <c r="P33" s="56">
        <v>44866</v>
      </c>
      <c r="Q33" s="6">
        <v>94.14</v>
      </c>
      <c r="R33" s="6">
        <v>4026.12</v>
      </c>
      <c r="S33" s="6">
        <v>11226.36</v>
      </c>
      <c r="T33" s="6">
        <v>34429.879999999997</v>
      </c>
      <c r="U33" s="56">
        <v>44866</v>
      </c>
      <c r="V33" s="59">
        <f t="shared" si="3"/>
        <v>58.782391507961286</v>
      </c>
      <c r="W33" s="59">
        <f t="shared" si="0"/>
        <v>95.182617042050737</v>
      </c>
      <c r="X33" s="59">
        <f t="shared" si="1"/>
        <v>81.2651064208668</v>
      </c>
      <c r="Y33" s="59">
        <f t="shared" si="2"/>
        <v>99.711637457300938</v>
      </c>
    </row>
    <row r="34" spans="1:25" x14ac:dyDescent="0.25">
      <c r="P34" s="56">
        <v>44896</v>
      </c>
      <c r="Q34" s="6">
        <v>85.25</v>
      </c>
      <c r="R34" s="6">
        <v>3839.5</v>
      </c>
      <c r="S34" s="6">
        <v>10466.48</v>
      </c>
      <c r="T34" s="6">
        <v>33203.93</v>
      </c>
      <c r="U34" s="56">
        <v>44896</v>
      </c>
      <c r="V34" s="59">
        <f t="shared" si="3"/>
        <v>53.231345613487356</v>
      </c>
      <c r="W34" s="59">
        <f t="shared" si="0"/>
        <v>90.770681979909639</v>
      </c>
      <c r="X34" s="59">
        <f t="shared" si="1"/>
        <v>75.764505240511951</v>
      </c>
      <c r="Y34" s="59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6">
        <v>44927</v>
      </c>
      <c r="Q35" s="6">
        <v>97.25</v>
      </c>
      <c r="R35" s="6">
        <v>4070.56</v>
      </c>
      <c r="S35" s="6">
        <v>11140.43</v>
      </c>
      <c r="T35" s="6">
        <v>33375.49</v>
      </c>
      <c r="U35" s="56">
        <v>44927</v>
      </c>
      <c r="V35" s="59">
        <f t="shared" si="3"/>
        <v>60.724320949110208</v>
      </c>
      <c r="W35" s="59">
        <f t="shared" si="0"/>
        <v>96.233235379643432</v>
      </c>
      <c r="X35" s="59">
        <f t="shared" si="1"/>
        <v>80.643078390877989</v>
      </c>
      <c r="Y35" s="59">
        <f t="shared" si="2"/>
        <v>96.658041179341112</v>
      </c>
    </row>
    <row r="36" spans="1:25" x14ac:dyDescent="0.25">
      <c r="A36" s="11" t="s">
        <v>42</v>
      </c>
      <c r="B36" s="15">
        <f>SUM(D32:I32)</f>
        <v>1218367310773.3984</v>
      </c>
      <c r="C36" t="s">
        <v>45</v>
      </c>
      <c r="F36" t="s">
        <v>33</v>
      </c>
      <c r="G36" s="13">
        <f>B13*B12</f>
        <v>2670000000000</v>
      </c>
      <c r="H36" t="s">
        <v>34</v>
      </c>
      <c r="L36" s="3" t="s">
        <v>52</v>
      </c>
      <c r="P36" s="56">
        <v>44958</v>
      </c>
      <c r="Q36" s="6">
        <v>97.2</v>
      </c>
      <c r="R36" s="6">
        <v>4045.64</v>
      </c>
      <c r="S36" s="6">
        <v>11689.01</v>
      </c>
      <c r="T36" s="6">
        <v>32816.92</v>
      </c>
      <c r="U36" s="56">
        <v>44958</v>
      </c>
      <c r="V36" s="59">
        <f t="shared" si="3"/>
        <v>60.693100218545112</v>
      </c>
      <c r="W36" s="59">
        <f t="shared" si="0"/>
        <v>95.644094763693616</v>
      </c>
      <c r="X36" s="59">
        <f t="shared" si="1"/>
        <v>84.614126182001655</v>
      </c>
      <c r="Y36" s="59">
        <f t="shared" si="2"/>
        <v>95.040378575389994</v>
      </c>
    </row>
    <row r="37" spans="1:25" x14ac:dyDescent="0.25">
      <c r="A37" t="s">
        <v>11</v>
      </c>
      <c r="B37" s="16">
        <f>B15</f>
        <v>143000000000</v>
      </c>
      <c r="F37" t="s">
        <v>10</v>
      </c>
      <c r="G37" s="12">
        <f>B14</f>
        <v>65000000000</v>
      </c>
      <c r="L37" t="s">
        <v>53</v>
      </c>
      <c r="M37" s="18">
        <f>(B40/B12)-1</f>
        <v>0.78340050507383974</v>
      </c>
      <c r="P37" s="56">
        <v>44986</v>
      </c>
      <c r="Q37" s="6">
        <v>98.95</v>
      </c>
      <c r="R37" s="6">
        <v>3970.99</v>
      </c>
      <c r="S37" s="6">
        <v>11823.96</v>
      </c>
      <c r="T37" s="6">
        <v>33274.15</v>
      </c>
      <c r="U37" s="56">
        <v>44986</v>
      </c>
      <c r="V37" s="59">
        <f t="shared" si="3"/>
        <v>61.785825788323443</v>
      </c>
      <c r="W37" s="59">
        <f t="shared" si="0"/>
        <v>93.879273456283713</v>
      </c>
      <c r="X37" s="59">
        <f t="shared" si="1"/>
        <v>85.590999016250322</v>
      </c>
      <c r="Y37" s="59">
        <f t="shared" si="2"/>
        <v>96.364552577582344</v>
      </c>
    </row>
    <row r="38" spans="1:25" x14ac:dyDescent="0.25">
      <c r="A38" t="s">
        <v>10</v>
      </c>
      <c r="B38" s="16">
        <f>B14</f>
        <v>65000000000</v>
      </c>
      <c r="C38" s="3"/>
      <c r="F38" t="s">
        <v>11</v>
      </c>
      <c r="G38" s="12">
        <f>B15</f>
        <v>143000000000</v>
      </c>
      <c r="L38" t="s">
        <v>54</v>
      </c>
      <c r="M38" s="20">
        <f>IRR(C33:J33)</f>
        <v>0.2261013211246532</v>
      </c>
      <c r="N38" t="s">
        <v>58</v>
      </c>
      <c r="P38" s="56">
        <v>45017</v>
      </c>
      <c r="Q38" s="6">
        <v>106.96</v>
      </c>
      <c r="R38" s="6">
        <v>4133.5200000000004</v>
      </c>
      <c r="S38" s="6">
        <v>12072.46</v>
      </c>
      <c r="T38" s="6">
        <v>33808.959999999999</v>
      </c>
      <c r="U38" s="56">
        <v>45017</v>
      </c>
      <c r="V38" s="59">
        <f t="shared" si="3"/>
        <v>66.787386824851694</v>
      </c>
      <c r="W38" s="59">
        <f t="shared" si="0"/>
        <v>97.721690162155511</v>
      </c>
      <c r="X38" s="59">
        <f t="shared" si="1"/>
        <v>87.389834876278456</v>
      </c>
      <c r="Y38" s="59">
        <f t="shared" si="2"/>
        <v>97.913404354833347</v>
      </c>
    </row>
    <row r="39" spans="1:25" x14ac:dyDescent="0.25">
      <c r="A39" t="s">
        <v>44</v>
      </c>
      <c r="B39" s="15">
        <f>(((B36+B37)-B38)+(M22))/2</f>
        <v>4761679348547.1523</v>
      </c>
      <c r="C39" t="s">
        <v>82</v>
      </c>
      <c r="F39" t="s">
        <v>30</v>
      </c>
      <c r="G39" s="11">
        <f>G36+G37-G38</f>
        <v>2592000000000</v>
      </c>
      <c r="H39" t="s">
        <v>32</v>
      </c>
      <c r="P39" s="56">
        <v>45047</v>
      </c>
      <c r="Q39" s="6">
        <v>116.25</v>
      </c>
      <c r="R39" s="6">
        <v>4282.37</v>
      </c>
      <c r="S39" s="6">
        <v>13240.77</v>
      </c>
      <c r="T39" s="6">
        <v>33093.339999999997</v>
      </c>
      <c r="U39" s="56">
        <v>45047</v>
      </c>
      <c r="V39" s="59">
        <f t="shared" si="3"/>
        <v>72.58819856384639</v>
      </c>
      <c r="W39" s="59">
        <f t="shared" si="0"/>
        <v>101.2406942024497</v>
      </c>
      <c r="X39" s="59">
        <f t="shared" si="1"/>
        <v>95.846969377805479</v>
      </c>
      <c r="Y39" s="59">
        <f t="shared" si="2"/>
        <v>95.840912612277336</v>
      </c>
    </row>
    <row r="40" spans="1:25" x14ac:dyDescent="0.25">
      <c r="A40" t="s">
        <v>74</v>
      </c>
      <c r="B40" s="17">
        <f>B39/B13</f>
        <v>476.16793485471521</v>
      </c>
      <c r="C40" t="s">
        <v>46</v>
      </c>
      <c r="F40" t="s">
        <v>49</v>
      </c>
      <c r="G40" s="14">
        <f>G39/B13</f>
        <v>259.2</v>
      </c>
      <c r="H40" t="s">
        <v>50</v>
      </c>
      <c r="L40" s="47" t="s">
        <v>102</v>
      </c>
      <c r="M40" s="48"/>
      <c r="P40" s="56">
        <v>45078</v>
      </c>
      <c r="Q40" s="6">
        <v>129.33000000000001</v>
      </c>
      <c r="R40" s="6">
        <v>4450.38</v>
      </c>
      <c r="S40" s="6">
        <v>13492.52</v>
      </c>
      <c r="T40" s="6">
        <v>33727.43</v>
      </c>
      <c r="U40" s="56">
        <v>45078</v>
      </c>
      <c r="V40" s="59">
        <f t="shared" si="3"/>
        <v>80.755541679675318</v>
      </c>
      <c r="W40" s="59">
        <f t="shared" si="0"/>
        <v>105.21266510476633</v>
      </c>
      <c r="X40" s="59">
        <f t="shared" si="1"/>
        <v>97.669331260147857</v>
      </c>
      <c r="Y40" s="59">
        <f t="shared" si="2"/>
        <v>97.677287069443636</v>
      </c>
    </row>
    <row r="41" spans="1:25" x14ac:dyDescent="0.25">
      <c r="A41" t="s">
        <v>47</v>
      </c>
      <c r="B41" s="19">
        <f>(B40/B12)-1</f>
        <v>0.78340050507383974</v>
      </c>
      <c r="C41" t="s">
        <v>48</v>
      </c>
      <c r="F41" t="s">
        <v>47</v>
      </c>
      <c r="G41" s="18">
        <f>(G40/B12)-1</f>
        <v>-2.921348314606742E-2</v>
      </c>
      <c r="H41" t="s">
        <v>51</v>
      </c>
      <c r="L41" s="49" t="s">
        <v>41</v>
      </c>
      <c r="M41" s="50">
        <f>B40</f>
        <v>476.16793485471521</v>
      </c>
      <c r="P41" s="56">
        <v>45108</v>
      </c>
      <c r="Q41" s="6">
        <v>130</v>
      </c>
      <c r="R41" s="6">
        <v>4582.2299999999996</v>
      </c>
      <c r="S41" s="6">
        <v>14032.81</v>
      </c>
      <c r="T41" s="6">
        <v>35065.620000000003</v>
      </c>
      <c r="U41" s="56">
        <v>45108</v>
      </c>
      <c r="V41" s="59">
        <f t="shared" si="3"/>
        <v>81.173899469247573</v>
      </c>
      <c r="W41" s="59">
        <f t="shared" si="0"/>
        <v>108.32976744076086</v>
      </c>
      <c r="X41" s="59">
        <f t="shared" si="1"/>
        <v>101.58036959742995</v>
      </c>
      <c r="Y41" s="59">
        <f t="shared" si="2"/>
        <v>101.5527904440992</v>
      </c>
    </row>
    <row r="42" spans="1:25" x14ac:dyDescent="0.25">
      <c r="L42" s="49" t="s">
        <v>8</v>
      </c>
      <c r="M42" s="50">
        <f>B12</f>
        <v>267</v>
      </c>
      <c r="P42" s="56">
        <v>45139</v>
      </c>
      <c r="Q42" s="6">
        <v>133.22</v>
      </c>
      <c r="R42" s="6">
        <v>4515.7700000000004</v>
      </c>
      <c r="S42" s="6">
        <v>13590.65</v>
      </c>
      <c r="T42" s="6">
        <v>34837.71</v>
      </c>
      <c r="U42" s="56">
        <v>45139</v>
      </c>
      <c r="V42" s="59">
        <f t="shared" si="3"/>
        <v>83.184514517639712</v>
      </c>
      <c r="W42" s="59">
        <f t="shared" si="0"/>
        <v>106.75856818971651</v>
      </c>
      <c r="X42" s="59">
        <f t="shared" si="1"/>
        <v>98.379672358516316</v>
      </c>
      <c r="Y42" s="59">
        <f t="shared" si="2"/>
        <v>100.89274517839119</v>
      </c>
    </row>
    <row r="43" spans="1:25" x14ac:dyDescent="0.25">
      <c r="L43" s="49" t="s">
        <v>103</v>
      </c>
      <c r="M43" s="50">
        <f>(B40-B12)</f>
        <v>209.16793485471521</v>
      </c>
      <c r="P43" s="56">
        <v>45170</v>
      </c>
      <c r="Q43" s="6">
        <v>129.12</v>
      </c>
      <c r="R43" s="6">
        <v>4320.0600000000004</v>
      </c>
      <c r="S43" s="6">
        <v>13211.81</v>
      </c>
      <c r="T43" s="6">
        <v>33507.5</v>
      </c>
      <c r="U43" s="56">
        <v>45170</v>
      </c>
      <c r="V43" s="59">
        <f t="shared" si="3"/>
        <v>80.624414611301916</v>
      </c>
      <c r="W43" s="59">
        <f t="shared" si="0"/>
        <v>102.13173392215873</v>
      </c>
      <c r="X43" s="59">
        <f t="shared" si="1"/>
        <v>95.637334422045257</v>
      </c>
      <c r="Y43" s="59">
        <f t="shared" si="2"/>
        <v>97.040352510682908</v>
      </c>
    </row>
    <row r="44" spans="1:25" x14ac:dyDescent="0.25">
      <c r="L44" s="49" t="s">
        <v>104</v>
      </c>
      <c r="M44" s="54">
        <f>((B40-B12)/(B12))</f>
        <v>0.78340050507383974</v>
      </c>
      <c r="P44" s="56">
        <v>45200</v>
      </c>
      <c r="Q44" s="6">
        <v>125.17</v>
      </c>
      <c r="R44" s="6">
        <v>4117.37</v>
      </c>
      <c r="S44" s="6">
        <v>12643.01</v>
      </c>
      <c r="T44" s="6">
        <v>34061.32</v>
      </c>
      <c r="U44" s="56">
        <v>45200</v>
      </c>
      <c r="V44" s="59">
        <f t="shared" si="3"/>
        <v>78.157976896659378</v>
      </c>
      <c r="W44" s="59">
        <f t="shared" si="0"/>
        <v>97.339883543070854</v>
      </c>
      <c r="X44" s="59">
        <f t="shared" si="1"/>
        <v>91.519918578246461</v>
      </c>
      <c r="Y44" s="59">
        <f t="shared" si="2"/>
        <v>98.644258741451139</v>
      </c>
    </row>
    <row r="45" spans="1:25" x14ac:dyDescent="0.25">
      <c r="L45" s="52"/>
      <c r="M45" s="51"/>
      <c r="P45" s="56">
        <v>45231</v>
      </c>
      <c r="Q45" s="6">
        <v>145.18</v>
      </c>
      <c r="R45" s="6">
        <v>4559.34</v>
      </c>
      <c r="S45" s="6">
        <v>14250.85</v>
      </c>
      <c r="T45" s="6">
        <v>36245.5</v>
      </c>
      <c r="U45" s="56">
        <v>45231</v>
      </c>
      <c r="V45" s="59">
        <f t="shared" si="3"/>
        <v>90.65251326881048</v>
      </c>
      <c r="W45" s="59">
        <f t="shared" si="0"/>
        <v>107.78861861655977</v>
      </c>
      <c r="X45" s="59">
        <f t="shared" si="1"/>
        <v>103.15871233755283</v>
      </c>
      <c r="Y45" s="59">
        <f t="shared" si="2"/>
        <v>104.96981562115818</v>
      </c>
    </row>
    <row r="46" spans="1:25" x14ac:dyDescent="0.25">
      <c r="L46" s="52" t="s">
        <v>55</v>
      </c>
      <c r="M46" s="50"/>
      <c r="P46" s="56">
        <v>45261</v>
      </c>
      <c r="Q46" s="6">
        <v>153.41999999999999</v>
      </c>
      <c r="R46" s="6">
        <v>4769.83</v>
      </c>
      <c r="S46" s="6">
        <v>14992.97</v>
      </c>
      <c r="T46" s="6">
        <v>37689.54</v>
      </c>
      <c r="U46" s="56">
        <v>45261</v>
      </c>
      <c r="V46" s="59">
        <f t="shared" si="3"/>
        <v>95.797689665938165</v>
      </c>
      <c r="W46" s="59">
        <f t="shared" si="0"/>
        <v>112.76487095409099</v>
      </c>
      <c r="X46" s="59">
        <f t="shared" si="1"/>
        <v>108.53075285443039</v>
      </c>
      <c r="Y46" s="59">
        <f t="shared" si="2"/>
        <v>109.15186891189985</v>
      </c>
    </row>
    <row r="47" spans="1:25" x14ac:dyDescent="0.25">
      <c r="L47" s="49" t="s">
        <v>41</v>
      </c>
      <c r="M47" s="50">
        <f>B40</f>
        <v>476.16793485471521</v>
      </c>
      <c r="P47" s="56">
        <v>45292</v>
      </c>
      <c r="Q47" s="6">
        <v>155.34</v>
      </c>
      <c r="R47" s="6">
        <v>4958.6099999999997</v>
      </c>
      <c r="S47" s="6">
        <v>15628.95</v>
      </c>
      <c r="T47" s="6">
        <v>38109.43</v>
      </c>
      <c r="U47" s="56">
        <v>45292</v>
      </c>
      <c r="V47" s="59">
        <f t="shared" si="3"/>
        <v>96.996565719637843</v>
      </c>
      <c r="W47" s="59">
        <f t="shared" si="0"/>
        <v>117.22787117395485</v>
      </c>
      <c r="X47" s="59">
        <f t="shared" si="1"/>
        <v>113.13446967640499</v>
      </c>
      <c r="Y47" s="59">
        <f t="shared" si="2"/>
        <v>110.36790334048183</v>
      </c>
    </row>
    <row r="48" spans="1:25" x14ac:dyDescent="0.25">
      <c r="L48" s="49" t="s">
        <v>31</v>
      </c>
      <c r="M48" s="50">
        <f>G40</f>
        <v>259.2</v>
      </c>
      <c r="P48" s="56">
        <v>45323</v>
      </c>
      <c r="Q48" s="6">
        <v>174.99</v>
      </c>
      <c r="R48" s="6">
        <v>5137.08</v>
      </c>
      <c r="S48" s="6">
        <v>16274.94</v>
      </c>
      <c r="T48" s="6">
        <v>39087.379999999997</v>
      </c>
      <c r="U48" s="56">
        <v>45323</v>
      </c>
      <c r="V48" s="59">
        <f t="shared" si="3"/>
        <v>109.26631283172026</v>
      </c>
      <c r="W48" s="59">
        <f t="shared" si="0"/>
        <v>121.44712983079937</v>
      </c>
      <c r="X48" s="59">
        <f t="shared" si="1"/>
        <v>117.8106466471075</v>
      </c>
      <c r="Y48" s="59">
        <f t="shared" si="2"/>
        <v>113.20012337294688</v>
      </c>
    </row>
    <row r="49" spans="12:25" x14ac:dyDescent="0.25">
      <c r="L49" s="49" t="s">
        <v>103</v>
      </c>
      <c r="M49" s="50">
        <f>-(G40-B40)</f>
        <v>216.96793485471522</v>
      </c>
      <c r="P49" s="56">
        <v>45352</v>
      </c>
      <c r="Q49" s="6">
        <v>178.87</v>
      </c>
      <c r="R49" s="6">
        <v>5234.18</v>
      </c>
      <c r="S49" s="6">
        <v>16428.82</v>
      </c>
      <c r="T49" s="6">
        <v>39807.370000000003</v>
      </c>
      <c r="U49" s="56">
        <v>45352</v>
      </c>
      <c r="V49" s="59">
        <f t="shared" si="3"/>
        <v>111.68904152357165</v>
      </c>
      <c r="W49" s="59">
        <f t="shared" si="0"/>
        <v>123.74269780065201</v>
      </c>
      <c r="X49" s="59">
        <f t="shared" si="1"/>
        <v>118.92454951286658</v>
      </c>
      <c r="Y49" s="59">
        <f t="shared" si="2"/>
        <v>115.28527097883112</v>
      </c>
    </row>
    <row r="50" spans="12:25" x14ac:dyDescent="0.25">
      <c r="L50" s="53" t="s">
        <v>104</v>
      </c>
      <c r="M50" s="55">
        <f>((B40-G40)/(G40))</f>
        <v>0.83706764990245075</v>
      </c>
      <c r="P50" s="56">
        <v>45383</v>
      </c>
      <c r="Q50" s="6">
        <v>174.63</v>
      </c>
      <c r="R50" s="6">
        <v>4967.2299999999996</v>
      </c>
      <c r="S50" s="6">
        <v>15282.01</v>
      </c>
      <c r="T50" s="6">
        <v>37986.400000000001</v>
      </c>
      <c r="U50" s="56">
        <v>45383</v>
      </c>
      <c r="V50" s="59">
        <f t="shared" si="3"/>
        <v>109.04152357165158</v>
      </c>
      <c r="W50" s="59">
        <f t="shared" si="0"/>
        <v>117.43165897931149</v>
      </c>
      <c r="X50" s="59">
        <f t="shared" si="1"/>
        <v>110.62304869741844</v>
      </c>
      <c r="Y50" s="59">
        <f t="shared" si="2"/>
        <v>110.01159879465212</v>
      </c>
    </row>
    <row r="51" spans="12:25" x14ac:dyDescent="0.25">
      <c r="P51" s="56">
        <v>45413</v>
      </c>
      <c r="Q51" s="6">
        <v>180.75</v>
      </c>
      <c r="R51" s="6">
        <v>5277.51</v>
      </c>
      <c r="S51" s="6">
        <v>16735.02</v>
      </c>
      <c r="T51" s="6">
        <v>38686.32</v>
      </c>
      <c r="U51" s="56">
        <v>45413</v>
      </c>
      <c r="V51" s="59">
        <f t="shared" si="3"/>
        <v>112.86294099281923</v>
      </c>
      <c r="W51" s="59">
        <f t="shared" si="0"/>
        <v>124.76707432108162</v>
      </c>
      <c r="X51" s="59">
        <f t="shared" si="1"/>
        <v>121.14106275367386</v>
      </c>
      <c r="Y51" s="59">
        <f t="shared" si="2"/>
        <v>112.03862210374045</v>
      </c>
    </row>
    <row r="52" spans="12:25" x14ac:dyDescent="0.25">
      <c r="P52" s="56">
        <v>45444</v>
      </c>
      <c r="Q52" s="6">
        <v>189.08</v>
      </c>
      <c r="R52" s="6">
        <v>5464.62</v>
      </c>
      <c r="S52" s="6">
        <v>17689.36</v>
      </c>
      <c r="T52" s="6">
        <v>39150.33</v>
      </c>
      <c r="U52" s="56">
        <v>45444</v>
      </c>
      <c r="V52" s="59">
        <f t="shared" si="3"/>
        <v>118.0643147049641</v>
      </c>
      <c r="W52" s="59">
        <f t="shared" si="0"/>
        <v>129.19059360881724</v>
      </c>
      <c r="X52" s="59">
        <f t="shared" si="1"/>
        <v>128.04931633379155</v>
      </c>
      <c r="Y52" s="59">
        <f t="shared" si="2"/>
        <v>113.38243151860226</v>
      </c>
    </row>
    <row r="53" spans="12:25" x14ac:dyDescent="0.25">
      <c r="P53" s="56">
        <v>45474</v>
      </c>
      <c r="Q53" s="6">
        <v>183.13</v>
      </c>
      <c r="R53" s="6">
        <v>5459.1</v>
      </c>
      <c r="S53" s="6">
        <v>17357.88</v>
      </c>
      <c r="T53" s="6">
        <v>40287.53</v>
      </c>
      <c r="U53" s="56">
        <v>45474</v>
      </c>
      <c r="V53" s="59">
        <f t="shared" si="3"/>
        <v>114.34904776771775</v>
      </c>
      <c r="W53" s="59">
        <f t="shared" si="0"/>
        <v>129.06009376130348</v>
      </c>
      <c r="X53" s="59">
        <f t="shared" si="1"/>
        <v>125.64980683325986</v>
      </c>
      <c r="Y53" s="59">
        <f t="shared" si="2"/>
        <v>116.67585206251476</v>
      </c>
    </row>
    <row r="54" spans="12:25" x14ac:dyDescent="0.25">
      <c r="P54" s="56">
        <v>45505</v>
      </c>
      <c r="Q54" s="6">
        <v>177.04</v>
      </c>
      <c r="R54" s="6">
        <v>5648.4</v>
      </c>
      <c r="S54" s="6">
        <v>17877.79</v>
      </c>
      <c r="T54" s="6">
        <v>41175.08</v>
      </c>
      <c r="U54" s="56">
        <v>45505</v>
      </c>
      <c r="V54" s="59">
        <f t="shared" si="3"/>
        <v>110.54636278488917</v>
      </c>
      <c r="W54" s="59">
        <f t="shared" si="0"/>
        <v>133.53538744506358</v>
      </c>
      <c r="X54" s="59">
        <f t="shared" si="1"/>
        <v>129.41331891369137</v>
      </c>
      <c r="Y54" s="59">
        <f t="shared" si="2"/>
        <v>119.24626659272015</v>
      </c>
    </row>
    <row r="55" spans="12:25" x14ac:dyDescent="0.25">
      <c r="P55" s="56">
        <v>45536</v>
      </c>
      <c r="Q55" s="6">
        <v>191.6</v>
      </c>
      <c r="R55" s="6">
        <v>5751.07</v>
      </c>
      <c r="S55" s="6">
        <v>18137.849999999999</v>
      </c>
      <c r="T55" s="6">
        <v>42313</v>
      </c>
      <c r="U55" s="56">
        <v>45536</v>
      </c>
      <c r="V55" s="59">
        <f t="shared" si="3"/>
        <v>119.63783952544489</v>
      </c>
      <c r="W55" s="59">
        <f t="shared" si="0"/>
        <v>135.96263732626613</v>
      </c>
      <c r="X55" s="59">
        <f t="shared" si="1"/>
        <v>131.29583502539722</v>
      </c>
      <c r="Y55" s="59">
        <f t="shared" si="2"/>
        <v>122.54177231319932</v>
      </c>
    </row>
    <row r="56" spans="12:25" x14ac:dyDescent="0.25">
      <c r="P56" s="56">
        <v>45566</v>
      </c>
      <c r="Q56" s="6">
        <v>188.99</v>
      </c>
      <c r="R56" s="6">
        <v>5728.8</v>
      </c>
      <c r="S56" s="6">
        <v>18518.61</v>
      </c>
      <c r="T56" s="6">
        <v>42052.19</v>
      </c>
      <c r="U56" s="56">
        <v>45566</v>
      </c>
      <c r="V56" s="59">
        <f t="shared" si="3"/>
        <v>118.00811738994692</v>
      </c>
      <c r="W56" s="59">
        <f t="shared" si="0"/>
        <v>135.43614609363362</v>
      </c>
      <c r="X56" s="59">
        <f t="shared" si="1"/>
        <v>134.05207141197394</v>
      </c>
      <c r="Y56" s="59">
        <f t="shared" si="2"/>
        <v>121.78644606270881</v>
      </c>
    </row>
    <row r="57" spans="12:25" x14ac:dyDescent="0.25">
      <c r="P57" s="56">
        <v>45597</v>
      </c>
      <c r="Q57" s="6">
        <v>197.12</v>
      </c>
      <c r="R57" s="6">
        <v>5969.34</v>
      </c>
      <c r="S57" s="6">
        <v>19003.650000000001</v>
      </c>
      <c r="T57" s="6">
        <v>44296.51</v>
      </c>
      <c r="U57" s="56">
        <v>45597</v>
      </c>
      <c r="V57" s="59">
        <f t="shared" si="3"/>
        <v>123.08460817983141</v>
      </c>
      <c r="W57" s="59">
        <f t="shared" si="0"/>
        <v>141.1228187967063</v>
      </c>
      <c r="X57" s="59">
        <f t="shared" si="1"/>
        <v>137.5631673699138</v>
      </c>
      <c r="Y57" s="59">
        <f t="shared" si="2"/>
        <v>128.28617310730408</v>
      </c>
    </row>
    <row r="58" spans="12:25" x14ac:dyDescent="0.25">
      <c r="P58" s="56">
        <v>45627</v>
      </c>
      <c r="Q58" s="6">
        <v>224.92</v>
      </c>
      <c r="R58" s="6">
        <v>5942.47</v>
      </c>
      <c r="S58" s="6">
        <v>19722.03</v>
      </c>
      <c r="T58" s="6">
        <v>42840.26</v>
      </c>
      <c r="U58" s="56">
        <v>45627</v>
      </c>
      <c r="V58" s="59">
        <f t="shared" si="3"/>
        <v>140.44333437402435</v>
      </c>
      <c r="W58" s="59">
        <f t="shared" si="0"/>
        <v>140.48757769114565</v>
      </c>
      <c r="X58" s="59">
        <f t="shared" si="1"/>
        <v>142.76335934225582</v>
      </c>
      <c r="Y58" s="59">
        <f t="shared" si="2"/>
        <v>124.06875869728596</v>
      </c>
    </row>
    <row r="59" spans="12:25" x14ac:dyDescent="0.25">
      <c r="P59" s="56">
        <v>45658</v>
      </c>
      <c r="Q59" s="6">
        <v>234.85</v>
      </c>
      <c r="R59" s="6">
        <v>6040.53</v>
      </c>
      <c r="S59" s="6">
        <v>19627.439999999999</v>
      </c>
      <c r="T59" s="6">
        <v>44424.25</v>
      </c>
      <c r="U59" s="56">
        <v>45658</v>
      </c>
      <c r="V59" s="59">
        <f t="shared" si="3"/>
        <v>146.64377146425224</v>
      </c>
      <c r="W59" s="59">
        <f t="shared" si="0"/>
        <v>142.80584128665282</v>
      </c>
      <c r="X59" s="59">
        <f t="shared" si="1"/>
        <v>142.07864351126969</v>
      </c>
      <c r="Y59" s="59">
        <f t="shared" si="2"/>
        <v>128.65611818317407</v>
      </c>
    </row>
    <row r="60" spans="12:25" x14ac:dyDescent="0.25">
      <c r="P60" s="56">
        <v>45689</v>
      </c>
      <c r="Q60" s="6">
        <v>216.58</v>
      </c>
      <c r="R60" s="6">
        <v>5954.5</v>
      </c>
      <c r="S60" s="6">
        <v>19524.009999999998</v>
      </c>
      <c r="T60" s="6">
        <v>43840.91</v>
      </c>
      <c r="U60" s="56">
        <v>45689</v>
      </c>
      <c r="V60" s="59">
        <f t="shared" si="3"/>
        <v>135.23571651576646</v>
      </c>
      <c r="W60" s="59">
        <f t="shared" si="0"/>
        <v>140.77198225012944</v>
      </c>
      <c r="X60" s="59">
        <f t="shared" si="1"/>
        <v>141.32993689958874</v>
      </c>
      <c r="Y60" s="59">
        <f t="shared" si="2"/>
        <v>126.9667197131724</v>
      </c>
    </row>
    <row r="61" spans="12:25" x14ac:dyDescent="0.25">
      <c r="P61" s="56">
        <v>45717</v>
      </c>
      <c r="Q61" s="6">
        <v>196.21</v>
      </c>
      <c r="R61" s="6">
        <v>5074.08</v>
      </c>
      <c r="S61" s="6">
        <v>15587.79</v>
      </c>
      <c r="T61" s="6">
        <v>38314.86</v>
      </c>
      <c r="U61" s="56">
        <v>45717</v>
      </c>
      <c r="V61" s="59">
        <f t="shared" si="3"/>
        <v>122.51639088354666</v>
      </c>
      <c r="W61" s="59">
        <f t="shared" si="0"/>
        <v>119.95772939721836</v>
      </c>
      <c r="X61" s="59">
        <f t="shared" si="1"/>
        <v>112.83652165226512</v>
      </c>
      <c r="Y61" s="59">
        <f t="shared" si="2"/>
        <v>110.96284476005268</v>
      </c>
    </row>
    <row r="62" spans="12:25" x14ac:dyDescent="0.25">
      <c r="P62" s="56">
        <v>45748</v>
      </c>
      <c r="Q62" s="6">
        <v>172.61</v>
      </c>
      <c r="R62" s="6">
        <v>5282.7</v>
      </c>
      <c r="S62" s="6">
        <v>16286.45</v>
      </c>
      <c r="T62" s="6">
        <v>39142.230000000003</v>
      </c>
      <c r="U62" s="56">
        <v>45748</v>
      </c>
      <c r="V62" s="59">
        <f t="shared" si="3"/>
        <v>107.78020605682173</v>
      </c>
      <c r="W62" s="59">
        <f t="shared" si="0"/>
        <v>124.88977254727662</v>
      </c>
      <c r="X62" s="59">
        <f t="shared" si="1"/>
        <v>117.89396495998044</v>
      </c>
      <c r="Y62" s="59">
        <f t="shared" si="2"/>
        <v>113.35897328222721</v>
      </c>
    </row>
    <row r="63" spans="12:25" x14ac:dyDescent="0.25">
      <c r="P63" s="56">
        <v>45778</v>
      </c>
      <c r="Q63" s="6">
        <v>200.99</v>
      </c>
      <c r="R63" s="6">
        <v>5802.82</v>
      </c>
      <c r="S63" s="6">
        <v>19113.77</v>
      </c>
      <c r="T63" s="6">
        <v>41603.07</v>
      </c>
      <c r="U63" s="56">
        <v>45778</v>
      </c>
      <c r="V63" s="59">
        <f t="shared" si="3"/>
        <v>125.50109272556978</v>
      </c>
      <c r="W63" s="59">
        <f t="shared" si="0"/>
        <v>137.18607339670768</v>
      </c>
      <c r="X63" s="59">
        <f t="shared" si="1"/>
        <v>138.36030139368157</v>
      </c>
      <c r="Y63" s="59">
        <f t="shared" si="2"/>
        <v>120.48575925767715</v>
      </c>
    </row>
    <row r="64" spans="12:25" x14ac:dyDescent="0.25">
      <c r="P64" s="56">
        <v>45809</v>
      </c>
      <c r="Q64" s="6">
        <v>209.69</v>
      </c>
      <c r="R64" s="6">
        <v>6279.35</v>
      </c>
      <c r="S64" s="6">
        <v>19447.41</v>
      </c>
      <c r="T64" s="6">
        <v>42206.82</v>
      </c>
      <c r="U64" s="56">
        <v>45809</v>
      </c>
      <c r="V64" s="59">
        <f t="shared" si="3"/>
        <v>130.93349984389636</v>
      </c>
      <c r="W64" s="59">
        <f t="shared" si="0"/>
        <v>148.45185099376107</v>
      </c>
      <c r="X64" s="59">
        <f t="shared" si="1"/>
        <v>140.7754466505821</v>
      </c>
      <c r="Y64" s="59">
        <f t="shared" si="2"/>
        <v>122.2342666911868</v>
      </c>
    </row>
    <row r="65" spans="16:25" x14ac:dyDescent="0.25">
      <c r="P65" s="56">
        <v>45839</v>
      </c>
      <c r="Q65" s="6">
        <v>226.13</v>
      </c>
      <c r="R65" s="6">
        <v>6238.01</v>
      </c>
      <c r="S65" s="6">
        <v>20650.13</v>
      </c>
      <c r="T65" s="6">
        <v>44901.919999999998</v>
      </c>
      <c r="U65" s="56">
        <v>45839</v>
      </c>
      <c r="V65" s="59">
        <f t="shared" si="3"/>
        <v>141.19887605369965</v>
      </c>
      <c r="W65" s="59">
        <f t="shared" si="0"/>
        <v>147.47452061401123</v>
      </c>
      <c r="X65" s="59">
        <f t="shared" si="1"/>
        <v>149.48166743759631</v>
      </c>
      <c r="Y65" s="59">
        <f t="shared" si="2"/>
        <v>130.03948803123131</v>
      </c>
    </row>
    <row r="66" spans="16:25" x14ac:dyDescent="0.25">
      <c r="P66" s="56">
        <v>45870</v>
      </c>
      <c r="Q66" s="6">
        <v>228.84</v>
      </c>
      <c r="R66" s="6">
        <v>6460.26</v>
      </c>
      <c r="S66" s="6">
        <v>21496.54</v>
      </c>
      <c r="T66" s="6">
        <v>45544.88</v>
      </c>
      <c r="U66" s="56">
        <v>45870</v>
      </c>
      <c r="V66" s="59">
        <f t="shared" si="3"/>
        <v>142.8910396503278</v>
      </c>
      <c r="W66" s="59">
        <f t="shared" si="0"/>
        <v>152.72879436581093</v>
      </c>
      <c r="X66" s="59">
        <f t="shared" si="1"/>
        <v>155.60863991359795</v>
      </c>
      <c r="Y66" s="59">
        <f t="shared" si="2"/>
        <v>131.90155070526754</v>
      </c>
    </row>
    <row r="67" spans="16:25" x14ac:dyDescent="0.25">
      <c r="P67" s="56">
        <v>45901</v>
      </c>
      <c r="Q67" s="6">
        <v>231.48</v>
      </c>
      <c r="R67" s="6">
        <v>6715.79</v>
      </c>
      <c r="S67" s="6">
        <v>22780.51</v>
      </c>
      <c r="T67" s="6">
        <v>46758.28</v>
      </c>
      <c r="U67" s="56">
        <v>45901</v>
      </c>
      <c r="V67" s="59">
        <f t="shared" si="3"/>
        <v>144.53949422416483</v>
      </c>
      <c r="W67" s="59">
        <f t="shared" si="0"/>
        <v>158.76984980696895</v>
      </c>
      <c r="X67" s="59">
        <f t="shared" si="1"/>
        <v>164.90301125846844</v>
      </c>
      <c r="Y67" s="59">
        <f t="shared" si="2"/>
        <v>135.41565243581928</v>
      </c>
    </row>
    <row r="68" spans="16:25" x14ac:dyDescent="0.25">
      <c r="P68" s="56">
        <v>45931</v>
      </c>
      <c r="Q68" s="6">
        <v>224.21</v>
      </c>
      <c r="R68" s="6">
        <v>6840.2</v>
      </c>
      <c r="S68" s="6">
        <v>23204.87</v>
      </c>
      <c r="T68" s="6">
        <v>47207.12</v>
      </c>
      <c r="U68" s="56">
        <v>45931</v>
      </c>
      <c r="V68" s="59">
        <f t="shared" si="3"/>
        <v>140</v>
      </c>
      <c r="W68" s="59">
        <f t="shared" si="0"/>
        <v>161.71106104414062</v>
      </c>
      <c r="X68" s="59">
        <f t="shared" si="1"/>
        <v>167.97485828286096</v>
      </c>
      <c r="Y68" s="59">
        <f t="shared" si="2"/>
        <v>136.71552833885278</v>
      </c>
    </row>
    <row r="69" spans="16:25" x14ac:dyDescent="0.25">
      <c r="P69" s="56">
        <v>45962</v>
      </c>
      <c r="Q69" s="6">
        <v>220.69</v>
      </c>
      <c r="R69" s="6">
        <v>6849.09</v>
      </c>
      <c r="S69" s="6">
        <v>23365.69</v>
      </c>
      <c r="T69" s="6">
        <v>46245.41</v>
      </c>
      <c r="U69" s="56">
        <v>45962</v>
      </c>
      <c r="V69" s="59">
        <f t="shared" si="3"/>
        <v>137.80206056821729</v>
      </c>
      <c r="W69" s="59">
        <f t="shared" si="0"/>
        <v>161.9212319942126</v>
      </c>
      <c r="X69" s="59">
        <f t="shared" si="1"/>
        <v>169.13899825473106</v>
      </c>
      <c r="Y69" s="59">
        <f t="shared" si="2"/>
        <v>133.93034062228043</v>
      </c>
    </row>
    <row r="70" spans="16:25" x14ac:dyDescent="0.25">
      <c r="P70" s="56">
        <v>45992</v>
      </c>
      <c r="Q70" s="6">
        <v>227.35</v>
      </c>
      <c r="R70" s="6">
        <v>6929.94</v>
      </c>
      <c r="S70" s="6">
        <v>23593.1</v>
      </c>
      <c r="T70" s="6">
        <v>48134.89</v>
      </c>
      <c r="U70" s="56">
        <v>45992</v>
      </c>
      <c r="V70" s="59">
        <f t="shared" si="3"/>
        <v>141.96066187948796</v>
      </c>
      <c r="W70" s="59">
        <f t="shared" si="0"/>
        <v>163.83262921730824</v>
      </c>
      <c r="X70" s="59">
        <f t="shared" si="1"/>
        <v>170.78516832687995</v>
      </c>
      <c r="Y70" s="59">
        <f t="shared" si="2"/>
        <v>139.40242314893518</v>
      </c>
    </row>
    <row r="71" spans="16:25" x14ac:dyDescent="0.25">
      <c r="P71" s="56">
        <v>46023</v>
      </c>
      <c r="Q71" s="6">
        <v>239.16</v>
      </c>
      <c r="R71" s="6">
        <v>6939.03</v>
      </c>
      <c r="S71" s="6">
        <v>23461.82</v>
      </c>
      <c r="T71" s="6">
        <v>49098.71</v>
      </c>
      <c r="U71" s="56">
        <v>46023</v>
      </c>
      <c r="V71" s="59">
        <f t="shared" si="3"/>
        <v>149.33499843896348</v>
      </c>
      <c r="W71" s="59">
        <f t="shared" si="0"/>
        <v>164.04752842272492</v>
      </c>
      <c r="X71" s="59">
        <f t="shared" si="1"/>
        <v>169.83486180090614</v>
      </c>
      <c r="Y71" s="59">
        <f t="shared" si="2"/>
        <v>142.19372159127934</v>
      </c>
    </row>
    <row r="72" spans="16:25" x14ac:dyDescent="0.25">
      <c r="P72" s="56">
        <v>46054</v>
      </c>
      <c r="Q72" s="6">
        <v>210.11</v>
      </c>
      <c r="R72" s="6">
        <v>6909.51</v>
      </c>
      <c r="S72" s="6">
        <v>22668.21</v>
      </c>
      <c r="T72" s="6">
        <v>48977.919999999998</v>
      </c>
      <c r="U72" s="56">
        <v>46054</v>
      </c>
      <c r="V72" s="59">
        <f t="shared" si="3"/>
        <v>131.19575398064316</v>
      </c>
      <c r="W72" s="59">
        <f t="shared" si="0"/>
        <v>163.34963793384699</v>
      </c>
      <c r="X72" s="59">
        <f t="shared" si="1"/>
        <v>164.09009670280989</v>
      </c>
      <c r="Y72" s="59">
        <f t="shared" si="2"/>
        <v>141.8439042614348</v>
      </c>
    </row>
    <row r="73" spans="16:25" x14ac:dyDescent="0.25">
      <c r="P73" s="56">
        <v>46082</v>
      </c>
      <c r="Q73" s="6">
        <v>205.37</v>
      </c>
      <c r="R73" s="6">
        <v>6368.85</v>
      </c>
      <c r="S73" s="6">
        <v>20948.36</v>
      </c>
      <c r="T73" s="6">
        <v>45577.47</v>
      </c>
      <c r="U73" s="56">
        <v>46082</v>
      </c>
      <c r="V73" s="59">
        <f t="shared" si="3"/>
        <v>128.23602872307211</v>
      </c>
      <c r="W73" s="59">
        <f t="shared" si="0"/>
        <v>150.56774526051504</v>
      </c>
      <c r="X73" s="59">
        <f t="shared" si="1"/>
        <v>151.64048763291299</v>
      </c>
      <c r="Y73" s="59">
        <f t="shared" si="2"/>
        <v>131.99593390569501</v>
      </c>
    </row>
    <row r="74" spans="16:25" x14ac:dyDescent="0.25">
      <c r="P74" s="56">
        <v>46113</v>
      </c>
      <c r="Q74" s="6">
        <v>263.99</v>
      </c>
      <c r="R74" s="6">
        <v>7123.06</v>
      </c>
      <c r="S74" s="6">
        <v>24468.48</v>
      </c>
      <c r="T74" s="6">
        <v>49447.43</v>
      </c>
      <c r="U74" s="56">
        <v>46113</v>
      </c>
      <c r="V74" s="59">
        <f t="shared" si="3"/>
        <v>164.83921323758977</v>
      </c>
      <c r="W74" s="59">
        <f t="shared" si="0"/>
        <v>168.39823257815215</v>
      </c>
      <c r="X74" s="59">
        <f t="shared" si="1"/>
        <v>177.12184814640278</v>
      </c>
      <c r="Y74" s="59">
        <f t="shared" si="2"/>
        <v>143.20364210840313</v>
      </c>
    </row>
    <row r="75" spans="16:25" x14ac:dyDescent="0.25">
      <c r="P75" s="56">
        <v>46143</v>
      </c>
      <c r="Q75" s="60">
        <v>268.41000000000003</v>
      </c>
      <c r="R75" s="6">
        <v>7473.47</v>
      </c>
      <c r="S75" s="6">
        <v>26343.97</v>
      </c>
      <c r="T75" s="6">
        <v>50579.7</v>
      </c>
      <c r="U75" s="56">
        <v>46143</v>
      </c>
      <c r="V75" s="59">
        <f t="shared" si="3"/>
        <v>167.59912581954418</v>
      </c>
      <c r="W75" s="59">
        <f t="shared" si="0"/>
        <v>176.68237235483664</v>
      </c>
      <c r="X75" s="59">
        <f t="shared" si="1"/>
        <v>190.69810032798895</v>
      </c>
      <c r="Y75" s="59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493E-F3C9-4E29-BCE7-2BEBAEAF36C1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2026-08-31T23:21:12Z</dcterms:modified>
  <cp:category/>
  <cp:contentStatus/>
</cp:coreProperties>
</file>