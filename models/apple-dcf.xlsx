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6FA7228B-79C4-47FF-B05A-690B1BC9682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4" r:id="rId1"/>
    <sheet name="Base Assumptions" sheetId="1" r:id="rId2"/>
    <sheet name="Bear Assumptions" sheetId="2" r:id="rId3"/>
    <sheet name="Bull Assumptions" sheetId="3" r:id="rId4"/>
    <sheet name="Ex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22" i="4"/>
  <c r="C24" i="4" s="1"/>
  <c r="C18" i="4"/>
  <c r="C19" i="4" s="1"/>
  <c r="C12" i="4"/>
  <c r="C14" i="4" s="1"/>
  <c r="M42" i="3"/>
  <c r="M42" i="2"/>
  <c r="M42" i="1"/>
  <c r="T9" i="3"/>
  <c r="T9" i="2"/>
  <c r="T9" i="1"/>
  <c r="E21" i="3"/>
  <c r="E26" i="3" s="1"/>
  <c r="I21" i="2"/>
  <c r="H21" i="2"/>
  <c r="G21" i="2"/>
  <c r="F21" i="2"/>
  <c r="E21" i="2"/>
  <c r="Y75" i="3"/>
  <c r="X75" i="3"/>
  <c r="W75" i="3"/>
  <c r="V75" i="3"/>
  <c r="Y74" i="3"/>
  <c r="X74" i="3"/>
  <c r="W74" i="3"/>
  <c r="V74" i="3"/>
  <c r="Y73" i="3"/>
  <c r="X73" i="3"/>
  <c r="W73" i="3"/>
  <c r="V73" i="3"/>
  <c r="Y72" i="3"/>
  <c r="X72" i="3"/>
  <c r="W72" i="3"/>
  <c r="V72" i="3"/>
  <c r="Y71" i="3"/>
  <c r="X71" i="3"/>
  <c r="W71" i="3"/>
  <c r="V71" i="3"/>
  <c r="Y70" i="3"/>
  <c r="X70" i="3"/>
  <c r="W70" i="3"/>
  <c r="V70" i="3"/>
  <c r="Y69" i="3"/>
  <c r="X69" i="3"/>
  <c r="W69" i="3"/>
  <c r="V69" i="3"/>
  <c r="Y68" i="3"/>
  <c r="X68" i="3"/>
  <c r="W68" i="3"/>
  <c r="V68" i="3"/>
  <c r="Y67" i="3"/>
  <c r="X67" i="3"/>
  <c r="W67" i="3"/>
  <c r="V67" i="3"/>
  <c r="Y66" i="3"/>
  <c r="X66" i="3"/>
  <c r="W66" i="3"/>
  <c r="V66" i="3"/>
  <c r="Y65" i="3"/>
  <c r="X65" i="3"/>
  <c r="W65" i="3"/>
  <c r="V65" i="3"/>
  <c r="Y64" i="3"/>
  <c r="X64" i="3"/>
  <c r="W64" i="3"/>
  <c r="V64" i="3"/>
  <c r="Y63" i="3"/>
  <c r="X63" i="3"/>
  <c r="W63" i="3"/>
  <c r="V63" i="3"/>
  <c r="Y62" i="3"/>
  <c r="X62" i="3"/>
  <c r="W62" i="3"/>
  <c r="V62" i="3"/>
  <c r="Y61" i="3"/>
  <c r="X61" i="3"/>
  <c r="W61" i="3"/>
  <c r="V61" i="3"/>
  <c r="Y60" i="3"/>
  <c r="X60" i="3"/>
  <c r="W60" i="3"/>
  <c r="V60" i="3"/>
  <c r="Y59" i="3"/>
  <c r="X59" i="3"/>
  <c r="W59" i="3"/>
  <c r="V59" i="3"/>
  <c r="Y58" i="3"/>
  <c r="X58" i="3"/>
  <c r="W58" i="3"/>
  <c r="V58" i="3"/>
  <c r="Y57" i="3"/>
  <c r="X57" i="3"/>
  <c r="W57" i="3"/>
  <c r="V57" i="3"/>
  <c r="Y56" i="3"/>
  <c r="X56" i="3"/>
  <c r="W56" i="3"/>
  <c r="V56" i="3"/>
  <c r="Y55" i="3"/>
  <c r="X55" i="3"/>
  <c r="W55" i="3"/>
  <c r="V55" i="3"/>
  <c r="Y54" i="3"/>
  <c r="X54" i="3"/>
  <c r="W54" i="3"/>
  <c r="V54" i="3"/>
  <c r="Y53" i="3"/>
  <c r="X53" i="3"/>
  <c r="W53" i="3"/>
  <c r="V53" i="3"/>
  <c r="Y52" i="3"/>
  <c r="X52" i="3"/>
  <c r="W52" i="3"/>
  <c r="V52" i="3"/>
  <c r="Y51" i="3"/>
  <c r="X51" i="3"/>
  <c r="W51" i="3"/>
  <c r="V51" i="3"/>
  <c r="Y50" i="3"/>
  <c r="X50" i="3"/>
  <c r="W50" i="3"/>
  <c r="V50" i="3"/>
  <c r="Y49" i="3"/>
  <c r="X49" i="3"/>
  <c r="W49" i="3"/>
  <c r="V49" i="3"/>
  <c r="Y48" i="3"/>
  <c r="X48" i="3"/>
  <c r="W48" i="3"/>
  <c r="V48" i="3"/>
  <c r="Y47" i="3"/>
  <c r="X47" i="3"/>
  <c r="W47" i="3"/>
  <c r="V47" i="3"/>
  <c r="Y46" i="3"/>
  <c r="X46" i="3"/>
  <c r="W46" i="3"/>
  <c r="V46" i="3"/>
  <c r="Y45" i="3"/>
  <c r="X45" i="3"/>
  <c r="W45" i="3"/>
  <c r="V45" i="3"/>
  <c r="Y44" i="3"/>
  <c r="X44" i="3"/>
  <c r="W44" i="3"/>
  <c r="V44" i="3"/>
  <c r="Y43" i="3"/>
  <c r="X43" i="3"/>
  <c r="W43" i="3"/>
  <c r="V43" i="3"/>
  <c r="Y42" i="3"/>
  <c r="X42" i="3"/>
  <c r="W42" i="3"/>
  <c r="V42" i="3"/>
  <c r="Y41" i="3"/>
  <c r="X41" i="3"/>
  <c r="W41" i="3"/>
  <c r="V41" i="3"/>
  <c r="Y40" i="3"/>
  <c r="X40" i="3"/>
  <c r="W40" i="3"/>
  <c r="V40" i="3"/>
  <c r="Y39" i="3"/>
  <c r="X39" i="3"/>
  <c r="W39" i="3"/>
  <c r="V39" i="3"/>
  <c r="Y38" i="3"/>
  <c r="X38" i="3"/>
  <c r="W38" i="3"/>
  <c r="V38" i="3"/>
  <c r="M38" i="3"/>
  <c r="G38" i="3"/>
  <c r="B38" i="3"/>
  <c r="Y37" i="3"/>
  <c r="X37" i="3"/>
  <c r="W37" i="3"/>
  <c r="V37" i="3"/>
  <c r="G37" i="3"/>
  <c r="B37" i="3"/>
  <c r="Y36" i="3"/>
  <c r="X36" i="3"/>
  <c r="W36" i="3"/>
  <c r="V36" i="3"/>
  <c r="G36" i="3"/>
  <c r="Y35" i="3"/>
  <c r="X35" i="3"/>
  <c r="W35" i="3"/>
  <c r="V35" i="3"/>
  <c r="Y34" i="3"/>
  <c r="X34" i="3"/>
  <c r="W34" i="3"/>
  <c r="V34" i="3"/>
  <c r="Y33" i="3"/>
  <c r="X33" i="3"/>
  <c r="W33" i="3"/>
  <c r="V33" i="3"/>
  <c r="Y32" i="3"/>
  <c r="X32" i="3"/>
  <c r="W32" i="3"/>
  <c r="V32" i="3"/>
  <c r="Y31" i="3"/>
  <c r="X31" i="3"/>
  <c r="W31" i="3"/>
  <c r="V31" i="3"/>
  <c r="I31" i="3"/>
  <c r="H31" i="3"/>
  <c r="G31" i="3"/>
  <c r="F31" i="3"/>
  <c r="E31" i="3"/>
  <c r="D31" i="3"/>
  <c r="Y30" i="3"/>
  <c r="X30" i="3"/>
  <c r="W30" i="3"/>
  <c r="V30" i="3"/>
  <c r="Y29" i="3"/>
  <c r="X29" i="3"/>
  <c r="W29" i="3"/>
  <c r="V29" i="3"/>
  <c r="Y28" i="3"/>
  <c r="X28" i="3"/>
  <c r="W28" i="3"/>
  <c r="V28" i="3"/>
  <c r="Y27" i="3"/>
  <c r="X27" i="3"/>
  <c r="W27" i="3"/>
  <c r="V27" i="3"/>
  <c r="E27" i="3"/>
  <c r="D27" i="3"/>
  <c r="Y26" i="3"/>
  <c r="X26" i="3"/>
  <c r="W26" i="3"/>
  <c r="V26" i="3"/>
  <c r="D26" i="3"/>
  <c r="Y25" i="3"/>
  <c r="X25" i="3"/>
  <c r="W25" i="3"/>
  <c r="V25" i="3"/>
  <c r="D25" i="3"/>
  <c r="Y24" i="3"/>
  <c r="X24" i="3"/>
  <c r="W24" i="3"/>
  <c r="V24" i="3"/>
  <c r="D24" i="3"/>
  <c r="D28" i="3" s="1"/>
  <c r="Y23" i="3"/>
  <c r="X23" i="3"/>
  <c r="W23" i="3"/>
  <c r="V23" i="3"/>
  <c r="D23" i="3"/>
  <c r="Y22" i="3"/>
  <c r="X22" i="3"/>
  <c r="W22" i="3"/>
  <c r="V22" i="3"/>
  <c r="D22" i="3"/>
  <c r="Y21" i="3"/>
  <c r="X21" i="3"/>
  <c r="W21" i="3"/>
  <c r="V21" i="3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15" i="3"/>
  <c r="X15" i="3"/>
  <c r="W15" i="3"/>
  <c r="V15" i="3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M38" i="2"/>
  <c r="G38" i="2"/>
  <c r="B38" i="2"/>
  <c r="Y37" i="2"/>
  <c r="X37" i="2"/>
  <c r="W37" i="2"/>
  <c r="V37" i="2"/>
  <c r="G37" i="2"/>
  <c r="B37" i="2"/>
  <c r="Y36" i="2"/>
  <c r="X36" i="2"/>
  <c r="W36" i="2"/>
  <c r="V36" i="2"/>
  <c r="G36" i="2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I31" i="2"/>
  <c r="H31" i="2"/>
  <c r="G31" i="2"/>
  <c r="F31" i="2"/>
  <c r="E31" i="2"/>
  <c r="D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E27" i="2"/>
  <c r="D27" i="2"/>
  <c r="Y26" i="2"/>
  <c r="X26" i="2"/>
  <c r="W26" i="2"/>
  <c r="V26" i="2"/>
  <c r="E26" i="2"/>
  <c r="D26" i="2"/>
  <c r="Y25" i="2"/>
  <c r="X25" i="2"/>
  <c r="W25" i="2"/>
  <c r="V25" i="2"/>
  <c r="D25" i="2"/>
  <c r="Y24" i="2"/>
  <c r="X24" i="2"/>
  <c r="W24" i="2"/>
  <c r="V24" i="2"/>
  <c r="Y23" i="2"/>
  <c r="X23" i="2"/>
  <c r="W23" i="2"/>
  <c r="V23" i="2"/>
  <c r="D23" i="2"/>
  <c r="Y22" i="2"/>
  <c r="X22" i="2"/>
  <c r="W22" i="2"/>
  <c r="V22" i="2"/>
  <c r="D22" i="2"/>
  <c r="D24" i="2" s="1"/>
  <c r="Y21" i="2"/>
  <c r="X21" i="2"/>
  <c r="W21" i="2"/>
  <c r="V21" i="2"/>
  <c r="E22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G36" i="1"/>
  <c r="I27" i="1"/>
  <c r="H27" i="1"/>
  <c r="G27" i="1"/>
  <c r="F27" i="1"/>
  <c r="E27" i="1"/>
  <c r="D27" i="1"/>
  <c r="I26" i="1"/>
  <c r="H26" i="1"/>
  <c r="G26" i="1"/>
  <c r="F26" i="1"/>
  <c r="E26" i="1"/>
  <c r="D26" i="1"/>
  <c r="I25" i="1"/>
  <c r="H25" i="1"/>
  <c r="G25" i="1"/>
  <c r="F25" i="1"/>
  <c r="E25" i="1"/>
  <c r="D25" i="1"/>
  <c r="E23" i="1"/>
  <c r="D23" i="1"/>
  <c r="I22" i="1"/>
  <c r="I24" i="1" s="1"/>
  <c r="I28" i="1" s="1"/>
  <c r="H22" i="1"/>
  <c r="H24" i="1" s="1"/>
  <c r="G22" i="1"/>
  <c r="G23" i="1" s="1"/>
  <c r="F22" i="1"/>
  <c r="F23" i="1" s="1"/>
  <c r="E22" i="1"/>
  <c r="E24" i="1" s="1"/>
  <c r="D22" i="1"/>
  <c r="D24" i="1" s="1"/>
  <c r="I21" i="1"/>
  <c r="H21" i="1"/>
  <c r="F21" i="1"/>
  <c r="E21" i="1"/>
  <c r="Y75" i="1"/>
  <c r="X75" i="1"/>
  <c r="W75" i="1"/>
  <c r="V75" i="1"/>
  <c r="Y74" i="1"/>
  <c r="X74" i="1"/>
  <c r="W74" i="1"/>
  <c r="V74" i="1"/>
  <c r="Y73" i="1"/>
  <c r="X73" i="1"/>
  <c r="W73" i="1"/>
  <c r="V73" i="1"/>
  <c r="Y72" i="1"/>
  <c r="X72" i="1"/>
  <c r="W72" i="1"/>
  <c r="V72" i="1"/>
  <c r="Y71" i="1"/>
  <c r="X71" i="1"/>
  <c r="W71" i="1"/>
  <c r="V71" i="1"/>
  <c r="Y70" i="1"/>
  <c r="X70" i="1"/>
  <c r="W70" i="1"/>
  <c r="V70" i="1"/>
  <c r="Y69" i="1"/>
  <c r="X69" i="1"/>
  <c r="W69" i="1"/>
  <c r="V69" i="1"/>
  <c r="Y68" i="1"/>
  <c r="X68" i="1"/>
  <c r="W68" i="1"/>
  <c r="V68" i="1"/>
  <c r="Y67" i="1"/>
  <c r="X67" i="1"/>
  <c r="W67" i="1"/>
  <c r="V67" i="1"/>
  <c r="Y66" i="1"/>
  <c r="X66" i="1"/>
  <c r="W66" i="1"/>
  <c r="V66" i="1"/>
  <c r="Y65" i="1"/>
  <c r="X65" i="1"/>
  <c r="W65" i="1"/>
  <c r="V65" i="1"/>
  <c r="Y64" i="1"/>
  <c r="X64" i="1"/>
  <c r="W64" i="1"/>
  <c r="V64" i="1"/>
  <c r="Y63" i="1"/>
  <c r="X63" i="1"/>
  <c r="W63" i="1"/>
  <c r="V63" i="1"/>
  <c r="Y62" i="1"/>
  <c r="X62" i="1"/>
  <c r="W62" i="1"/>
  <c r="V62" i="1"/>
  <c r="Y61" i="1"/>
  <c r="X61" i="1"/>
  <c r="W61" i="1"/>
  <c r="V61" i="1"/>
  <c r="Y60" i="1"/>
  <c r="X60" i="1"/>
  <c r="W60" i="1"/>
  <c r="V60" i="1"/>
  <c r="Y59" i="1"/>
  <c r="X59" i="1"/>
  <c r="W59" i="1"/>
  <c r="V59" i="1"/>
  <c r="Y58" i="1"/>
  <c r="X58" i="1"/>
  <c r="W58" i="1"/>
  <c r="V58" i="1"/>
  <c r="Y57" i="1"/>
  <c r="X57" i="1"/>
  <c r="W57" i="1"/>
  <c r="V57" i="1"/>
  <c r="Y56" i="1"/>
  <c r="X56" i="1"/>
  <c r="W56" i="1"/>
  <c r="V56" i="1"/>
  <c r="Y55" i="1"/>
  <c r="X55" i="1"/>
  <c r="W55" i="1"/>
  <c r="V55" i="1"/>
  <c r="Y54" i="1"/>
  <c r="X54" i="1"/>
  <c r="W54" i="1"/>
  <c r="V54" i="1"/>
  <c r="Y53" i="1"/>
  <c r="X53" i="1"/>
  <c r="W53" i="1"/>
  <c r="V53" i="1"/>
  <c r="Y52" i="1"/>
  <c r="X52" i="1"/>
  <c r="W52" i="1"/>
  <c r="V52" i="1"/>
  <c r="Y51" i="1"/>
  <c r="X51" i="1"/>
  <c r="W51" i="1"/>
  <c r="V51" i="1"/>
  <c r="Y50" i="1"/>
  <c r="X50" i="1"/>
  <c r="W50" i="1"/>
  <c r="V50" i="1"/>
  <c r="Y49" i="1"/>
  <c r="X49" i="1"/>
  <c r="W49" i="1"/>
  <c r="V49" i="1"/>
  <c r="Y48" i="1"/>
  <c r="X48" i="1"/>
  <c r="W48" i="1"/>
  <c r="V48" i="1"/>
  <c r="Y47" i="1"/>
  <c r="X47" i="1"/>
  <c r="W47" i="1"/>
  <c r="V47" i="1"/>
  <c r="Y46" i="1"/>
  <c r="X46" i="1"/>
  <c r="W46" i="1"/>
  <c r="V46" i="1"/>
  <c r="Y45" i="1"/>
  <c r="X45" i="1"/>
  <c r="W45" i="1"/>
  <c r="V45" i="1"/>
  <c r="Y44" i="1"/>
  <c r="X44" i="1"/>
  <c r="W44" i="1"/>
  <c r="V44" i="1"/>
  <c r="Y43" i="1"/>
  <c r="X43" i="1"/>
  <c r="W43" i="1"/>
  <c r="V43" i="1"/>
  <c r="Y42" i="1"/>
  <c r="X42" i="1"/>
  <c r="W42" i="1"/>
  <c r="V42" i="1"/>
  <c r="Y41" i="1"/>
  <c r="X41" i="1"/>
  <c r="W41" i="1"/>
  <c r="V41" i="1"/>
  <c r="Y40" i="1"/>
  <c r="X40" i="1"/>
  <c r="W40" i="1"/>
  <c r="V40" i="1"/>
  <c r="Y39" i="1"/>
  <c r="X39" i="1"/>
  <c r="W39" i="1"/>
  <c r="V39" i="1"/>
  <c r="Y38" i="1"/>
  <c r="X38" i="1"/>
  <c r="W38" i="1"/>
  <c r="V38" i="1"/>
  <c r="Y37" i="1"/>
  <c r="X37" i="1"/>
  <c r="W37" i="1"/>
  <c r="V37" i="1"/>
  <c r="Y36" i="1"/>
  <c r="X36" i="1"/>
  <c r="W36" i="1"/>
  <c r="V36" i="1"/>
  <c r="Y35" i="1"/>
  <c r="X35" i="1"/>
  <c r="W35" i="1"/>
  <c r="V35" i="1"/>
  <c r="Y34" i="1"/>
  <c r="X34" i="1"/>
  <c r="W34" i="1"/>
  <c r="V34" i="1"/>
  <c r="Y33" i="1"/>
  <c r="X33" i="1"/>
  <c r="W33" i="1"/>
  <c r="V33" i="1"/>
  <c r="Y32" i="1"/>
  <c r="X32" i="1"/>
  <c r="W32" i="1"/>
  <c r="V32" i="1"/>
  <c r="Y31" i="1"/>
  <c r="X31" i="1"/>
  <c r="W31" i="1"/>
  <c r="V31" i="1"/>
  <c r="Y30" i="1"/>
  <c r="X30" i="1"/>
  <c r="W30" i="1"/>
  <c r="V30" i="1"/>
  <c r="Y29" i="1"/>
  <c r="X29" i="1"/>
  <c r="W29" i="1"/>
  <c r="V29" i="1"/>
  <c r="Y28" i="1"/>
  <c r="X28" i="1"/>
  <c r="W28" i="1"/>
  <c r="V28" i="1"/>
  <c r="Y27" i="1"/>
  <c r="X27" i="1"/>
  <c r="W27" i="1"/>
  <c r="V27" i="1"/>
  <c r="Y26" i="1"/>
  <c r="X26" i="1"/>
  <c r="W26" i="1"/>
  <c r="V26" i="1"/>
  <c r="Y25" i="1"/>
  <c r="X25" i="1"/>
  <c r="W25" i="1"/>
  <c r="V25" i="1"/>
  <c r="Y24" i="1"/>
  <c r="X24" i="1"/>
  <c r="W24" i="1"/>
  <c r="V24" i="1"/>
  <c r="Y23" i="1"/>
  <c r="X23" i="1"/>
  <c r="W23" i="1"/>
  <c r="V23" i="1"/>
  <c r="Y22" i="1"/>
  <c r="X22" i="1"/>
  <c r="W22" i="1"/>
  <c r="V22" i="1"/>
  <c r="Y21" i="1"/>
  <c r="X21" i="1"/>
  <c r="W21" i="1"/>
  <c r="V21" i="1"/>
  <c r="Y20" i="1"/>
  <c r="X20" i="1"/>
  <c r="W20" i="1"/>
  <c r="V20" i="1"/>
  <c r="Y19" i="1"/>
  <c r="X19" i="1"/>
  <c r="W19" i="1"/>
  <c r="V19" i="1"/>
  <c r="Y18" i="1"/>
  <c r="X18" i="1"/>
  <c r="W18" i="1"/>
  <c r="V18" i="1"/>
  <c r="Y17" i="1"/>
  <c r="X17" i="1"/>
  <c r="W17" i="1"/>
  <c r="V17" i="1"/>
  <c r="Y16" i="1"/>
  <c r="X16" i="1"/>
  <c r="W16" i="1"/>
  <c r="V16" i="1"/>
  <c r="B38" i="1"/>
  <c r="H23" i="1" l="1"/>
  <c r="I23" i="1"/>
  <c r="C13" i="4"/>
  <c r="C28" i="4" s="1"/>
  <c r="G39" i="3"/>
  <c r="G39" i="2"/>
  <c r="D31" i="1"/>
  <c r="E22" i="3"/>
  <c r="F21" i="3"/>
  <c r="G21" i="3" s="1"/>
  <c r="H21" i="3" s="1"/>
  <c r="I21" i="3" s="1"/>
  <c r="D28" i="2"/>
  <c r="Q7" i="3"/>
  <c r="D30" i="3"/>
  <c r="D32" i="3" s="1"/>
  <c r="C32" i="3"/>
  <c r="G40" i="3"/>
  <c r="C30" i="3"/>
  <c r="E24" i="3"/>
  <c r="E23" i="3"/>
  <c r="E25" i="3"/>
  <c r="Q7" i="2"/>
  <c r="D30" i="2"/>
  <c r="D32" i="2" s="1"/>
  <c r="C32" i="2"/>
  <c r="G40" i="2"/>
  <c r="C30" i="2"/>
  <c r="E24" i="2"/>
  <c r="E28" i="2" s="1"/>
  <c r="E23" i="2"/>
  <c r="E25" i="2"/>
  <c r="H28" i="1"/>
  <c r="D28" i="1"/>
  <c r="E28" i="1"/>
  <c r="F24" i="1"/>
  <c r="F28" i="1" s="1"/>
  <c r="G24" i="1"/>
  <c r="G28" i="1" s="1"/>
  <c r="Y15" i="1"/>
  <c r="X15" i="1"/>
  <c r="V15" i="1"/>
  <c r="W15" i="1"/>
  <c r="M38" i="1"/>
  <c r="B37" i="1"/>
  <c r="G37" i="1"/>
  <c r="G38" i="1"/>
  <c r="E31" i="1"/>
  <c r="F31" i="1"/>
  <c r="G31" i="1"/>
  <c r="H31" i="1"/>
  <c r="I31" i="1" l="1"/>
  <c r="M48" i="3"/>
  <c r="M48" i="2"/>
  <c r="E28" i="3"/>
  <c r="Q8" i="3" s="1"/>
  <c r="G41" i="3"/>
  <c r="F25" i="3"/>
  <c r="F27" i="3"/>
  <c r="F26" i="3"/>
  <c r="F22" i="3"/>
  <c r="F25" i="2"/>
  <c r="F27" i="2"/>
  <c r="F26" i="2"/>
  <c r="F22" i="2"/>
  <c r="Q8" i="2"/>
  <c r="E30" i="2"/>
  <c r="E32" i="2" s="1"/>
  <c r="G41" i="2"/>
  <c r="G21" i="1"/>
  <c r="G39" i="1"/>
  <c r="C30" i="1" s="1"/>
  <c r="E30" i="3" l="1"/>
  <c r="E32" i="3" s="1"/>
  <c r="F23" i="3"/>
  <c r="F24" i="3"/>
  <c r="F28" i="3" s="1"/>
  <c r="G26" i="3"/>
  <c r="G25" i="3"/>
  <c r="G27" i="3"/>
  <c r="G22" i="3"/>
  <c r="F24" i="2"/>
  <c r="F28" i="2" s="1"/>
  <c r="F23" i="2"/>
  <c r="G27" i="2"/>
  <c r="G26" i="2"/>
  <c r="G22" i="2"/>
  <c r="G25" i="2"/>
  <c r="Q7" i="1"/>
  <c r="G40" i="1"/>
  <c r="C32" i="1"/>
  <c r="G41" i="1" l="1"/>
  <c r="M48" i="1"/>
  <c r="G24" i="3"/>
  <c r="G28" i="3" s="1"/>
  <c r="G23" i="3"/>
  <c r="H27" i="3"/>
  <c r="H26" i="3"/>
  <c r="H22" i="3"/>
  <c r="H25" i="3"/>
  <c r="Q9" i="3"/>
  <c r="F30" i="3"/>
  <c r="F32" i="3" s="1"/>
  <c r="G24" i="2"/>
  <c r="G28" i="2" s="1"/>
  <c r="G23" i="2"/>
  <c r="H27" i="2"/>
  <c r="H26" i="2"/>
  <c r="H22" i="2"/>
  <c r="H25" i="2"/>
  <c r="Q9" i="2"/>
  <c r="F30" i="2"/>
  <c r="F32" i="2" s="1"/>
  <c r="D30" i="1"/>
  <c r="D32" i="1" s="1"/>
  <c r="E30" i="1"/>
  <c r="E32" i="1" s="1"/>
  <c r="Q8" i="1"/>
  <c r="I22" i="3" l="1"/>
  <c r="I27" i="3"/>
  <c r="I26" i="3"/>
  <c r="I25" i="3"/>
  <c r="H24" i="3"/>
  <c r="H28" i="3" s="1"/>
  <c r="H23" i="3"/>
  <c r="G30" i="3"/>
  <c r="G32" i="3" s="1"/>
  <c r="Q10" i="3"/>
  <c r="I27" i="2"/>
  <c r="I26" i="2"/>
  <c r="I22" i="2"/>
  <c r="I25" i="2"/>
  <c r="H24" i="2"/>
  <c r="H28" i="2" s="1"/>
  <c r="H23" i="2"/>
  <c r="G30" i="2"/>
  <c r="G32" i="2" s="1"/>
  <c r="Q10" i="2"/>
  <c r="M21" i="1"/>
  <c r="F30" i="1"/>
  <c r="F32" i="1" s="1"/>
  <c r="Q9" i="1"/>
  <c r="M21" i="3" l="1"/>
  <c r="M21" i="2"/>
  <c r="H30" i="3"/>
  <c r="H32" i="3" s="1"/>
  <c r="Q11" i="3"/>
  <c r="I24" i="3"/>
  <c r="I28" i="3" s="1"/>
  <c r="I23" i="3"/>
  <c r="H30" i="2"/>
  <c r="H32" i="2" s="1"/>
  <c r="Q11" i="2"/>
  <c r="I23" i="2"/>
  <c r="I24" i="2"/>
  <c r="I28" i="2" s="1"/>
  <c r="G30" i="1"/>
  <c r="G32" i="1" s="1"/>
  <c r="Q10" i="1"/>
  <c r="I30" i="3" l="1"/>
  <c r="I32" i="3" s="1"/>
  <c r="B36" i="3" s="1"/>
  <c r="M20" i="3"/>
  <c r="M22" i="3" s="1"/>
  <c r="J32" i="3" s="1"/>
  <c r="Q12" i="3"/>
  <c r="I30" i="2"/>
  <c r="I32" i="2" s="1"/>
  <c r="B36" i="2" s="1"/>
  <c r="M20" i="2"/>
  <c r="M22" i="2" s="1"/>
  <c r="J32" i="2" s="1"/>
  <c r="Q12" i="2"/>
  <c r="H30" i="1"/>
  <c r="H32" i="1" s="1"/>
  <c r="Q11" i="1"/>
  <c r="Q12" i="1"/>
  <c r="B39" i="3" l="1"/>
  <c r="B40" i="3" s="1"/>
  <c r="J30" i="3"/>
  <c r="J30" i="2"/>
  <c r="B39" i="2"/>
  <c r="B40" i="2" s="1"/>
  <c r="M20" i="1"/>
  <c r="M22" i="1" s="1"/>
  <c r="I30" i="1"/>
  <c r="I32" i="1" s="1"/>
  <c r="B36" i="1" s="1"/>
  <c r="B41" i="3" l="1"/>
  <c r="M44" i="3"/>
  <c r="M43" i="3"/>
  <c r="M41" i="3"/>
  <c r="M50" i="3"/>
  <c r="T7" i="3"/>
  <c r="M47" i="3"/>
  <c r="M49" i="3"/>
  <c r="M44" i="2"/>
  <c r="M43" i="2"/>
  <c r="M41" i="2"/>
  <c r="M50" i="2"/>
  <c r="T7" i="2"/>
  <c r="M47" i="2"/>
  <c r="M49" i="2"/>
  <c r="M37" i="3"/>
  <c r="B41" i="2"/>
  <c r="M37" i="2"/>
  <c r="B39" i="1"/>
  <c r="B40" i="1" s="1"/>
  <c r="J30" i="1"/>
  <c r="J32" i="1"/>
  <c r="M43" i="1" l="1"/>
  <c r="B41" i="1"/>
  <c r="T7" i="1"/>
  <c r="M41" i="1"/>
  <c r="M50" i="1"/>
  <c r="M47" i="1"/>
  <c r="M37" i="1"/>
  <c r="M44" i="1"/>
  <c r="M49" i="1"/>
</calcChain>
</file>

<file path=xl/sharedStrings.xml><?xml version="1.0" encoding="utf-8"?>
<sst xmlns="http://schemas.openxmlformats.org/spreadsheetml/2006/main" count="345" uniqueCount="128">
  <si>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</si>
  <si>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</si>
  <si>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</si>
  <si>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</si>
  <si>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</si>
  <si>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</si>
  <si>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</si>
  <si>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</si>
  <si>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</si>
  <si>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</si>
  <si>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</si>
  <si>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</si>
  <si>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</si>
  <si>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</si>
  <si>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</si>
  <si>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</si>
  <si>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</si>
  <si>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</si>
  <si>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</si>
  <si>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</si>
  <si>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EBIT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</si>
  <si>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</si>
  <si>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</si>
  <si>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</si>
  <si>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</si>
  <si>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</si>
  <si>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</si>
  <si>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</si>
  <si>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</si>
  <si>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</si>
  <si>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</si>
  <si>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</si>
  <si>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</si>
  <si>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</si>
  <si>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</si>
  <si>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</si>
  <si>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</si>
  <si>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</si>
  <si>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</si>
  <si>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</si>
  <si>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</si>
  <si>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</si>
  <si>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</si>
  <si>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</si>
  <si>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</si>
  <si>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</si>
  <si>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</si>
  <si>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(Intrinsic Equity Value/Shares Outstanding)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</si>
  <si>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</si>
  <si>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</si>
  <si>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</si>
  <si>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</si>
  <si>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</si>
  <si>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</si>
  <si>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</si>
  <si>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</si>
  <si>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</si>
  <si>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</si>
  <si>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</si>
  <si>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</si>
  <si>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</si>
  <si>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</si>
  <si>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</si>
  <si>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</si>
  <si>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</si>
  <si>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</si>
  <si>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</si>
  <si>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</si>
  <si>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</si>
  <si>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</si>
  <si>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</si>
  <si>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</si>
  <si>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</si>
  <si>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</si>
  <si>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(Following previous trend logic)</t>
  </si>
  <si>
    <t>Apple Corp</t>
  </si>
  <si>
    <t>(2.5% of Revenue)</t>
  </si>
  <si>
    <t>Perpetual Growth Equity Value per Share</t>
  </si>
  <si>
    <t>(Intrinsic EV + Cash - Debt + Perpetual Growth Terminal Value) / 2</t>
  </si>
  <si>
    <t>Downside</t>
  </si>
  <si>
    <t>Apple Indexed</t>
  </si>
  <si>
    <t>Mid to end of month closing price</t>
  </si>
  <si>
    <t>(1% of Revenue)</t>
  </si>
  <si>
    <t>(3% of Revenue)</t>
  </si>
  <si>
    <t>(Revenue * 0.35)</t>
  </si>
  <si>
    <t>28.0x</t>
  </si>
  <si>
    <t>(as of April 2026)</t>
  </si>
  <si>
    <t>12,484,830,000 (3% of Revenue)</t>
  </si>
  <si>
    <t>*base-case assumptions</t>
  </si>
  <si>
    <t>*bear-case assumptions</t>
  </si>
  <si>
    <t>*bull-case assumptions</t>
  </si>
  <si>
    <t>23.0x</t>
  </si>
  <si>
    <t>(1.5% of Revenue)</t>
  </si>
  <si>
    <t>(0.5% of Revenue)</t>
  </si>
  <si>
    <t>(4% of Revenue)</t>
  </si>
  <si>
    <t>(2% of Revenue)</t>
  </si>
  <si>
    <t>(Revenue * 0.30)</t>
  </si>
  <si>
    <t>16,646,440,000 (4% of Revenue)</t>
  </si>
  <si>
    <t>33.0x</t>
  </si>
  <si>
    <t>(3.5% of Revenue)</t>
  </si>
  <si>
    <t>Intrinsic Value vs Current Price</t>
  </si>
  <si>
    <t>Upside ($)</t>
  </si>
  <si>
    <t>Upside (%)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</si>
  <si>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</si>
  <si>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</si>
  <si>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</si>
  <si>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</si>
  <si>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</si>
  <si>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</si>
  <si>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</si>
  <si>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</si>
  <si>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</si>
  <si>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</si>
  <si>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</si>
  <si>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</si>
  <si>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</si>
  <si>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</si>
  <si>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</si>
  <si>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</si>
  <si>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</si>
  <si>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</si>
  <si>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</si>
  <si>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</si>
  <si>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AAPL</t>
  </si>
  <si>
    <t>(Revenue * 0.4)</t>
  </si>
  <si>
    <t>8,323,220,000 (3% of Revenue)</t>
  </si>
  <si>
    <t>Risk-Free Rate + (Beta x Market Risk Premium)</t>
  </si>
  <si>
    <t>Market Risk Premium (assuming 9% 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</si>
</sst>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  <numFmt numFmtId="167" formatCode="_(* #,##0_);_(* \(#,##0\);_(* &quot;-&quot;??_);_(@_)"/>
    <numFmt numFmtId="168" formatCode="0.0%"/>
    <numFmt numFmtId="169" formatCode="0.00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5" fillId="0" borderId="0" xfId="0" applyFont="1"/>
    <xf numFmtId="165" fontId="0" fillId="0" borderId="0" xfId="0" applyNumberFormat="1"/>
    <xf numFmtId="6" fontId="0" fillId="0" borderId="0" xfId="0" applyNumberFormat="1"/>
    <xf numFmtId="166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167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7" fontId="0" fillId="0" borderId="0" xfId="2" applyNumberFormat="1" applyFont="1"/>
    <xf numFmtId="165" fontId="0" fillId="0" borderId="0" xfId="0" applyNumberFormat="1" applyAlignment="1">
      <alignment horizontal="center" vertical="top"/>
    </xf>
    <xf numFmtId="6" fontId="0" fillId="0" borderId="0" xfId="0" applyNumberFormat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top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9" fontId="3" fillId="3" borderId="0" xfId="0" applyNumberFormat="1" applyFont="1" applyFill="1" applyAlignment="1">
      <alignment horizontal="left"/>
    </xf>
    <xf numFmtId="0" fontId="0" fillId="0" borderId="5" xfId="0" applyBorder="1"/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8" fontId="0" fillId="3" borderId="0" xfId="0" applyNumberFormat="1" applyFill="1" applyAlignment="1">
      <alignment horizontal="left"/>
    </xf>
    <xf numFmtId="169" fontId="0" fillId="0" borderId="0" xfId="0" applyNumberFormat="1" applyAlignment="1">
      <alignment horizontal="right"/>
    </xf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10" fontId="0" fillId="5" borderId="5" xfId="0" applyNumberFormat="1" applyFill="1" applyBorder="1"/>
    <xf numFmtId="10" fontId="0" fillId="5" borderId="8" xfId="3" applyNumberFormat="1" applyFont="1" applyFill="1" applyBorder="1"/>
    <xf numFmtId="10" fontId="0" fillId="5" borderId="5" xfId="3" applyNumberFormat="1" applyFont="1" applyFill="1" applyBorder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7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7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116108919000</c:v>
                </c:pt>
                <c:pt idx="1">
                  <c:v>135847435230</c:v>
                </c:pt>
                <c:pt idx="2">
                  <c:v>157583024866.79999</c:v>
                </c:pt>
                <c:pt idx="3">
                  <c:v>178068818099.48398</c:v>
                </c:pt>
                <c:pt idx="4">
                  <c:v>195875699909.43243</c:v>
                </c:pt>
                <c:pt idx="5">
                  <c:v>211545755902.18698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227.98741858191016</c:v>
                </c:pt>
                <c:pt idx="1">
                  <c:v>43.01</c:v>
                </c:pt>
                <c:pt idx="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AAPL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Apple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'Base Assumptions'!$V$15:$V$75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95.762969724631063</c:v>
                </c:pt>
                <c:pt idx="2">
                  <c:v>101.25513464171611</c:v>
                </c:pt>
                <c:pt idx="3">
                  <c:v>113.00775901414879</c:v>
                </c:pt>
                <c:pt idx="4">
                  <c:v>113.03818652061462</c:v>
                </c:pt>
                <c:pt idx="5">
                  <c:v>108.51209493382017</c:v>
                </c:pt>
                <c:pt idx="6">
                  <c:v>113.95101171459</c:v>
                </c:pt>
                <c:pt idx="7">
                  <c:v>119.28343222272935</c:v>
                </c:pt>
                <c:pt idx="8">
                  <c:v>135.07530807850293</c:v>
                </c:pt>
                <c:pt idx="9">
                  <c:v>131.13494599117601</c:v>
                </c:pt>
                <c:pt idx="10">
                  <c:v>124.12140575079871</c:v>
                </c:pt>
                <c:pt idx="11">
                  <c:v>132.59546630153659</c:v>
                </c:pt>
                <c:pt idx="12">
                  <c:v>123.07165677772704</c:v>
                </c:pt>
                <c:pt idx="13">
                  <c:v>113.82930168872659</c:v>
                </c:pt>
                <c:pt idx="14">
                  <c:v>105.68233683249657</c:v>
                </c:pt>
                <c:pt idx="15">
                  <c:v>123.61935189411226</c:v>
                </c:pt>
                <c:pt idx="16">
                  <c:v>118.5227445610832</c:v>
                </c:pt>
                <c:pt idx="17">
                  <c:v>105.12703483949488</c:v>
                </c:pt>
                <c:pt idx="18">
                  <c:v>105.26395861859119</c:v>
                </c:pt>
                <c:pt idx="19">
                  <c:v>112.4372432679142</c:v>
                </c:pt>
                <c:pt idx="20">
                  <c:v>98.836147877681427</c:v>
                </c:pt>
                <c:pt idx="21">
                  <c:v>104.87600791115167</c:v>
                </c:pt>
                <c:pt idx="22">
                  <c:v>114.88665753841471</c:v>
                </c:pt>
                <c:pt idx="23">
                  <c:v>125.43739540544652</c:v>
                </c:pt>
                <c:pt idx="24">
                  <c:v>125.52867792484406</c:v>
                </c:pt>
                <c:pt idx="25">
                  <c:v>137.64643237486686</c:v>
                </c:pt>
                <c:pt idx="26">
                  <c:v>147.55058572949946</c:v>
                </c:pt>
                <c:pt idx="27">
                  <c:v>138.43754754297885</c:v>
                </c:pt>
                <c:pt idx="28">
                  <c:v>144.11988437547544</c:v>
                </c:pt>
                <c:pt idx="29">
                  <c:v>132.96059637912671</c:v>
                </c:pt>
                <c:pt idx="30">
                  <c:v>134.37547542978851</c:v>
                </c:pt>
                <c:pt idx="31">
                  <c:v>145.47390841320552</c:v>
                </c:pt>
                <c:pt idx="32">
                  <c:v>147.2691312946904</c:v>
                </c:pt>
                <c:pt idx="33">
                  <c:v>141.3738019169329</c:v>
                </c:pt>
                <c:pt idx="34">
                  <c:v>136.66514529134338</c:v>
                </c:pt>
                <c:pt idx="35">
                  <c:v>130.44272021907804</c:v>
                </c:pt>
                <c:pt idx="36">
                  <c:v>125.51346417161113</c:v>
                </c:pt>
                <c:pt idx="37">
                  <c:v>144.43176631675036</c:v>
                </c:pt>
                <c:pt idx="38">
                  <c:v>157.83508291495511</c:v>
                </c:pt>
                <c:pt idx="39">
                  <c:v>167.24478928951771</c:v>
                </c:pt>
                <c:pt idx="40">
                  <c:v>172.5543891678077</c:v>
                </c:pt>
                <c:pt idx="41">
                  <c:v>172.52396166134184</c:v>
                </c:pt>
                <c:pt idx="42">
                  <c:v>176.03073178153048</c:v>
                </c:pt>
                <c:pt idx="43">
                  <c:v>180.53400273847558</c:v>
                </c:pt>
                <c:pt idx="44">
                  <c:v>185.12094933820174</c:v>
                </c:pt>
                <c:pt idx="45">
                  <c:v>174.94294842537653</c:v>
                </c:pt>
                <c:pt idx="46">
                  <c:v>186.78685531720674</c:v>
                </c:pt>
                <c:pt idx="47">
                  <c:v>165.75384147269131</c:v>
                </c:pt>
                <c:pt idx="48">
                  <c:v>159.19671382930167</c:v>
                </c:pt>
                <c:pt idx="49">
                  <c:v>148.53947968963942</c:v>
                </c:pt>
                <c:pt idx="50">
                  <c:v>162.44485014453065</c:v>
                </c:pt>
                <c:pt idx="51">
                  <c:v>162.69587707287388</c:v>
                </c:pt>
                <c:pt idx="52">
                  <c:v>176.58603377453215</c:v>
                </c:pt>
                <c:pt idx="53">
                  <c:v>194.32527004411989</c:v>
                </c:pt>
                <c:pt idx="54">
                  <c:v>199.92393123383536</c:v>
                </c:pt>
                <c:pt idx="55">
                  <c:v>206.51909326030733</c:v>
                </c:pt>
                <c:pt idx="56">
                  <c:v>206.15396318271718</c:v>
                </c:pt>
                <c:pt idx="57">
                  <c:v>188.68096759470561</c:v>
                </c:pt>
                <c:pt idx="58">
                  <c:v>200.95846645367411</c:v>
                </c:pt>
                <c:pt idx="59">
                  <c:v>188.6429332116233</c:v>
                </c:pt>
                <c:pt idx="60">
                  <c:v>206.19199756579948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'Base Assumptions'!$W$15:$W$75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101.16522408799452</c:v>
                </c:pt>
                <c:pt idx="2">
                  <c:v>104.09383019585428</c:v>
                </c:pt>
                <c:pt idx="3">
                  <c:v>105.12033713051609</c:v>
                </c:pt>
                <c:pt idx="4">
                  <c:v>107.8494775385837</c:v>
                </c:pt>
                <c:pt idx="5">
                  <c:v>106.5606038501185</c:v>
                </c:pt>
                <c:pt idx="6">
                  <c:v>108.69923968649921</c:v>
                </c:pt>
                <c:pt idx="7">
                  <c:v>109.88838052506833</c:v>
                </c:pt>
                <c:pt idx="8">
                  <c:v>113.99153825364672</c:v>
                </c:pt>
                <c:pt idx="9">
                  <c:v>107.63805346350424</c:v>
                </c:pt>
                <c:pt idx="10">
                  <c:v>104.86658040691958</c:v>
                </c:pt>
                <c:pt idx="11">
                  <c:v>108.65523286544199</c:v>
                </c:pt>
                <c:pt idx="12">
                  <c:v>102.16709676956451</c:v>
                </c:pt>
                <c:pt idx="13">
                  <c:v>99.451588909324414</c:v>
                </c:pt>
                <c:pt idx="14">
                  <c:v>93.556109892685541</c:v>
                </c:pt>
                <c:pt idx="15">
                  <c:v>98.783115730764351</c:v>
                </c:pt>
                <c:pt idx="16">
                  <c:v>93.855547609879537</c:v>
                </c:pt>
                <c:pt idx="17">
                  <c:v>85.756379195297001</c:v>
                </c:pt>
                <c:pt idx="18">
                  <c:v>93.300678996548811</c:v>
                </c:pt>
                <c:pt idx="19">
                  <c:v>96.291707823408274</c:v>
                </c:pt>
                <c:pt idx="20">
                  <c:v>91.828363831176446</c:v>
                </c:pt>
                <c:pt idx="21">
                  <c:v>97.354568218943498</c:v>
                </c:pt>
                <c:pt idx="22">
                  <c:v>96.758562794624467</c:v>
                </c:pt>
                <c:pt idx="23">
                  <c:v>94.97317736423058</c:v>
                </c:pt>
                <c:pt idx="24">
                  <c:v>98.860366835120317</c:v>
                </c:pt>
                <c:pt idx="25">
                  <c:v>102.4203751581495</c:v>
                </c:pt>
                <c:pt idx="26">
                  <c:v>106.43862842218806</c:v>
                </c:pt>
                <c:pt idx="27">
                  <c:v>109.59205198544903</c:v>
                </c:pt>
                <c:pt idx="28">
                  <c:v>108.00254474226114</c:v>
                </c:pt>
                <c:pt idx="29">
                  <c:v>103.32179748730618</c:v>
                </c:pt>
                <c:pt idx="30">
                  <c:v>98.474111313340515</c:v>
                </c:pt>
                <c:pt idx="31">
                  <c:v>109.04459756479645</c:v>
                </c:pt>
                <c:pt idx="32">
                  <c:v>114.07883439324399</c:v>
                </c:pt>
                <c:pt idx="33">
                  <c:v>118.59383856671697</c:v>
                </c:pt>
                <c:pt idx="34">
                  <c:v>122.86226104176581</c:v>
                </c:pt>
                <c:pt idx="35">
                  <c:v>125.18457752255947</c:v>
                </c:pt>
                <c:pt idx="36">
                  <c:v>118.80000095667</c:v>
                </c:pt>
                <c:pt idx="37">
                  <c:v>126.2208903249569</c:v>
                </c:pt>
                <c:pt idx="38">
                  <c:v>130.69595352497026</c:v>
                </c:pt>
                <c:pt idx="39">
                  <c:v>130.56393306179851</c:v>
                </c:pt>
                <c:pt idx="40">
                  <c:v>135.09137394557024</c:v>
                </c:pt>
                <c:pt idx="41">
                  <c:v>137.54690672706442</c:v>
                </c:pt>
                <c:pt idx="42">
                  <c:v>137.01428069176808</c:v>
                </c:pt>
                <c:pt idx="43">
                  <c:v>142.76721587498236</c:v>
                </c:pt>
                <c:pt idx="44">
                  <c:v>142.12457278704287</c:v>
                </c:pt>
                <c:pt idx="45">
                  <c:v>144.46984934838812</c:v>
                </c:pt>
                <c:pt idx="46">
                  <c:v>142.41229129645529</c:v>
                </c:pt>
                <c:pt idx="47">
                  <c:v>121.35550575556601</c:v>
                </c:pt>
                <c:pt idx="48">
                  <c:v>126.34501826043906</c:v>
                </c:pt>
                <c:pt idx="49">
                  <c:v>138.78459856929996</c:v>
                </c:pt>
                <c:pt idx="50">
                  <c:v>150.18164772061408</c:v>
                </c:pt>
                <c:pt idx="51">
                  <c:v>149.19292925186011</c:v>
                </c:pt>
                <c:pt idx="52">
                  <c:v>154.50842706706496</c:v>
                </c:pt>
                <c:pt idx="53">
                  <c:v>160.61987434139249</c:v>
                </c:pt>
                <c:pt idx="54">
                  <c:v>163.59535728037847</c:v>
                </c:pt>
                <c:pt idx="55">
                  <c:v>163.80797719298664</c:v>
                </c:pt>
                <c:pt idx="56">
                  <c:v>165.74164647694306</c:v>
                </c:pt>
                <c:pt idx="57">
                  <c:v>165.95904973966614</c:v>
                </c:pt>
                <c:pt idx="58">
                  <c:v>165.25302726270399</c:v>
                </c:pt>
                <c:pt idx="59">
                  <c:v>152.32219689704078</c:v>
                </c:pt>
                <c:pt idx="60">
                  <c:v>170.36044934790979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'Base Assumptions'!$X$15:$X$75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98.938670799588607</c:v>
                </c:pt>
                <c:pt idx="2">
                  <c:v>104.84613269085877</c:v>
                </c:pt>
                <c:pt idx="3">
                  <c:v>105.08498368508053</c:v>
                </c:pt>
                <c:pt idx="4">
                  <c:v>105.38564229789695</c:v>
                </c:pt>
                <c:pt idx="5">
                  <c:v>107.77085774364235</c:v>
                </c:pt>
                <c:pt idx="6">
                  <c:v>110.99867647185211</c:v>
                </c:pt>
                <c:pt idx="7">
                  <c:v>108.04136455179092</c:v>
                </c:pt>
                <c:pt idx="8">
                  <c:v>112.10863530497011</c:v>
                </c:pt>
                <c:pt idx="9">
                  <c:v>98.624118005998838</c:v>
                </c:pt>
                <c:pt idx="10">
                  <c:v>95.350176327180748</c:v>
                </c:pt>
                <c:pt idx="11">
                  <c:v>101.47980187184696</c:v>
                </c:pt>
                <c:pt idx="12">
                  <c:v>91.954338278897751</c:v>
                </c:pt>
                <c:pt idx="13">
                  <c:v>81.32120767646326</c:v>
                </c:pt>
                <c:pt idx="14">
                  <c:v>79.697092535243954</c:v>
                </c:pt>
                <c:pt idx="15">
                  <c:v>88.741488023789131</c:v>
                </c:pt>
                <c:pt idx="16">
                  <c:v>86.958305998561869</c:v>
                </c:pt>
                <c:pt idx="17">
                  <c:v>77.835558789573341</c:v>
                </c:pt>
                <c:pt idx="18">
                  <c:v>79.515179034397406</c:v>
                </c:pt>
                <c:pt idx="19">
                  <c:v>80.402616116676739</c:v>
                </c:pt>
                <c:pt idx="20">
                  <c:v>74.960394422847187</c:v>
                </c:pt>
                <c:pt idx="21">
                  <c:v>79.787189851804953</c:v>
                </c:pt>
                <c:pt idx="22">
                  <c:v>83.716091753159134</c:v>
                </c:pt>
                <c:pt idx="23">
                  <c:v>84.682596750767033</c:v>
                </c:pt>
                <c:pt idx="24">
                  <c:v>86.462341040545226</c:v>
                </c:pt>
                <c:pt idx="25">
                  <c:v>94.829717504089473</c:v>
                </c:pt>
                <c:pt idx="26">
                  <c:v>96.632738127637381</c:v>
                </c:pt>
                <c:pt idx="27">
                  <c:v>100.50226747300661</c:v>
                </c:pt>
                <c:pt idx="28">
                  <c:v>97.335540168506327</c:v>
                </c:pt>
                <c:pt idx="29">
                  <c:v>94.622307465329001</c:v>
                </c:pt>
                <c:pt idx="30">
                  <c:v>90.548590958182814</c:v>
                </c:pt>
                <c:pt idx="31">
                  <c:v>102.063858800746</c:v>
                </c:pt>
                <c:pt idx="32">
                  <c:v>107.37888428296</c:v>
                </c:pt>
                <c:pt idx="33">
                  <c:v>111.93374051399876</c:v>
                </c:pt>
                <c:pt idx="34">
                  <c:v>116.56028785304827</c:v>
                </c:pt>
                <c:pt idx="35">
                  <c:v>117.66236854242882</c:v>
                </c:pt>
                <c:pt idx="36">
                  <c:v>109.44897397920744</c:v>
                </c:pt>
                <c:pt idx="37">
                  <c:v>119.85535728098044</c:v>
                </c:pt>
                <c:pt idx="38">
                  <c:v>126.69029154861389</c:v>
                </c:pt>
                <c:pt idx="39">
                  <c:v>124.31624874307798</c:v>
                </c:pt>
                <c:pt idx="40">
                  <c:v>128.03981757083884</c:v>
                </c:pt>
                <c:pt idx="41">
                  <c:v>129.90235398934874</c:v>
                </c:pt>
                <c:pt idx="42">
                  <c:v>132.62933763432235</c:v>
                </c:pt>
                <c:pt idx="43">
                  <c:v>136.10316930560609</c:v>
                </c:pt>
                <c:pt idx="44">
                  <c:v>141.24817012206825</c:v>
                </c:pt>
                <c:pt idx="45">
                  <c:v>140.57072138013618</c:v>
                </c:pt>
                <c:pt idx="46">
                  <c:v>139.82996101035044</c:v>
                </c:pt>
                <c:pt idx="47">
                  <c:v>111.63895469924113</c:v>
                </c:pt>
                <c:pt idx="48">
                  <c:v>116.64272188433739</c:v>
                </c:pt>
                <c:pt idx="49">
                  <c:v>136.89184311321324</c:v>
                </c:pt>
                <c:pt idx="50">
                  <c:v>139.28135572826992</c:v>
                </c:pt>
                <c:pt idx="51">
                  <c:v>147.89517485181929</c:v>
                </c:pt>
                <c:pt idx="52">
                  <c:v>153.95711997983196</c:v>
                </c:pt>
                <c:pt idx="53">
                  <c:v>163.15284744762465</c:v>
                </c:pt>
                <c:pt idx="54">
                  <c:v>166.19209206255533</c:v>
                </c:pt>
                <c:pt idx="55">
                  <c:v>167.3438766769703</c:v>
                </c:pt>
                <c:pt idx="56">
                  <c:v>168.97257546545504</c:v>
                </c:pt>
                <c:pt idx="57">
                  <c:v>168.0323548201348</c:v>
                </c:pt>
                <c:pt idx="58">
                  <c:v>162.34856059151969</c:v>
                </c:pt>
                <c:pt idx="59">
                  <c:v>150.03108285801866</c:v>
                </c:pt>
                <c:pt idx="60">
                  <c:v>175.24200225171671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'Base Assumptions'!$Y$15:$Y$75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101.93240708076937</c:v>
                </c:pt>
                <c:pt idx="2">
                  <c:v>101.65016228854149</c:v>
                </c:pt>
                <c:pt idx="3">
                  <c:v>103.50318894401009</c:v>
                </c:pt>
                <c:pt idx="4">
                  <c:v>103.67597199692398</c:v>
                </c:pt>
                <c:pt idx="5">
                  <c:v>101.33317195500497</c:v>
                </c:pt>
                <c:pt idx="6">
                  <c:v>105.32008259815173</c:v>
                </c:pt>
                <c:pt idx="7">
                  <c:v>102.99481768922962</c:v>
                </c:pt>
                <c:pt idx="8">
                  <c:v>106.12758432878668</c:v>
                </c:pt>
                <c:pt idx="9">
                  <c:v>102.51106646966703</c:v>
                </c:pt>
                <c:pt idx="10">
                  <c:v>100.54288063268177</c:v>
                </c:pt>
                <c:pt idx="11">
                  <c:v>102.91186529239245</c:v>
                </c:pt>
                <c:pt idx="12">
                  <c:v>99.81269289753314</c:v>
                </c:pt>
                <c:pt idx="13">
                  <c:v>98.046072528734456</c:v>
                </c:pt>
                <c:pt idx="14">
                  <c:v>91.800436016690838</c:v>
                </c:pt>
                <c:pt idx="15">
                  <c:v>96.960222702093148</c:v>
                </c:pt>
                <c:pt idx="16">
                  <c:v>92.453368797205002</c:v>
                </c:pt>
                <c:pt idx="17">
                  <c:v>90.989096630686177</c:v>
                </c:pt>
                <c:pt idx="18">
                  <c:v>97.009433252102966</c:v>
                </c:pt>
                <c:pt idx="19">
                  <c:v>101.6384721998769</c:v>
                </c:pt>
                <c:pt idx="20">
                  <c:v>98.019415584128055</c:v>
                </c:pt>
                <c:pt idx="21">
                  <c:v>98.525868011223665</c:v>
                </c:pt>
                <c:pt idx="22">
                  <c:v>96.876945580570833</c:v>
                </c:pt>
                <c:pt idx="23">
                  <c:v>98.226708014943256</c:v>
                </c:pt>
                <c:pt idx="24">
                  <c:v>99.805489913608483</c:v>
                </c:pt>
                <c:pt idx="25">
                  <c:v>97.692949193870959</c:v>
                </c:pt>
                <c:pt idx="26">
                  <c:v>99.564809881076968</c:v>
                </c:pt>
                <c:pt idx="27">
                  <c:v>103.51520375735983</c:v>
                </c:pt>
                <c:pt idx="28">
                  <c:v>102.84240373020101</c:v>
                </c:pt>
                <c:pt idx="29">
                  <c:v>98.915567153802897</c:v>
                </c:pt>
                <c:pt idx="30">
                  <c:v>100.5504673821434</c:v>
                </c:pt>
                <c:pt idx="31">
                  <c:v>106.99825977089196</c:v>
                </c:pt>
                <c:pt idx="32">
                  <c:v>111.2611273555455</c:v>
                </c:pt>
                <c:pt idx="33">
                  <c:v>112.50066051952999</c:v>
                </c:pt>
                <c:pt idx="34">
                  <c:v>115.38761057244533</c:v>
                </c:pt>
                <c:pt idx="35">
                  <c:v>117.51305171831021</c:v>
                </c:pt>
                <c:pt idx="36">
                  <c:v>112.13747071942754</c:v>
                </c:pt>
                <c:pt idx="37">
                  <c:v>114.20366437046954</c:v>
                </c:pt>
                <c:pt idx="38">
                  <c:v>115.57344165361619</c:v>
                </c:pt>
                <c:pt idx="39">
                  <c:v>118.93050448931876</c:v>
                </c:pt>
                <c:pt idx="40">
                  <c:v>121.55058989191096</c:v>
                </c:pt>
                <c:pt idx="41">
                  <c:v>124.90977819827984</c:v>
                </c:pt>
                <c:pt idx="42">
                  <c:v>124.13985596984193</c:v>
                </c:pt>
                <c:pt idx="43">
                  <c:v>130.76518420007767</c:v>
                </c:pt>
                <c:pt idx="44">
                  <c:v>126.46627217537497</c:v>
                </c:pt>
                <c:pt idx="45">
                  <c:v>131.14227812078875</c:v>
                </c:pt>
                <c:pt idx="46">
                  <c:v>129.42023359513033</c:v>
                </c:pt>
                <c:pt idx="47">
                  <c:v>113.10709862921904</c:v>
                </c:pt>
                <c:pt idx="48">
                  <c:v>115.54953010862042</c:v>
                </c:pt>
                <c:pt idx="49">
                  <c:v>122.81403460089122</c:v>
                </c:pt>
                <c:pt idx="50">
                  <c:v>124.59633031585381</c:v>
                </c:pt>
                <c:pt idx="51">
                  <c:v>132.55238030574304</c:v>
                </c:pt>
                <c:pt idx="52">
                  <c:v>134.45042561074072</c:v>
                </c:pt>
                <c:pt idx="53">
                  <c:v>138.03243409195909</c:v>
                </c:pt>
                <c:pt idx="54">
                  <c:v>139.357428888984</c:v>
                </c:pt>
                <c:pt idx="55">
                  <c:v>136.51842000776389</c:v>
                </c:pt>
                <c:pt idx="56">
                  <c:v>142.09624544462929</c:v>
                </c:pt>
                <c:pt idx="57">
                  <c:v>144.9414831357187</c:v>
                </c:pt>
                <c:pt idx="58">
                  <c:v>144.58490591102247</c:v>
                </c:pt>
                <c:pt idx="59">
                  <c:v>134.54663267881631</c:v>
                </c:pt>
                <c:pt idx="60">
                  <c:v>145.97091942842553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2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84896844000</c:v>
                </c:pt>
                <c:pt idx="1">
                  <c:v>93386528400</c:v>
                </c:pt>
                <c:pt idx="2">
                  <c:v>101791315956.00002</c:v>
                </c:pt>
                <c:pt idx="3">
                  <c:v>112988360711.16005</c:v>
                </c:pt>
                <c:pt idx="4">
                  <c:v>120897545960.94125</c:v>
                </c:pt>
                <c:pt idx="5">
                  <c:v>126942423258.98828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0-4DBC-B01A-62CE0611A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D0-4FBF-BF0B-E2909CD9AE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122.40481380514618</c:v>
                </c:pt>
                <c:pt idx="1">
                  <c:v>148.6</c:v>
                </c:pt>
                <c:pt idx="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D0-4FBF-BF0B-E2909CD9A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AAPL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Apple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'Bear Assumptions'!$V$15:$V$75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95.762969724631063</c:v>
                </c:pt>
                <c:pt idx="2">
                  <c:v>101.25513464171611</c:v>
                </c:pt>
                <c:pt idx="3">
                  <c:v>113.00775901414879</c:v>
                </c:pt>
                <c:pt idx="4">
                  <c:v>113.03818652061462</c:v>
                </c:pt>
                <c:pt idx="5">
                  <c:v>108.51209493382017</c:v>
                </c:pt>
                <c:pt idx="6">
                  <c:v>113.95101171459</c:v>
                </c:pt>
                <c:pt idx="7">
                  <c:v>119.28343222272935</c:v>
                </c:pt>
                <c:pt idx="8">
                  <c:v>135.07530807850293</c:v>
                </c:pt>
                <c:pt idx="9">
                  <c:v>131.13494599117601</c:v>
                </c:pt>
                <c:pt idx="10">
                  <c:v>124.12140575079871</c:v>
                </c:pt>
                <c:pt idx="11">
                  <c:v>132.59546630153659</c:v>
                </c:pt>
                <c:pt idx="12">
                  <c:v>123.07165677772704</c:v>
                </c:pt>
                <c:pt idx="13">
                  <c:v>113.82930168872659</c:v>
                </c:pt>
                <c:pt idx="14">
                  <c:v>105.68233683249657</c:v>
                </c:pt>
                <c:pt idx="15">
                  <c:v>123.61935189411226</c:v>
                </c:pt>
                <c:pt idx="16">
                  <c:v>118.5227445610832</c:v>
                </c:pt>
                <c:pt idx="17">
                  <c:v>105.12703483949488</c:v>
                </c:pt>
                <c:pt idx="18">
                  <c:v>105.26395861859119</c:v>
                </c:pt>
                <c:pt idx="19">
                  <c:v>112.4372432679142</c:v>
                </c:pt>
                <c:pt idx="20">
                  <c:v>98.836147877681427</c:v>
                </c:pt>
                <c:pt idx="21">
                  <c:v>104.87600791115167</c:v>
                </c:pt>
                <c:pt idx="22">
                  <c:v>114.88665753841471</c:v>
                </c:pt>
                <c:pt idx="23">
                  <c:v>125.43739540544652</c:v>
                </c:pt>
                <c:pt idx="24">
                  <c:v>125.52867792484406</c:v>
                </c:pt>
                <c:pt idx="25">
                  <c:v>137.64643237486686</c:v>
                </c:pt>
                <c:pt idx="26">
                  <c:v>147.55058572949946</c:v>
                </c:pt>
                <c:pt idx="27">
                  <c:v>138.43754754297885</c:v>
                </c:pt>
                <c:pt idx="28">
                  <c:v>144.11988437547544</c:v>
                </c:pt>
                <c:pt idx="29">
                  <c:v>132.96059637912671</c:v>
                </c:pt>
                <c:pt idx="30">
                  <c:v>134.37547542978851</c:v>
                </c:pt>
                <c:pt idx="31">
                  <c:v>145.47390841320552</c:v>
                </c:pt>
                <c:pt idx="32">
                  <c:v>147.2691312946904</c:v>
                </c:pt>
                <c:pt idx="33">
                  <c:v>141.3738019169329</c:v>
                </c:pt>
                <c:pt idx="34">
                  <c:v>136.66514529134338</c:v>
                </c:pt>
                <c:pt idx="35">
                  <c:v>130.44272021907804</c:v>
                </c:pt>
                <c:pt idx="36">
                  <c:v>125.51346417161113</c:v>
                </c:pt>
                <c:pt idx="37">
                  <c:v>144.43176631675036</c:v>
                </c:pt>
                <c:pt idx="38">
                  <c:v>157.83508291495511</c:v>
                </c:pt>
                <c:pt idx="39">
                  <c:v>167.24478928951771</c:v>
                </c:pt>
                <c:pt idx="40">
                  <c:v>172.5543891678077</c:v>
                </c:pt>
                <c:pt idx="41">
                  <c:v>172.52396166134184</c:v>
                </c:pt>
                <c:pt idx="42">
                  <c:v>176.03073178153048</c:v>
                </c:pt>
                <c:pt idx="43">
                  <c:v>180.53400273847558</c:v>
                </c:pt>
                <c:pt idx="44">
                  <c:v>185.12094933820174</c:v>
                </c:pt>
                <c:pt idx="45">
                  <c:v>174.94294842537653</c:v>
                </c:pt>
                <c:pt idx="46">
                  <c:v>186.78685531720674</c:v>
                </c:pt>
                <c:pt idx="47">
                  <c:v>165.75384147269131</c:v>
                </c:pt>
                <c:pt idx="48">
                  <c:v>159.19671382930167</c:v>
                </c:pt>
                <c:pt idx="49">
                  <c:v>148.53947968963942</c:v>
                </c:pt>
                <c:pt idx="50">
                  <c:v>162.44485014453065</c:v>
                </c:pt>
                <c:pt idx="51">
                  <c:v>162.69587707287388</c:v>
                </c:pt>
                <c:pt idx="52">
                  <c:v>176.58603377453215</c:v>
                </c:pt>
                <c:pt idx="53">
                  <c:v>194.32527004411989</c:v>
                </c:pt>
                <c:pt idx="54">
                  <c:v>199.92393123383536</c:v>
                </c:pt>
                <c:pt idx="55">
                  <c:v>206.51909326030733</c:v>
                </c:pt>
                <c:pt idx="56">
                  <c:v>206.15396318271718</c:v>
                </c:pt>
                <c:pt idx="57">
                  <c:v>188.68096759470561</c:v>
                </c:pt>
                <c:pt idx="58">
                  <c:v>200.95846645367411</c:v>
                </c:pt>
                <c:pt idx="59">
                  <c:v>188.6429332116233</c:v>
                </c:pt>
                <c:pt idx="60">
                  <c:v>206.19199756579948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0-46D1-913E-94855FC21054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'Bear Assumptions'!$W$15:$W$75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101.16522408799452</c:v>
                </c:pt>
                <c:pt idx="2">
                  <c:v>104.09383019585428</c:v>
                </c:pt>
                <c:pt idx="3">
                  <c:v>105.12033713051609</c:v>
                </c:pt>
                <c:pt idx="4">
                  <c:v>107.8494775385837</c:v>
                </c:pt>
                <c:pt idx="5">
                  <c:v>106.5606038501185</c:v>
                </c:pt>
                <c:pt idx="6">
                  <c:v>108.69923968649921</c:v>
                </c:pt>
                <c:pt idx="7">
                  <c:v>109.88838052506833</c:v>
                </c:pt>
                <c:pt idx="8">
                  <c:v>113.99153825364672</c:v>
                </c:pt>
                <c:pt idx="9">
                  <c:v>107.63805346350424</c:v>
                </c:pt>
                <c:pt idx="10">
                  <c:v>104.86658040691958</c:v>
                </c:pt>
                <c:pt idx="11">
                  <c:v>108.65523286544199</c:v>
                </c:pt>
                <c:pt idx="12">
                  <c:v>102.16709676956451</c:v>
                </c:pt>
                <c:pt idx="13">
                  <c:v>99.451588909324414</c:v>
                </c:pt>
                <c:pt idx="14">
                  <c:v>93.556109892685541</c:v>
                </c:pt>
                <c:pt idx="15">
                  <c:v>98.783115730764351</c:v>
                </c:pt>
                <c:pt idx="16">
                  <c:v>93.855547609879537</c:v>
                </c:pt>
                <c:pt idx="17">
                  <c:v>85.756379195297001</c:v>
                </c:pt>
                <c:pt idx="18">
                  <c:v>93.300678996548811</c:v>
                </c:pt>
                <c:pt idx="19">
                  <c:v>96.291707823408274</c:v>
                </c:pt>
                <c:pt idx="20">
                  <c:v>91.828363831176446</c:v>
                </c:pt>
                <c:pt idx="21">
                  <c:v>97.354568218943498</c:v>
                </c:pt>
                <c:pt idx="22">
                  <c:v>96.758562794624467</c:v>
                </c:pt>
                <c:pt idx="23">
                  <c:v>94.97317736423058</c:v>
                </c:pt>
                <c:pt idx="24">
                  <c:v>98.860366835120317</c:v>
                </c:pt>
                <c:pt idx="25">
                  <c:v>102.4203751581495</c:v>
                </c:pt>
                <c:pt idx="26">
                  <c:v>106.43862842218806</c:v>
                </c:pt>
                <c:pt idx="27">
                  <c:v>109.59205198544903</c:v>
                </c:pt>
                <c:pt idx="28">
                  <c:v>108.00254474226114</c:v>
                </c:pt>
                <c:pt idx="29">
                  <c:v>103.32179748730618</c:v>
                </c:pt>
                <c:pt idx="30">
                  <c:v>98.474111313340515</c:v>
                </c:pt>
                <c:pt idx="31">
                  <c:v>109.04459756479645</c:v>
                </c:pt>
                <c:pt idx="32">
                  <c:v>114.07883439324399</c:v>
                </c:pt>
                <c:pt idx="33">
                  <c:v>118.59383856671697</c:v>
                </c:pt>
                <c:pt idx="34">
                  <c:v>122.86226104176581</c:v>
                </c:pt>
                <c:pt idx="35">
                  <c:v>125.18457752255947</c:v>
                </c:pt>
                <c:pt idx="36">
                  <c:v>118.80000095667</c:v>
                </c:pt>
                <c:pt idx="37">
                  <c:v>126.2208903249569</c:v>
                </c:pt>
                <c:pt idx="38">
                  <c:v>130.69595352497026</c:v>
                </c:pt>
                <c:pt idx="39">
                  <c:v>130.56393306179851</c:v>
                </c:pt>
                <c:pt idx="40">
                  <c:v>135.09137394557024</c:v>
                </c:pt>
                <c:pt idx="41">
                  <c:v>137.54690672706442</c:v>
                </c:pt>
                <c:pt idx="42">
                  <c:v>137.01428069176808</c:v>
                </c:pt>
                <c:pt idx="43">
                  <c:v>142.76721587498236</c:v>
                </c:pt>
                <c:pt idx="44">
                  <c:v>142.12457278704287</c:v>
                </c:pt>
                <c:pt idx="45">
                  <c:v>144.46984934838812</c:v>
                </c:pt>
                <c:pt idx="46">
                  <c:v>142.41229129645529</c:v>
                </c:pt>
                <c:pt idx="47">
                  <c:v>121.35550575556601</c:v>
                </c:pt>
                <c:pt idx="48">
                  <c:v>126.34501826043906</c:v>
                </c:pt>
                <c:pt idx="49">
                  <c:v>138.78459856929996</c:v>
                </c:pt>
                <c:pt idx="50">
                  <c:v>150.18164772061408</c:v>
                </c:pt>
                <c:pt idx="51">
                  <c:v>149.19292925186011</c:v>
                </c:pt>
                <c:pt idx="52">
                  <c:v>154.50842706706496</c:v>
                </c:pt>
                <c:pt idx="53">
                  <c:v>160.61987434139249</c:v>
                </c:pt>
                <c:pt idx="54">
                  <c:v>163.59535728037847</c:v>
                </c:pt>
                <c:pt idx="55">
                  <c:v>163.80797719298664</c:v>
                </c:pt>
                <c:pt idx="56">
                  <c:v>165.74164647694306</c:v>
                </c:pt>
                <c:pt idx="57">
                  <c:v>165.95904973966614</c:v>
                </c:pt>
                <c:pt idx="58">
                  <c:v>165.25302726270399</c:v>
                </c:pt>
                <c:pt idx="59">
                  <c:v>152.32219689704078</c:v>
                </c:pt>
                <c:pt idx="60">
                  <c:v>170.36044934790979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0-46D1-913E-94855FC21054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'Bear Assumptions'!$X$15:$X$75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98.938670799588607</c:v>
                </c:pt>
                <c:pt idx="2">
                  <c:v>104.84613269085877</c:v>
                </c:pt>
                <c:pt idx="3">
                  <c:v>105.08498368508053</c:v>
                </c:pt>
                <c:pt idx="4">
                  <c:v>105.38564229789695</c:v>
                </c:pt>
                <c:pt idx="5">
                  <c:v>107.77085774364235</c:v>
                </c:pt>
                <c:pt idx="6">
                  <c:v>110.99867647185211</c:v>
                </c:pt>
                <c:pt idx="7">
                  <c:v>108.04136455179092</c:v>
                </c:pt>
                <c:pt idx="8">
                  <c:v>112.10863530497011</c:v>
                </c:pt>
                <c:pt idx="9">
                  <c:v>98.624118005998838</c:v>
                </c:pt>
                <c:pt idx="10">
                  <c:v>95.350176327180748</c:v>
                </c:pt>
                <c:pt idx="11">
                  <c:v>101.47980187184696</c:v>
                </c:pt>
                <c:pt idx="12">
                  <c:v>91.954338278897751</c:v>
                </c:pt>
                <c:pt idx="13">
                  <c:v>81.32120767646326</c:v>
                </c:pt>
                <c:pt idx="14">
                  <c:v>79.697092535243954</c:v>
                </c:pt>
                <c:pt idx="15">
                  <c:v>88.741488023789131</c:v>
                </c:pt>
                <c:pt idx="16">
                  <c:v>86.958305998561869</c:v>
                </c:pt>
                <c:pt idx="17">
                  <c:v>77.835558789573341</c:v>
                </c:pt>
                <c:pt idx="18">
                  <c:v>79.515179034397406</c:v>
                </c:pt>
                <c:pt idx="19">
                  <c:v>80.402616116676739</c:v>
                </c:pt>
                <c:pt idx="20">
                  <c:v>74.960394422847187</c:v>
                </c:pt>
                <c:pt idx="21">
                  <c:v>79.787189851804953</c:v>
                </c:pt>
                <c:pt idx="22">
                  <c:v>83.716091753159134</c:v>
                </c:pt>
                <c:pt idx="23">
                  <c:v>84.682596750767033</c:v>
                </c:pt>
                <c:pt idx="24">
                  <c:v>86.462341040545226</c:v>
                </c:pt>
                <c:pt idx="25">
                  <c:v>94.829717504089473</c:v>
                </c:pt>
                <c:pt idx="26">
                  <c:v>96.632738127637381</c:v>
                </c:pt>
                <c:pt idx="27">
                  <c:v>100.50226747300661</c:v>
                </c:pt>
                <c:pt idx="28">
                  <c:v>97.335540168506327</c:v>
                </c:pt>
                <c:pt idx="29">
                  <c:v>94.622307465329001</c:v>
                </c:pt>
                <c:pt idx="30">
                  <c:v>90.548590958182814</c:v>
                </c:pt>
                <c:pt idx="31">
                  <c:v>102.063858800746</c:v>
                </c:pt>
                <c:pt idx="32">
                  <c:v>107.37888428296</c:v>
                </c:pt>
                <c:pt idx="33">
                  <c:v>111.93374051399876</c:v>
                </c:pt>
                <c:pt idx="34">
                  <c:v>116.56028785304827</c:v>
                </c:pt>
                <c:pt idx="35">
                  <c:v>117.66236854242882</c:v>
                </c:pt>
                <c:pt idx="36">
                  <c:v>109.44897397920744</c:v>
                </c:pt>
                <c:pt idx="37">
                  <c:v>119.85535728098044</c:v>
                </c:pt>
                <c:pt idx="38">
                  <c:v>126.69029154861389</c:v>
                </c:pt>
                <c:pt idx="39">
                  <c:v>124.31624874307798</c:v>
                </c:pt>
                <c:pt idx="40">
                  <c:v>128.03981757083884</c:v>
                </c:pt>
                <c:pt idx="41">
                  <c:v>129.90235398934874</c:v>
                </c:pt>
                <c:pt idx="42">
                  <c:v>132.62933763432235</c:v>
                </c:pt>
                <c:pt idx="43">
                  <c:v>136.10316930560609</c:v>
                </c:pt>
                <c:pt idx="44">
                  <c:v>141.24817012206825</c:v>
                </c:pt>
                <c:pt idx="45">
                  <c:v>140.57072138013618</c:v>
                </c:pt>
                <c:pt idx="46">
                  <c:v>139.82996101035044</c:v>
                </c:pt>
                <c:pt idx="47">
                  <c:v>111.63895469924113</c:v>
                </c:pt>
                <c:pt idx="48">
                  <c:v>116.64272188433739</c:v>
                </c:pt>
                <c:pt idx="49">
                  <c:v>136.89184311321324</c:v>
                </c:pt>
                <c:pt idx="50">
                  <c:v>139.28135572826992</c:v>
                </c:pt>
                <c:pt idx="51">
                  <c:v>147.89517485181929</c:v>
                </c:pt>
                <c:pt idx="52">
                  <c:v>153.95711997983196</c:v>
                </c:pt>
                <c:pt idx="53">
                  <c:v>163.15284744762465</c:v>
                </c:pt>
                <c:pt idx="54">
                  <c:v>166.19209206255533</c:v>
                </c:pt>
                <c:pt idx="55">
                  <c:v>167.3438766769703</c:v>
                </c:pt>
                <c:pt idx="56">
                  <c:v>168.97257546545504</c:v>
                </c:pt>
                <c:pt idx="57">
                  <c:v>168.0323548201348</c:v>
                </c:pt>
                <c:pt idx="58">
                  <c:v>162.34856059151969</c:v>
                </c:pt>
                <c:pt idx="59">
                  <c:v>150.03108285801866</c:v>
                </c:pt>
                <c:pt idx="60">
                  <c:v>175.24200225171671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50-46D1-913E-94855FC21054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'Bear Assumptions'!$Y$15:$Y$75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101.93240708076937</c:v>
                </c:pt>
                <c:pt idx="2">
                  <c:v>101.65016228854149</c:v>
                </c:pt>
                <c:pt idx="3">
                  <c:v>103.50318894401009</c:v>
                </c:pt>
                <c:pt idx="4">
                  <c:v>103.67597199692398</c:v>
                </c:pt>
                <c:pt idx="5">
                  <c:v>101.33317195500497</c:v>
                </c:pt>
                <c:pt idx="6">
                  <c:v>105.32008259815173</c:v>
                </c:pt>
                <c:pt idx="7">
                  <c:v>102.99481768922962</c:v>
                </c:pt>
                <c:pt idx="8">
                  <c:v>106.12758432878668</c:v>
                </c:pt>
                <c:pt idx="9">
                  <c:v>102.51106646966703</c:v>
                </c:pt>
                <c:pt idx="10">
                  <c:v>100.54288063268177</c:v>
                </c:pt>
                <c:pt idx="11">
                  <c:v>102.91186529239245</c:v>
                </c:pt>
                <c:pt idx="12">
                  <c:v>99.81269289753314</c:v>
                </c:pt>
                <c:pt idx="13">
                  <c:v>98.046072528734456</c:v>
                </c:pt>
                <c:pt idx="14">
                  <c:v>91.800436016690838</c:v>
                </c:pt>
                <c:pt idx="15">
                  <c:v>96.960222702093148</c:v>
                </c:pt>
                <c:pt idx="16">
                  <c:v>92.453368797205002</c:v>
                </c:pt>
                <c:pt idx="17">
                  <c:v>90.989096630686177</c:v>
                </c:pt>
                <c:pt idx="18">
                  <c:v>97.009433252102966</c:v>
                </c:pt>
                <c:pt idx="19">
                  <c:v>101.6384721998769</c:v>
                </c:pt>
                <c:pt idx="20">
                  <c:v>98.019415584128055</c:v>
                </c:pt>
                <c:pt idx="21">
                  <c:v>98.525868011223665</c:v>
                </c:pt>
                <c:pt idx="22">
                  <c:v>96.876945580570833</c:v>
                </c:pt>
                <c:pt idx="23">
                  <c:v>98.226708014943256</c:v>
                </c:pt>
                <c:pt idx="24">
                  <c:v>99.805489913608483</c:v>
                </c:pt>
                <c:pt idx="25">
                  <c:v>97.692949193870959</c:v>
                </c:pt>
                <c:pt idx="26">
                  <c:v>99.564809881076968</c:v>
                </c:pt>
                <c:pt idx="27">
                  <c:v>103.51520375735983</c:v>
                </c:pt>
                <c:pt idx="28">
                  <c:v>102.84240373020101</c:v>
                </c:pt>
                <c:pt idx="29">
                  <c:v>98.915567153802897</c:v>
                </c:pt>
                <c:pt idx="30">
                  <c:v>100.5504673821434</c:v>
                </c:pt>
                <c:pt idx="31">
                  <c:v>106.99825977089196</c:v>
                </c:pt>
                <c:pt idx="32">
                  <c:v>111.2611273555455</c:v>
                </c:pt>
                <c:pt idx="33">
                  <c:v>112.50066051952999</c:v>
                </c:pt>
                <c:pt idx="34">
                  <c:v>115.38761057244533</c:v>
                </c:pt>
                <c:pt idx="35">
                  <c:v>117.51305171831021</c:v>
                </c:pt>
                <c:pt idx="36">
                  <c:v>112.13747071942754</c:v>
                </c:pt>
                <c:pt idx="37">
                  <c:v>114.20366437046954</c:v>
                </c:pt>
                <c:pt idx="38">
                  <c:v>115.57344165361619</c:v>
                </c:pt>
                <c:pt idx="39">
                  <c:v>118.93050448931876</c:v>
                </c:pt>
                <c:pt idx="40">
                  <c:v>121.55058989191096</c:v>
                </c:pt>
                <c:pt idx="41">
                  <c:v>124.90977819827984</c:v>
                </c:pt>
                <c:pt idx="42">
                  <c:v>124.13985596984193</c:v>
                </c:pt>
                <c:pt idx="43">
                  <c:v>130.76518420007767</c:v>
                </c:pt>
                <c:pt idx="44">
                  <c:v>126.46627217537497</c:v>
                </c:pt>
                <c:pt idx="45">
                  <c:v>131.14227812078875</c:v>
                </c:pt>
                <c:pt idx="46">
                  <c:v>129.42023359513033</c:v>
                </c:pt>
                <c:pt idx="47">
                  <c:v>113.10709862921904</c:v>
                </c:pt>
                <c:pt idx="48">
                  <c:v>115.54953010862042</c:v>
                </c:pt>
                <c:pt idx="49">
                  <c:v>122.81403460089122</c:v>
                </c:pt>
                <c:pt idx="50">
                  <c:v>124.59633031585381</c:v>
                </c:pt>
                <c:pt idx="51">
                  <c:v>132.55238030574304</c:v>
                </c:pt>
                <c:pt idx="52">
                  <c:v>134.45042561074072</c:v>
                </c:pt>
                <c:pt idx="53">
                  <c:v>138.03243409195909</c:v>
                </c:pt>
                <c:pt idx="54">
                  <c:v>139.357428888984</c:v>
                </c:pt>
                <c:pt idx="55">
                  <c:v>136.51842000776389</c:v>
                </c:pt>
                <c:pt idx="56">
                  <c:v>142.09624544462929</c:v>
                </c:pt>
                <c:pt idx="57">
                  <c:v>144.9414831357187</c:v>
                </c:pt>
                <c:pt idx="58">
                  <c:v>144.58490591102247</c:v>
                </c:pt>
                <c:pt idx="59">
                  <c:v>134.54663267881631</c:v>
                </c:pt>
                <c:pt idx="60">
                  <c:v>145.97091942842553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50-46D1-913E-94855FC21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2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145656350000</c:v>
                </c:pt>
                <c:pt idx="1">
                  <c:v>176244183500</c:v>
                </c:pt>
                <c:pt idx="2">
                  <c:v>206205694695</c:v>
                </c:pt>
                <c:pt idx="3">
                  <c:v>239198605846.19998</c:v>
                </c:pt>
                <c:pt idx="4">
                  <c:v>275078396723.13</c:v>
                </c:pt>
                <c:pt idx="5">
                  <c:v>305337020362.67432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B-4186-B9C5-7B172ED9C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97-4F2C-84A1-26B8CE0A5F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396.84127601400462</c:v>
                </c:pt>
                <c:pt idx="1">
                  <c:v>125.84</c:v>
                </c:pt>
                <c:pt idx="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97-4F2C-84A1-26B8CE0A5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AAPL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Apple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'Bull Assumptions'!$V$15:$V$75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95.762969724631063</c:v>
                </c:pt>
                <c:pt idx="2">
                  <c:v>101.25513464171611</c:v>
                </c:pt>
                <c:pt idx="3">
                  <c:v>113.00775901414879</c:v>
                </c:pt>
                <c:pt idx="4">
                  <c:v>113.03818652061462</c:v>
                </c:pt>
                <c:pt idx="5">
                  <c:v>108.51209493382017</c:v>
                </c:pt>
                <c:pt idx="6">
                  <c:v>113.95101171459</c:v>
                </c:pt>
                <c:pt idx="7">
                  <c:v>119.28343222272935</c:v>
                </c:pt>
                <c:pt idx="8">
                  <c:v>135.07530807850293</c:v>
                </c:pt>
                <c:pt idx="9">
                  <c:v>131.13494599117601</c:v>
                </c:pt>
                <c:pt idx="10">
                  <c:v>124.12140575079871</c:v>
                </c:pt>
                <c:pt idx="11">
                  <c:v>132.59546630153659</c:v>
                </c:pt>
                <c:pt idx="12">
                  <c:v>123.07165677772704</c:v>
                </c:pt>
                <c:pt idx="13">
                  <c:v>113.82930168872659</c:v>
                </c:pt>
                <c:pt idx="14">
                  <c:v>105.68233683249657</c:v>
                </c:pt>
                <c:pt idx="15">
                  <c:v>123.61935189411226</c:v>
                </c:pt>
                <c:pt idx="16">
                  <c:v>118.5227445610832</c:v>
                </c:pt>
                <c:pt idx="17">
                  <c:v>105.12703483949488</c:v>
                </c:pt>
                <c:pt idx="18">
                  <c:v>105.26395861859119</c:v>
                </c:pt>
                <c:pt idx="19">
                  <c:v>112.4372432679142</c:v>
                </c:pt>
                <c:pt idx="20">
                  <c:v>98.836147877681427</c:v>
                </c:pt>
                <c:pt idx="21">
                  <c:v>104.87600791115167</c:v>
                </c:pt>
                <c:pt idx="22">
                  <c:v>114.88665753841471</c:v>
                </c:pt>
                <c:pt idx="23">
                  <c:v>125.43739540544652</c:v>
                </c:pt>
                <c:pt idx="24">
                  <c:v>125.52867792484406</c:v>
                </c:pt>
                <c:pt idx="25">
                  <c:v>137.64643237486686</c:v>
                </c:pt>
                <c:pt idx="26">
                  <c:v>147.55058572949946</c:v>
                </c:pt>
                <c:pt idx="27">
                  <c:v>138.43754754297885</c:v>
                </c:pt>
                <c:pt idx="28">
                  <c:v>144.11988437547544</c:v>
                </c:pt>
                <c:pt idx="29">
                  <c:v>132.96059637912671</c:v>
                </c:pt>
                <c:pt idx="30">
                  <c:v>134.37547542978851</c:v>
                </c:pt>
                <c:pt idx="31">
                  <c:v>145.47390841320552</c:v>
                </c:pt>
                <c:pt idx="32">
                  <c:v>147.2691312946904</c:v>
                </c:pt>
                <c:pt idx="33">
                  <c:v>141.3738019169329</c:v>
                </c:pt>
                <c:pt idx="34">
                  <c:v>136.66514529134338</c:v>
                </c:pt>
                <c:pt idx="35">
                  <c:v>130.44272021907804</c:v>
                </c:pt>
                <c:pt idx="36">
                  <c:v>125.51346417161113</c:v>
                </c:pt>
                <c:pt idx="37">
                  <c:v>144.43176631675036</c:v>
                </c:pt>
                <c:pt idx="38">
                  <c:v>157.83508291495511</c:v>
                </c:pt>
                <c:pt idx="39">
                  <c:v>167.24478928951771</c:v>
                </c:pt>
                <c:pt idx="40">
                  <c:v>172.5543891678077</c:v>
                </c:pt>
                <c:pt idx="41">
                  <c:v>172.52396166134184</c:v>
                </c:pt>
                <c:pt idx="42">
                  <c:v>176.03073178153048</c:v>
                </c:pt>
                <c:pt idx="43">
                  <c:v>180.53400273847558</c:v>
                </c:pt>
                <c:pt idx="44">
                  <c:v>185.12094933820174</c:v>
                </c:pt>
                <c:pt idx="45">
                  <c:v>174.94294842537653</c:v>
                </c:pt>
                <c:pt idx="46">
                  <c:v>186.78685531720674</c:v>
                </c:pt>
                <c:pt idx="47">
                  <c:v>165.75384147269131</c:v>
                </c:pt>
                <c:pt idx="48">
                  <c:v>159.19671382930167</c:v>
                </c:pt>
                <c:pt idx="49">
                  <c:v>148.53947968963942</c:v>
                </c:pt>
                <c:pt idx="50">
                  <c:v>162.44485014453065</c:v>
                </c:pt>
                <c:pt idx="51">
                  <c:v>162.69587707287388</c:v>
                </c:pt>
                <c:pt idx="52">
                  <c:v>176.58603377453215</c:v>
                </c:pt>
                <c:pt idx="53">
                  <c:v>194.32527004411989</c:v>
                </c:pt>
                <c:pt idx="54">
                  <c:v>199.92393123383536</c:v>
                </c:pt>
                <c:pt idx="55">
                  <c:v>206.51909326030733</c:v>
                </c:pt>
                <c:pt idx="56">
                  <c:v>206.15396318271718</c:v>
                </c:pt>
                <c:pt idx="57">
                  <c:v>188.68096759470561</c:v>
                </c:pt>
                <c:pt idx="58">
                  <c:v>200.95846645367411</c:v>
                </c:pt>
                <c:pt idx="59">
                  <c:v>188.6429332116233</c:v>
                </c:pt>
                <c:pt idx="60">
                  <c:v>206.19199756579948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D-4D06-9F92-33C534FB2487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'Bull Assumptions'!$W$15:$W$75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101.16522408799452</c:v>
                </c:pt>
                <c:pt idx="2">
                  <c:v>104.09383019585428</c:v>
                </c:pt>
                <c:pt idx="3">
                  <c:v>105.12033713051609</c:v>
                </c:pt>
                <c:pt idx="4">
                  <c:v>107.8494775385837</c:v>
                </c:pt>
                <c:pt idx="5">
                  <c:v>106.5606038501185</c:v>
                </c:pt>
                <c:pt idx="6">
                  <c:v>108.69923968649921</c:v>
                </c:pt>
                <c:pt idx="7">
                  <c:v>109.88838052506833</c:v>
                </c:pt>
                <c:pt idx="8">
                  <c:v>113.99153825364672</c:v>
                </c:pt>
                <c:pt idx="9">
                  <c:v>107.63805346350424</c:v>
                </c:pt>
                <c:pt idx="10">
                  <c:v>104.86658040691958</c:v>
                </c:pt>
                <c:pt idx="11">
                  <c:v>108.65523286544199</c:v>
                </c:pt>
                <c:pt idx="12">
                  <c:v>102.16709676956451</c:v>
                </c:pt>
                <c:pt idx="13">
                  <c:v>99.451588909324414</c:v>
                </c:pt>
                <c:pt idx="14">
                  <c:v>93.556109892685541</c:v>
                </c:pt>
                <c:pt idx="15">
                  <c:v>98.783115730764351</c:v>
                </c:pt>
                <c:pt idx="16">
                  <c:v>93.855547609879537</c:v>
                </c:pt>
                <c:pt idx="17">
                  <c:v>85.756379195297001</c:v>
                </c:pt>
                <c:pt idx="18">
                  <c:v>93.300678996548811</c:v>
                </c:pt>
                <c:pt idx="19">
                  <c:v>96.291707823408274</c:v>
                </c:pt>
                <c:pt idx="20">
                  <c:v>91.828363831176446</c:v>
                </c:pt>
                <c:pt idx="21">
                  <c:v>97.354568218943498</c:v>
                </c:pt>
                <c:pt idx="22">
                  <c:v>96.758562794624467</c:v>
                </c:pt>
                <c:pt idx="23">
                  <c:v>94.97317736423058</c:v>
                </c:pt>
                <c:pt idx="24">
                  <c:v>98.860366835120317</c:v>
                </c:pt>
                <c:pt idx="25">
                  <c:v>102.4203751581495</c:v>
                </c:pt>
                <c:pt idx="26">
                  <c:v>106.43862842218806</c:v>
                </c:pt>
                <c:pt idx="27">
                  <c:v>109.59205198544903</c:v>
                </c:pt>
                <c:pt idx="28">
                  <c:v>108.00254474226114</c:v>
                </c:pt>
                <c:pt idx="29">
                  <c:v>103.32179748730618</c:v>
                </c:pt>
                <c:pt idx="30">
                  <c:v>98.474111313340515</c:v>
                </c:pt>
                <c:pt idx="31">
                  <c:v>109.04459756479645</c:v>
                </c:pt>
                <c:pt idx="32">
                  <c:v>114.07883439324399</c:v>
                </c:pt>
                <c:pt idx="33">
                  <c:v>118.59383856671697</c:v>
                </c:pt>
                <c:pt idx="34">
                  <c:v>122.86226104176581</c:v>
                </c:pt>
                <c:pt idx="35">
                  <c:v>125.18457752255947</c:v>
                </c:pt>
                <c:pt idx="36">
                  <c:v>118.80000095667</c:v>
                </c:pt>
                <c:pt idx="37">
                  <c:v>126.2208903249569</c:v>
                </c:pt>
                <c:pt idx="38">
                  <c:v>130.69595352497026</c:v>
                </c:pt>
                <c:pt idx="39">
                  <c:v>130.56393306179851</c:v>
                </c:pt>
                <c:pt idx="40">
                  <c:v>135.09137394557024</c:v>
                </c:pt>
                <c:pt idx="41">
                  <c:v>137.54690672706442</c:v>
                </c:pt>
                <c:pt idx="42">
                  <c:v>137.01428069176808</c:v>
                </c:pt>
                <c:pt idx="43">
                  <c:v>142.76721587498236</c:v>
                </c:pt>
                <c:pt idx="44">
                  <c:v>142.12457278704287</c:v>
                </c:pt>
                <c:pt idx="45">
                  <c:v>144.46984934838812</c:v>
                </c:pt>
                <c:pt idx="46">
                  <c:v>142.41229129645529</c:v>
                </c:pt>
                <c:pt idx="47">
                  <c:v>121.35550575556601</c:v>
                </c:pt>
                <c:pt idx="48">
                  <c:v>126.34501826043906</c:v>
                </c:pt>
                <c:pt idx="49">
                  <c:v>138.78459856929996</c:v>
                </c:pt>
                <c:pt idx="50">
                  <c:v>150.18164772061408</c:v>
                </c:pt>
                <c:pt idx="51">
                  <c:v>149.19292925186011</c:v>
                </c:pt>
                <c:pt idx="52">
                  <c:v>154.50842706706496</c:v>
                </c:pt>
                <c:pt idx="53">
                  <c:v>160.61987434139249</c:v>
                </c:pt>
                <c:pt idx="54">
                  <c:v>163.59535728037847</c:v>
                </c:pt>
                <c:pt idx="55">
                  <c:v>163.80797719298664</c:v>
                </c:pt>
                <c:pt idx="56">
                  <c:v>165.74164647694306</c:v>
                </c:pt>
                <c:pt idx="57">
                  <c:v>165.95904973966614</c:v>
                </c:pt>
                <c:pt idx="58">
                  <c:v>165.25302726270399</c:v>
                </c:pt>
                <c:pt idx="59">
                  <c:v>152.32219689704078</c:v>
                </c:pt>
                <c:pt idx="60">
                  <c:v>170.36044934790979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D-4D06-9F92-33C534FB2487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'Bull Assumptions'!$X$15:$X$75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98.938670799588607</c:v>
                </c:pt>
                <c:pt idx="2">
                  <c:v>104.84613269085877</c:v>
                </c:pt>
                <c:pt idx="3">
                  <c:v>105.08498368508053</c:v>
                </c:pt>
                <c:pt idx="4">
                  <c:v>105.38564229789695</c:v>
                </c:pt>
                <c:pt idx="5">
                  <c:v>107.77085774364235</c:v>
                </c:pt>
                <c:pt idx="6">
                  <c:v>110.99867647185211</c:v>
                </c:pt>
                <c:pt idx="7">
                  <c:v>108.04136455179092</c:v>
                </c:pt>
                <c:pt idx="8">
                  <c:v>112.10863530497011</c:v>
                </c:pt>
                <c:pt idx="9">
                  <c:v>98.624118005998838</c:v>
                </c:pt>
                <c:pt idx="10">
                  <c:v>95.350176327180748</c:v>
                </c:pt>
                <c:pt idx="11">
                  <c:v>101.47980187184696</c:v>
                </c:pt>
                <c:pt idx="12">
                  <c:v>91.954338278897751</c:v>
                </c:pt>
                <c:pt idx="13">
                  <c:v>81.32120767646326</c:v>
                </c:pt>
                <c:pt idx="14">
                  <c:v>79.697092535243954</c:v>
                </c:pt>
                <c:pt idx="15">
                  <c:v>88.741488023789131</c:v>
                </c:pt>
                <c:pt idx="16">
                  <c:v>86.958305998561869</c:v>
                </c:pt>
                <c:pt idx="17">
                  <c:v>77.835558789573341</c:v>
                </c:pt>
                <c:pt idx="18">
                  <c:v>79.515179034397406</c:v>
                </c:pt>
                <c:pt idx="19">
                  <c:v>80.402616116676739</c:v>
                </c:pt>
                <c:pt idx="20">
                  <c:v>74.960394422847187</c:v>
                </c:pt>
                <c:pt idx="21">
                  <c:v>79.787189851804953</c:v>
                </c:pt>
                <c:pt idx="22">
                  <c:v>83.716091753159134</c:v>
                </c:pt>
                <c:pt idx="23">
                  <c:v>84.682596750767033</c:v>
                </c:pt>
                <c:pt idx="24">
                  <c:v>86.462341040545226</c:v>
                </c:pt>
                <c:pt idx="25">
                  <c:v>94.829717504089473</c:v>
                </c:pt>
                <c:pt idx="26">
                  <c:v>96.632738127637381</c:v>
                </c:pt>
                <c:pt idx="27">
                  <c:v>100.50226747300661</c:v>
                </c:pt>
                <c:pt idx="28">
                  <c:v>97.335540168506327</c:v>
                </c:pt>
                <c:pt idx="29">
                  <c:v>94.622307465329001</c:v>
                </c:pt>
                <c:pt idx="30">
                  <c:v>90.548590958182814</c:v>
                </c:pt>
                <c:pt idx="31">
                  <c:v>102.063858800746</c:v>
                </c:pt>
                <c:pt idx="32">
                  <c:v>107.37888428296</c:v>
                </c:pt>
                <c:pt idx="33">
                  <c:v>111.93374051399876</c:v>
                </c:pt>
                <c:pt idx="34">
                  <c:v>116.56028785304827</c:v>
                </c:pt>
                <c:pt idx="35">
                  <c:v>117.66236854242882</c:v>
                </c:pt>
                <c:pt idx="36">
                  <c:v>109.44897397920744</c:v>
                </c:pt>
                <c:pt idx="37">
                  <c:v>119.85535728098044</c:v>
                </c:pt>
                <c:pt idx="38">
                  <c:v>126.69029154861389</c:v>
                </c:pt>
                <c:pt idx="39">
                  <c:v>124.31624874307798</c:v>
                </c:pt>
                <c:pt idx="40">
                  <c:v>128.03981757083884</c:v>
                </c:pt>
                <c:pt idx="41">
                  <c:v>129.90235398934874</c:v>
                </c:pt>
                <c:pt idx="42">
                  <c:v>132.62933763432235</c:v>
                </c:pt>
                <c:pt idx="43">
                  <c:v>136.10316930560609</c:v>
                </c:pt>
                <c:pt idx="44">
                  <c:v>141.24817012206825</c:v>
                </c:pt>
                <c:pt idx="45">
                  <c:v>140.57072138013618</c:v>
                </c:pt>
                <c:pt idx="46">
                  <c:v>139.82996101035044</c:v>
                </c:pt>
                <c:pt idx="47">
                  <c:v>111.63895469924113</c:v>
                </c:pt>
                <c:pt idx="48">
                  <c:v>116.64272188433739</c:v>
                </c:pt>
                <c:pt idx="49">
                  <c:v>136.89184311321324</c:v>
                </c:pt>
                <c:pt idx="50">
                  <c:v>139.28135572826992</c:v>
                </c:pt>
                <c:pt idx="51">
                  <c:v>147.89517485181929</c:v>
                </c:pt>
                <c:pt idx="52">
                  <c:v>153.95711997983196</c:v>
                </c:pt>
                <c:pt idx="53">
                  <c:v>163.15284744762465</c:v>
                </c:pt>
                <c:pt idx="54">
                  <c:v>166.19209206255533</c:v>
                </c:pt>
                <c:pt idx="55">
                  <c:v>167.3438766769703</c:v>
                </c:pt>
                <c:pt idx="56">
                  <c:v>168.97257546545504</c:v>
                </c:pt>
                <c:pt idx="57">
                  <c:v>168.0323548201348</c:v>
                </c:pt>
                <c:pt idx="58">
                  <c:v>162.34856059151969</c:v>
                </c:pt>
                <c:pt idx="59">
                  <c:v>150.03108285801866</c:v>
                </c:pt>
                <c:pt idx="60">
                  <c:v>175.24200225171671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D-4D06-9F92-33C534FB2487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44287</c:v>
                </c:pt>
                <c:pt idx="1">
                  <c:v>44317</c:v>
                </c:pt>
                <c:pt idx="2">
                  <c:v>44348</c:v>
                </c:pt>
                <c:pt idx="3">
                  <c:v>44378</c:v>
                </c:pt>
                <c:pt idx="4">
                  <c:v>44409</c:v>
                </c:pt>
                <c:pt idx="5">
                  <c:v>44440</c:v>
                </c:pt>
                <c:pt idx="6">
                  <c:v>44470</c:v>
                </c:pt>
                <c:pt idx="7">
                  <c:v>44501</c:v>
                </c:pt>
                <c:pt idx="8">
                  <c:v>44531</c:v>
                </c:pt>
                <c:pt idx="9">
                  <c:v>44562</c:v>
                </c:pt>
                <c:pt idx="10">
                  <c:v>44593</c:v>
                </c:pt>
                <c:pt idx="11">
                  <c:v>44621</c:v>
                </c:pt>
                <c:pt idx="12">
                  <c:v>44652</c:v>
                </c:pt>
                <c:pt idx="13">
                  <c:v>44682</c:v>
                </c:pt>
                <c:pt idx="14">
                  <c:v>44713</c:v>
                </c:pt>
                <c:pt idx="15">
                  <c:v>44743</c:v>
                </c:pt>
                <c:pt idx="16">
                  <c:v>44774</c:v>
                </c:pt>
                <c:pt idx="17">
                  <c:v>44805</c:v>
                </c:pt>
                <c:pt idx="18">
                  <c:v>44835</c:v>
                </c:pt>
                <c:pt idx="19">
                  <c:v>44866</c:v>
                </c:pt>
                <c:pt idx="20">
                  <c:v>44896</c:v>
                </c:pt>
                <c:pt idx="21">
                  <c:v>44927</c:v>
                </c:pt>
                <c:pt idx="22">
                  <c:v>44958</c:v>
                </c:pt>
                <c:pt idx="23">
                  <c:v>44986</c:v>
                </c:pt>
                <c:pt idx="24">
                  <c:v>45017</c:v>
                </c:pt>
                <c:pt idx="25">
                  <c:v>45047</c:v>
                </c:pt>
                <c:pt idx="26">
                  <c:v>45078</c:v>
                </c:pt>
                <c:pt idx="27">
                  <c:v>45108</c:v>
                </c:pt>
                <c:pt idx="28">
                  <c:v>45139</c:v>
                </c:pt>
                <c:pt idx="29">
                  <c:v>45170</c:v>
                </c:pt>
                <c:pt idx="30">
                  <c:v>45200</c:v>
                </c:pt>
                <c:pt idx="31">
                  <c:v>45231</c:v>
                </c:pt>
                <c:pt idx="32">
                  <c:v>45261</c:v>
                </c:pt>
                <c:pt idx="33">
                  <c:v>45292</c:v>
                </c:pt>
                <c:pt idx="34">
                  <c:v>45323</c:v>
                </c:pt>
                <c:pt idx="35">
                  <c:v>45352</c:v>
                </c:pt>
                <c:pt idx="36">
                  <c:v>45383</c:v>
                </c:pt>
                <c:pt idx="37">
                  <c:v>45413</c:v>
                </c:pt>
                <c:pt idx="38">
                  <c:v>45444</c:v>
                </c:pt>
                <c:pt idx="39">
                  <c:v>45474</c:v>
                </c:pt>
                <c:pt idx="40">
                  <c:v>45505</c:v>
                </c:pt>
                <c:pt idx="41">
                  <c:v>45536</c:v>
                </c:pt>
                <c:pt idx="42">
                  <c:v>45566</c:v>
                </c:pt>
                <c:pt idx="43">
                  <c:v>45597</c:v>
                </c:pt>
                <c:pt idx="44">
                  <c:v>45627</c:v>
                </c:pt>
                <c:pt idx="45">
                  <c:v>45658</c:v>
                </c:pt>
                <c:pt idx="46">
                  <c:v>45689</c:v>
                </c:pt>
                <c:pt idx="47">
                  <c:v>45717</c:v>
                </c:pt>
                <c:pt idx="48">
                  <c:v>45748</c:v>
                </c:pt>
                <c:pt idx="49">
                  <c:v>45778</c:v>
                </c:pt>
                <c:pt idx="50">
                  <c:v>45809</c:v>
                </c:pt>
                <c:pt idx="51">
                  <c:v>45839</c:v>
                </c:pt>
                <c:pt idx="52">
                  <c:v>45870</c:v>
                </c:pt>
                <c:pt idx="53">
                  <c:v>45901</c:v>
                </c:pt>
                <c:pt idx="54">
                  <c:v>45931</c:v>
                </c:pt>
                <c:pt idx="55">
                  <c:v>45962</c:v>
                </c:pt>
                <c:pt idx="56">
                  <c:v>45992</c:v>
                </c:pt>
                <c:pt idx="57">
                  <c:v>46023</c:v>
                </c:pt>
                <c:pt idx="58">
                  <c:v>46054</c:v>
                </c:pt>
                <c:pt idx="59">
                  <c:v>46082</c:v>
                </c:pt>
                <c:pt idx="60">
                  <c:v>46113</c:v>
                </c:pt>
              </c:numCache>
            </c:numRef>
          </c:cat>
          <c:val>
            <c:numRef>
              <c:f>'Bull Assumptions'!$Y$15:$Y$75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101.93240708076937</c:v>
                </c:pt>
                <c:pt idx="2">
                  <c:v>101.65016228854149</c:v>
                </c:pt>
                <c:pt idx="3">
                  <c:v>103.50318894401009</c:v>
                </c:pt>
                <c:pt idx="4">
                  <c:v>103.67597199692398</c:v>
                </c:pt>
                <c:pt idx="5">
                  <c:v>101.33317195500497</c:v>
                </c:pt>
                <c:pt idx="6">
                  <c:v>105.32008259815173</c:v>
                </c:pt>
                <c:pt idx="7">
                  <c:v>102.99481768922962</c:v>
                </c:pt>
                <c:pt idx="8">
                  <c:v>106.12758432878668</c:v>
                </c:pt>
                <c:pt idx="9">
                  <c:v>102.51106646966703</c:v>
                </c:pt>
                <c:pt idx="10">
                  <c:v>100.54288063268177</c:v>
                </c:pt>
                <c:pt idx="11">
                  <c:v>102.91186529239245</c:v>
                </c:pt>
                <c:pt idx="12">
                  <c:v>99.81269289753314</c:v>
                </c:pt>
                <c:pt idx="13">
                  <c:v>98.046072528734456</c:v>
                </c:pt>
                <c:pt idx="14">
                  <c:v>91.800436016690838</c:v>
                </c:pt>
                <c:pt idx="15">
                  <c:v>96.960222702093148</c:v>
                </c:pt>
                <c:pt idx="16">
                  <c:v>92.453368797205002</c:v>
                </c:pt>
                <c:pt idx="17">
                  <c:v>90.989096630686177</c:v>
                </c:pt>
                <c:pt idx="18">
                  <c:v>97.009433252102966</c:v>
                </c:pt>
                <c:pt idx="19">
                  <c:v>101.6384721998769</c:v>
                </c:pt>
                <c:pt idx="20">
                  <c:v>98.019415584128055</c:v>
                </c:pt>
                <c:pt idx="21">
                  <c:v>98.525868011223665</c:v>
                </c:pt>
                <c:pt idx="22">
                  <c:v>96.876945580570833</c:v>
                </c:pt>
                <c:pt idx="23">
                  <c:v>98.226708014943256</c:v>
                </c:pt>
                <c:pt idx="24">
                  <c:v>99.805489913608483</c:v>
                </c:pt>
                <c:pt idx="25">
                  <c:v>97.692949193870959</c:v>
                </c:pt>
                <c:pt idx="26">
                  <c:v>99.564809881076968</c:v>
                </c:pt>
                <c:pt idx="27">
                  <c:v>103.51520375735983</c:v>
                </c:pt>
                <c:pt idx="28">
                  <c:v>102.84240373020101</c:v>
                </c:pt>
                <c:pt idx="29">
                  <c:v>98.915567153802897</c:v>
                </c:pt>
                <c:pt idx="30">
                  <c:v>100.5504673821434</c:v>
                </c:pt>
                <c:pt idx="31">
                  <c:v>106.99825977089196</c:v>
                </c:pt>
                <c:pt idx="32">
                  <c:v>111.2611273555455</c:v>
                </c:pt>
                <c:pt idx="33">
                  <c:v>112.50066051952999</c:v>
                </c:pt>
                <c:pt idx="34">
                  <c:v>115.38761057244533</c:v>
                </c:pt>
                <c:pt idx="35">
                  <c:v>117.51305171831021</c:v>
                </c:pt>
                <c:pt idx="36">
                  <c:v>112.13747071942754</c:v>
                </c:pt>
                <c:pt idx="37">
                  <c:v>114.20366437046954</c:v>
                </c:pt>
                <c:pt idx="38">
                  <c:v>115.57344165361619</c:v>
                </c:pt>
                <c:pt idx="39">
                  <c:v>118.93050448931876</c:v>
                </c:pt>
                <c:pt idx="40">
                  <c:v>121.55058989191096</c:v>
                </c:pt>
                <c:pt idx="41">
                  <c:v>124.90977819827984</c:v>
                </c:pt>
                <c:pt idx="42">
                  <c:v>124.13985596984193</c:v>
                </c:pt>
                <c:pt idx="43">
                  <c:v>130.76518420007767</c:v>
                </c:pt>
                <c:pt idx="44">
                  <c:v>126.46627217537497</c:v>
                </c:pt>
                <c:pt idx="45">
                  <c:v>131.14227812078875</c:v>
                </c:pt>
                <c:pt idx="46">
                  <c:v>129.42023359513033</c:v>
                </c:pt>
                <c:pt idx="47">
                  <c:v>113.10709862921904</c:v>
                </c:pt>
                <c:pt idx="48">
                  <c:v>115.54953010862042</c:v>
                </c:pt>
                <c:pt idx="49">
                  <c:v>122.81403460089122</c:v>
                </c:pt>
                <c:pt idx="50">
                  <c:v>124.59633031585381</c:v>
                </c:pt>
                <c:pt idx="51">
                  <c:v>132.55238030574304</c:v>
                </c:pt>
                <c:pt idx="52">
                  <c:v>134.45042561074072</c:v>
                </c:pt>
                <c:pt idx="53">
                  <c:v>138.03243409195909</c:v>
                </c:pt>
                <c:pt idx="54">
                  <c:v>139.357428888984</c:v>
                </c:pt>
                <c:pt idx="55">
                  <c:v>136.51842000776389</c:v>
                </c:pt>
                <c:pt idx="56">
                  <c:v>142.09624544462929</c:v>
                </c:pt>
                <c:pt idx="57">
                  <c:v>144.9414831357187</c:v>
                </c:pt>
                <c:pt idx="58">
                  <c:v>144.58490591102247</c:v>
                </c:pt>
                <c:pt idx="59">
                  <c:v>134.54663267881631</c:v>
                </c:pt>
                <c:pt idx="60">
                  <c:v>145.97091942842553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5D-4D06-9F92-33C534FB2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2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0CE4D-5D8E-455B-9C34-8D52FEBE7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0A7AEF-4DB9-43CC-906C-76A5250BF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7B605C-6FF5-4AFE-95B8-83E0F5543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0C0B2-7526-4652-8786-4B4AB0B9D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682055-480C-4AF1-A7AA-3C6DE2E71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592EA0-749F-4242-B48A-4549E478E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F2DF-EF9A-406C-99CF-48E8653CEE89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103</v>
      </c>
    </row>
    <row r="3" spans="2:3" x14ac:dyDescent="0.25">
      <c r="B3" s="61" t="s">
        <v>104</v>
      </c>
      <c r="C3" s="62" t="s">
        <v>123</v>
      </c>
    </row>
    <row r="4" spans="2:3" x14ac:dyDescent="0.25">
      <c r="B4" s="63" t="s">
        <v>105</v>
      </c>
      <c r="C4" s="64">
        <v>1.0900000000000001</v>
      </c>
    </row>
    <row r="5" spans="2:3" x14ac:dyDescent="0.25">
      <c r="B5" s="63" t="s">
        <v>34</v>
      </c>
      <c r="C5" s="65">
        <v>3929500000000</v>
      </c>
    </row>
    <row r="6" spans="2:3" x14ac:dyDescent="0.25">
      <c r="B6" s="63" t="s">
        <v>106</v>
      </c>
      <c r="C6" s="65">
        <v>84710000000</v>
      </c>
    </row>
    <row r="7" spans="2:3" x14ac:dyDescent="0.25">
      <c r="B7" s="63" t="s">
        <v>107</v>
      </c>
      <c r="C7" s="65">
        <v>2650000000</v>
      </c>
    </row>
    <row r="8" spans="2:3" x14ac:dyDescent="0.25">
      <c r="B8" s="63" t="s">
        <v>108</v>
      </c>
      <c r="C8" s="66">
        <v>0.16</v>
      </c>
    </row>
    <row r="9" spans="2:3" x14ac:dyDescent="0.25">
      <c r="B9" s="41" t="s">
        <v>109</v>
      </c>
      <c r="C9" s="67">
        <v>4.3200000000000002E-2</v>
      </c>
    </row>
    <row r="11" spans="2:3" x14ac:dyDescent="0.25">
      <c r="B11" s="3" t="s">
        <v>110</v>
      </c>
    </row>
    <row r="12" spans="2:3" x14ac:dyDescent="0.25">
      <c r="B12" t="s">
        <v>111</v>
      </c>
      <c r="C12" s="68">
        <f>C5+C6</f>
        <v>4014210000000</v>
      </c>
    </row>
    <row r="13" spans="2:3" x14ac:dyDescent="0.25">
      <c r="B13" t="s">
        <v>112</v>
      </c>
      <c r="C13" s="69">
        <f>C5/C12</f>
        <v>0.97889746674937284</v>
      </c>
    </row>
    <row r="14" spans="2:3" x14ac:dyDescent="0.25">
      <c r="B14" t="s">
        <v>113</v>
      </c>
      <c r="C14" s="69">
        <f>C6/C12</f>
        <v>2.1102533250627147E-2</v>
      </c>
    </row>
    <row r="16" spans="2:3" ht="18" x14ac:dyDescent="0.35">
      <c r="B16" s="3" t="s">
        <v>114</v>
      </c>
    </row>
    <row r="17" spans="2:3" x14ac:dyDescent="0.25">
      <c r="B17" t="s">
        <v>115</v>
      </c>
      <c r="C17" t="s">
        <v>126</v>
      </c>
    </row>
    <row r="18" spans="2:3" x14ac:dyDescent="0.25">
      <c r="B18" t="s">
        <v>127</v>
      </c>
      <c r="C18" s="18">
        <f>9%-C9</f>
        <v>4.6799999999999994E-2</v>
      </c>
    </row>
    <row r="19" spans="2:3" x14ac:dyDescent="0.25">
      <c r="B19" t="s">
        <v>116</v>
      </c>
      <c r="C19" s="18">
        <f>C9+(1.09*C18)</f>
        <v>9.421199999999999E-2</v>
      </c>
    </row>
    <row r="21" spans="2:3" ht="18" x14ac:dyDescent="0.35">
      <c r="B21" s="3" t="s">
        <v>117</v>
      </c>
    </row>
    <row r="22" spans="2:3" x14ac:dyDescent="0.25">
      <c r="B22" t="s">
        <v>118</v>
      </c>
      <c r="C22" s="69">
        <f>C7/C6</f>
        <v>3.128320151103766E-2</v>
      </c>
    </row>
    <row r="23" spans="2:3" x14ac:dyDescent="0.25">
      <c r="B23" t="s">
        <v>119</v>
      </c>
      <c r="C23" t="s">
        <v>120</v>
      </c>
    </row>
    <row r="24" spans="2:3" x14ac:dyDescent="0.25">
      <c r="B24" t="s">
        <v>116</v>
      </c>
      <c r="C24" s="69">
        <f>C22*(1-C8)</f>
        <v>2.6277889269271635E-2</v>
      </c>
    </row>
    <row r="26" spans="2:3" x14ac:dyDescent="0.25">
      <c r="B26" s="3" t="s">
        <v>121</v>
      </c>
    </row>
    <row r="27" spans="2:3" ht="18" x14ac:dyDescent="0.35">
      <c r="B27" t="s">
        <v>115</v>
      </c>
      <c r="C27" t="s">
        <v>122</v>
      </c>
    </row>
    <row r="28" spans="2:3" x14ac:dyDescent="0.25">
      <c r="B28" t="s">
        <v>116</v>
      </c>
      <c r="C28" s="18">
        <f>(C13*C19)+(C14*C24)</f>
        <v>9.2778418169453009E-2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1.42578125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4" customFormat="1" ht="33.75" x14ac:dyDescent="0.5">
      <c r="A1" s="23" t="s">
        <v>0</v>
      </c>
    </row>
    <row r="3" spans="1:26" s="1" customFormat="1" ht="21" x14ac:dyDescent="0.35">
      <c r="A3" s="2" t="s">
        <v>65</v>
      </c>
    </row>
    <row r="5" spans="1:26" x14ac:dyDescent="0.25">
      <c r="A5" s="31" t="s">
        <v>1</v>
      </c>
      <c r="B5" s="32"/>
      <c r="C5" s="33"/>
      <c r="P5" t="s">
        <v>60</v>
      </c>
    </row>
    <row r="6" spans="1:26" x14ac:dyDescent="0.25">
      <c r="A6" s="34" t="s">
        <v>2</v>
      </c>
      <c r="B6" s="35">
        <v>0.16</v>
      </c>
      <c r="C6" s="36"/>
      <c r="P6" t="s">
        <v>61</v>
      </c>
      <c r="Q6" t="s">
        <v>62</v>
      </c>
      <c r="S6" t="s">
        <v>63</v>
      </c>
      <c r="T6" t="s">
        <v>64</v>
      </c>
    </row>
    <row r="7" spans="1:26" x14ac:dyDescent="0.25">
      <c r="A7" s="34" t="s">
        <v>3</v>
      </c>
      <c r="B7" s="44">
        <f>'WACC Input'!C28</f>
        <v>9.2778418169453009E-2</v>
      </c>
      <c r="C7" s="36"/>
      <c r="P7">
        <v>2026</v>
      </c>
      <c r="Q7" s="22">
        <f>D28</f>
        <v>116108919000</v>
      </c>
      <c r="R7" s="22"/>
      <c r="S7" t="s">
        <v>42</v>
      </c>
      <c r="T7" s="14">
        <f>B40</f>
        <v>227.98741858191016</v>
      </c>
    </row>
    <row r="8" spans="1:26" x14ac:dyDescent="0.25">
      <c r="A8" s="34" t="s">
        <v>4</v>
      </c>
      <c r="B8" s="44">
        <v>3.5000000000000003E-2</v>
      </c>
      <c r="C8" s="36"/>
      <c r="P8">
        <v>2027</v>
      </c>
      <c r="Q8" s="22">
        <f>E28</f>
        <v>135847435230</v>
      </c>
      <c r="R8" s="22"/>
      <c r="S8" t="s">
        <v>79</v>
      </c>
      <c r="T8" s="14">
        <v>43.01</v>
      </c>
    </row>
    <row r="9" spans="1:26" x14ac:dyDescent="0.25">
      <c r="A9" s="34" t="s">
        <v>5</v>
      </c>
      <c r="B9" s="37" t="s">
        <v>85</v>
      </c>
      <c r="C9" s="36"/>
      <c r="P9">
        <v>2028</v>
      </c>
      <c r="Q9" s="22">
        <f>F28</f>
        <v>157583024866.79999</v>
      </c>
      <c r="R9" s="22"/>
      <c r="S9" t="s">
        <v>8</v>
      </c>
      <c r="T9" s="14">
        <f>B12</f>
        <v>271</v>
      </c>
    </row>
    <row r="10" spans="1:26" x14ac:dyDescent="0.25">
      <c r="A10" s="34" t="s">
        <v>6</v>
      </c>
      <c r="B10" s="38">
        <v>46142</v>
      </c>
      <c r="C10" s="36"/>
      <c r="P10">
        <v>2029</v>
      </c>
      <c r="Q10" s="22">
        <f>G28</f>
        <v>178068818099.48398</v>
      </c>
      <c r="R10" s="22"/>
    </row>
    <row r="11" spans="1:26" x14ac:dyDescent="0.25">
      <c r="A11" s="34" t="s">
        <v>7</v>
      </c>
      <c r="B11" s="38">
        <v>46291</v>
      </c>
      <c r="C11" s="36"/>
      <c r="P11">
        <v>2030</v>
      </c>
      <c r="Q11" s="22">
        <f>H28</f>
        <v>195875699909.43243</v>
      </c>
      <c r="R11" s="22"/>
    </row>
    <row r="12" spans="1:26" x14ac:dyDescent="0.25">
      <c r="A12" s="34" t="s">
        <v>8</v>
      </c>
      <c r="B12" s="39">
        <v>271</v>
      </c>
      <c r="C12" s="36" t="s">
        <v>86</v>
      </c>
      <c r="P12">
        <v>2031</v>
      </c>
      <c r="Q12" s="22">
        <f>I28</f>
        <v>211545755902.18698</v>
      </c>
      <c r="R12" s="22"/>
    </row>
    <row r="13" spans="1:26" x14ac:dyDescent="0.25">
      <c r="A13" s="34" t="s">
        <v>9</v>
      </c>
      <c r="B13" s="40">
        <v>14500000000</v>
      </c>
      <c r="C13" s="36"/>
    </row>
    <row r="14" spans="1:26" x14ac:dyDescent="0.25">
      <c r="A14" s="34" t="s">
        <v>10</v>
      </c>
      <c r="B14" s="39">
        <v>84710000000</v>
      </c>
      <c r="C14" s="36"/>
      <c r="P14" s="6" t="s">
        <v>16</v>
      </c>
      <c r="Q14" s="6" t="s">
        <v>75</v>
      </c>
      <c r="R14" s="6" t="s">
        <v>66</v>
      </c>
      <c r="S14" s="6" t="s">
        <v>72</v>
      </c>
      <c r="T14" s="6" t="s">
        <v>67</v>
      </c>
      <c r="U14" s="6" t="s">
        <v>16</v>
      </c>
      <c r="V14" s="6" t="s">
        <v>80</v>
      </c>
      <c r="W14" s="6" t="s">
        <v>68</v>
      </c>
      <c r="X14" s="6" t="s">
        <v>73</v>
      </c>
      <c r="Y14" s="6" t="s">
        <v>69</v>
      </c>
      <c r="Z14" t="s">
        <v>70</v>
      </c>
    </row>
    <row r="15" spans="1:26" x14ac:dyDescent="0.25">
      <c r="A15" s="34" t="s">
        <v>11</v>
      </c>
      <c r="B15" s="39">
        <v>67000000000</v>
      </c>
      <c r="C15" s="36"/>
      <c r="P15" s="56">
        <v>44287</v>
      </c>
      <c r="Q15" s="57">
        <v>131.46</v>
      </c>
      <c r="R15" s="6">
        <v>4181.17</v>
      </c>
      <c r="S15" s="6">
        <v>13962.68</v>
      </c>
      <c r="T15" s="6">
        <v>33874.85</v>
      </c>
      <c r="U15" s="56">
        <v>44287</v>
      </c>
      <c r="V15" s="58">
        <f t="shared" ref="V15:V26" si="0">(Q15/$Q$15)*100</f>
        <v>100</v>
      </c>
      <c r="W15" s="58">
        <f t="shared" ref="W15:W26" si="1">(R15/$R$15)*100</f>
        <v>100</v>
      </c>
      <c r="X15" s="58">
        <f t="shared" ref="X15:X26" si="2">(S15/$S$15)*100</f>
        <v>100</v>
      </c>
      <c r="Y15" s="58">
        <f t="shared" ref="Y15:Y26" si="3">(T15/$T$15)*100</f>
        <v>100</v>
      </c>
      <c r="Z15" t="s">
        <v>71</v>
      </c>
    </row>
    <row r="16" spans="1:26" x14ac:dyDescent="0.25">
      <c r="A16" s="34" t="s">
        <v>12</v>
      </c>
      <c r="B16" s="39" t="s">
        <v>87</v>
      </c>
      <c r="C16" s="36"/>
      <c r="P16" s="56">
        <v>44317</v>
      </c>
      <c r="Q16" s="6">
        <v>125.89</v>
      </c>
      <c r="R16" s="6">
        <v>4229.8900000000003</v>
      </c>
      <c r="S16" s="6">
        <v>13814.49</v>
      </c>
      <c r="T16" s="6">
        <v>34529.449999999997</v>
      </c>
      <c r="U16" s="56">
        <v>44317</v>
      </c>
      <c r="V16" s="59">
        <f t="shared" si="0"/>
        <v>95.762969724631063</v>
      </c>
      <c r="W16" s="59">
        <f t="shared" si="1"/>
        <v>101.16522408799452</v>
      </c>
      <c r="X16" s="59">
        <f t="shared" si="2"/>
        <v>98.938670799588607</v>
      </c>
      <c r="Y16" s="59">
        <f t="shared" si="3"/>
        <v>101.93240708076937</v>
      </c>
      <c r="Z16" t="s">
        <v>81</v>
      </c>
    </row>
    <row r="17" spans="1:25" x14ac:dyDescent="0.25">
      <c r="A17" s="41" t="s">
        <v>88</v>
      </c>
      <c r="B17" s="42"/>
      <c r="C17" s="43"/>
      <c r="P17" s="56">
        <v>44348</v>
      </c>
      <c r="Q17" s="6">
        <v>133.11000000000001</v>
      </c>
      <c r="R17" s="6">
        <v>4352.34</v>
      </c>
      <c r="S17" s="6">
        <v>14639.33</v>
      </c>
      <c r="T17" s="6">
        <v>34433.839999999997</v>
      </c>
      <c r="U17" s="56">
        <v>44348</v>
      </c>
      <c r="V17" s="59">
        <f t="shared" si="0"/>
        <v>101.25513464171611</v>
      </c>
      <c r="W17" s="59">
        <f t="shared" si="1"/>
        <v>104.09383019585428</v>
      </c>
      <c r="X17" s="59">
        <f t="shared" si="2"/>
        <v>104.84613269085877</v>
      </c>
      <c r="Y17" s="59">
        <f t="shared" si="3"/>
        <v>101.65016228854149</v>
      </c>
    </row>
    <row r="18" spans="1:25" x14ac:dyDescent="0.25">
      <c r="P18" s="56">
        <v>44378</v>
      </c>
      <c r="Q18" s="6">
        <v>148.56</v>
      </c>
      <c r="R18" s="6">
        <v>4395.26</v>
      </c>
      <c r="S18" s="6">
        <v>14672.68</v>
      </c>
      <c r="T18" s="6">
        <v>35061.550000000003</v>
      </c>
      <c r="U18" s="56">
        <v>44378</v>
      </c>
      <c r="V18" s="59">
        <f t="shared" si="0"/>
        <v>113.00775901414879</v>
      </c>
      <c r="W18" s="59">
        <f t="shared" si="1"/>
        <v>105.12033713051609</v>
      </c>
      <c r="X18" s="59">
        <f t="shared" si="2"/>
        <v>105.08498368508053</v>
      </c>
      <c r="Y18" s="59">
        <f t="shared" si="3"/>
        <v>103.50318894401009</v>
      </c>
    </row>
    <row r="19" spans="1:25" x14ac:dyDescent="0.25">
      <c r="A19" s="10" t="s">
        <v>44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44409</v>
      </c>
      <c r="Q19" s="6">
        <v>148.6</v>
      </c>
      <c r="R19" s="6">
        <v>4509.37</v>
      </c>
      <c r="S19" s="6">
        <v>14714.66</v>
      </c>
      <c r="T19" s="6">
        <v>35120.080000000002</v>
      </c>
      <c r="U19" s="56">
        <v>44409</v>
      </c>
      <c r="V19" s="59">
        <f t="shared" si="0"/>
        <v>113.03818652061462</v>
      </c>
      <c r="W19" s="59">
        <f t="shared" si="1"/>
        <v>107.8494775385837</v>
      </c>
      <c r="X19" s="59">
        <f t="shared" si="2"/>
        <v>105.38564229789695</v>
      </c>
      <c r="Y19" s="59">
        <f t="shared" si="3"/>
        <v>103.67597199692398</v>
      </c>
    </row>
    <row r="20" spans="1:25" x14ac:dyDescent="0.25">
      <c r="A20" t="s">
        <v>16</v>
      </c>
      <c r="C20" s="7">
        <v>46142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1">
        <f>I28*(1+B8)/(B7-B8)</f>
        <v>3789474760569.3467</v>
      </c>
      <c r="P20" s="56">
        <v>44440</v>
      </c>
      <c r="Q20" s="6">
        <v>142.65</v>
      </c>
      <c r="R20" s="6">
        <v>4455.4799999999996</v>
      </c>
      <c r="S20" s="6">
        <v>15047.7</v>
      </c>
      <c r="T20" s="6">
        <v>34326.46</v>
      </c>
      <c r="U20" s="56">
        <v>44440</v>
      </c>
      <c r="V20" s="59">
        <f t="shared" si="0"/>
        <v>108.51209493382017</v>
      </c>
      <c r="W20" s="59">
        <f t="shared" si="1"/>
        <v>106.5606038501185</v>
      </c>
      <c r="X20" s="59">
        <f t="shared" si="2"/>
        <v>107.77085774364235</v>
      </c>
      <c r="Y20" s="59">
        <f t="shared" si="3"/>
        <v>101.33317195500497</v>
      </c>
    </row>
    <row r="21" spans="1:25" x14ac:dyDescent="0.25">
      <c r="A21" t="s">
        <v>18</v>
      </c>
      <c r="B21" t="s">
        <v>74</v>
      </c>
      <c r="C21" s="28"/>
      <c r="D21" s="5">
        <v>416161000000</v>
      </c>
      <c r="E21" s="5">
        <f>D21*1.17</f>
        <v>486908370000</v>
      </c>
      <c r="F21" s="5">
        <f>E21*1.16</f>
        <v>564813709200</v>
      </c>
      <c r="G21" s="5">
        <f>F21*1.13</f>
        <v>638239491396</v>
      </c>
      <c r="H21" s="5">
        <f>G21*1.1</f>
        <v>702063440535.6001</v>
      </c>
      <c r="I21" s="5">
        <f>H21*1.08</f>
        <v>758228515778.44812</v>
      </c>
      <c r="L21" t="s">
        <v>19</v>
      </c>
      <c r="M21" s="11">
        <f>(I22+I25)*28</f>
        <v>7961399415673.7051</v>
      </c>
      <c r="P21" s="56">
        <v>44470</v>
      </c>
      <c r="Q21" s="6">
        <v>149.80000000000001</v>
      </c>
      <c r="R21" s="6">
        <v>4544.8999999999996</v>
      </c>
      <c r="S21" s="6">
        <v>15498.39</v>
      </c>
      <c r="T21" s="6">
        <v>35677.019999999997</v>
      </c>
      <c r="U21" s="56">
        <v>44470</v>
      </c>
      <c r="V21" s="59">
        <f t="shared" si="0"/>
        <v>113.95101171459</v>
      </c>
      <c r="W21" s="59">
        <f t="shared" si="1"/>
        <v>108.69923968649921</v>
      </c>
      <c r="X21" s="59">
        <f t="shared" si="2"/>
        <v>110.99867647185211</v>
      </c>
      <c r="Y21" s="59">
        <f t="shared" si="3"/>
        <v>105.32008259815173</v>
      </c>
    </row>
    <row r="22" spans="1:25" x14ac:dyDescent="0.25">
      <c r="A22" t="s">
        <v>20</v>
      </c>
      <c r="B22" t="s">
        <v>84</v>
      </c>
      <c r="C22" s="29">
        <v>0.35</v>
      </c>
      <c r="D22" s="5">
        <f>D21*$C$22</f>
        <v>145656350000</v>
      </c>
      <c r="E22" s="5">
        <f t="shared" ref="E22:I22" si="4">E21*$C$22</f>
        <v>170417929500</v>
      </c>
      <c r="F22" s="5">
        <f t="shared" si="4"/>
        <v>197684798220</v>
      </c>
      <c r="G22" s="5">
        <f t="shared" si="4"/>
        <v>223383821988.59998</v>
      </c>
      <c r="H22" s="5">
        <f t="shared" si="4"/>
        <v>245722204187.46002</v>
      </c>
      <c r="I22" s="5">
        <f t="shared" si="4"/>
        <v>265379980522.45682</v>
      </c>
      <c r="L22" t="s">
        <v>21</v>
      </c>
      <c r="M22" s="11">
        <f>(M20+M21)/2</f>
        <v>5875437088121.5254</v>
      </c>
      <c r="P22" s="56">
        <v>44501</v>
      </c>
      <c r="Q22" s="6">
        <v>156.81</v>
      </c>
      <c r="R22" s="6">
        <v>4594.62</v>
      </c>
      <c r="S22" s="6">
        <v>15085.47</v>
      </c>
      <c r="T22" s="6">
        <v>34889.339999999997</v>
      </c>
      <c r="U22" s="56">
        <v>44501</v>
      </c>
      <c r="V22" s="59">
        <f t="shared" si="0"/>
        <v>119.28343222272935</v>
      </c>
      <c r="W22" s="59">
        <f t="shared" si="1"/>
        <v>109.88838052506833</v>
      </c>
      <c r="X22" s="59">
        <f t="shared" si="2"/>
        <v>108.04136455179092</v>
      </c>
      <c r="Y22" s="59">
        <f t="shared" si="3"/>
        <v>102.99481768922962</v>
      </c>
    </row>
    <row r="23" spans="1:25" x14ac:dyDescent="0.25">
      <c r="A23" t="s">
        <v>22</v>
      </c>
      <c r="B23" t="s">
        <v>23</v>
      </c>
      <c r="C23" s="29"/>
      <c r="D23" s="5">
        <f>D22*$B$6</f>
        <v>23305016000</v>
      </c>
      <c r="E23" s="5">
        <f t="shared" ref="E23:I23" si="5">E22*$B$6</f>
        <v>27266868720</v>
      </c>
      <c r="F23" s="5">
        <f t="shared" si="5"/>
        <v>31629567715.200001</v>
      </c>
      <c r="G23" s="5">
        <f t="shared" si="5"/>
        <v>35741411518.175995</v>
      </c>
      <c r="H23" s="5">
        <f t="shared" si="5"/>
        <v>39315552669.993607</v>
      </c>
      <c r="I23" s="5">
        <f t="shared" si="5"/>
        <v>42460796883.593094</v>
      </c>
      <c r="P23" s="56">
        <v>44531</v>
      </c>
      <c r="Q23" s="6">
        <v>177.57</v>
      </c>
      <c r="R23" s="6">
        <v>4766.18</v>
      </c>
      <c r="S23" s="6">
        <v>15653.37</v>
      </c>
      <c r="T23" s="6">
        <v>35950.559999999998</v>
      </c>
      <c r="U23" s="56">
        <v>44531</v>
      </c>
      <c r="V23" s="59">
        <f t="shared" si="0"/>
        <v>135.07530807850293</v>
      </c>
      <c r="W23" s="59">
        <f t="shared" si="1"/>
        <v>113.99153825364672</v>
      </c>
      <c r="X23" s="59">
        <f t="shared" si="2"/>
        <v>112.10863530497011</v>
      </c>
      <c r="Y23" s="59">
        <f t="shared" si="3"/>
        <v>106.12758432878668</v>
      </c>
    </row>
    <row r="24" spans="1:25" x14ac:dyDescent="0.25">
      <c r="A24" t="s">
        <v>24</v>
      </c>
      <c r="B24" t="s">
        <v>25</v>
      </c>
      <c r="C24" s="29"/>
      <c r="D24" s="5">
        <f>D22*(1-$B$6)</f>
        <v>122351334000</v>
      </c>
      <c r="E24" s="5">
        <f t="shared" ref="E24:I24" si="6">E22*(1-$B$6)</f>
        <v>143151060780</v>
      </c>
      <c r="F24" s="5">
        <f t="shared" si="6"/>
        <v>166055230504.79999</v>
      </c>
      <c r="G24" s="5">
        <f t="shared" si="6"/>
        <v>187642410470.42398</v>
      </c>
      <c r="H24" s="5">
        <f t="shared" si="6"/>
        <v>206406651517.4664</v>
      </c>
      <c r="I24" s="5">
        <f t="shared" si="6"/>
        <v>222919183638.86371</v>
      </c>
      <c r="P24" s="56">
        <v>44562</v>
      </c>
      <c r="Q24" s="6">
        <v>172.39</v>
      </c>
      <c r="R24" s="6">
        <v>4500.53</v>
      </c>
      <c r="S24" s="6">
        <v>13770.57</v>
      </c>
      <c r="T24" s="6">
        <v>34725.47</v>
      </c>
      <c r="U24" s="56">
        <v>44562</v>
      </c>
      <c r="V24" s="59">
        <f t="shared" si="0"/>
        <v>131.13494599117601</v>
      </c>
      <c r="W24" s="59">
        <f t="shared" si="1"/>
        <v>107.63805346350424</v>
      </c>
      <c r="X24" s="59">
        <f t="shared" si="2"/>
        <v>98.624118005998838</v>
      </c>
      <c r="Y24" s="59">
        <f t="shared" si="3"/>
        <v>102.51106646966703</v>
      </c>
    </row>
    <row r="25" spans="1:25" x14ac:dyDescent="0.25">
      <c r="A25" s="4" t="s">
        <v>26</v>
      </c>
      <c r="B25" s="8" t="s">
        <v>76</v>
      </c>
      <c r="C25" s="29">
        <v>2.5000000000000001E-2</v>
      </c>
      <c r="D25" s="26">
        <f>D21*$C$25</f>
        <v>10404025000</v>
      </c>
      <c r="E25" s="26">
        <f t="shared" ref="E25:I25" si="7">E21*$C$25</f>
        <v>12172709250</v>
      </c>
      <c r="F25" s="26">
        <f t="shared" si="7"/>
        <v>14120342730</v>
      </c>
      <c r="G25" s="26">
        <f t="shared" si="7"/>
        <v>15955987284.900002</v>
      </c>
      <c r="H25" s="26">
        <f t="shared" si="7"/>
        <v>17551586013.390003</v>
      </c>
      <c r="I25" s="26">
        <f t="shared" si="7"/>
        <v>18955712894.461205</v>
      </c>
      <c r="P25" s="56">
        <v>44593</v>
      </c>
      <c r="Q25" s="6">
        <v>163.16999999999999</v>
      </c>
      <c r="R25" s="6">
        <v>4384.6499999999996</v>
      </c>
      <c r="S25" s="6">
        <v>13313.44</v>
      </c>
      <c r="T25" s="6">
        <v>34058.75</v>
      </c>
      <c r="U25" s="56">
        <v>44593</v>
      </c>
      <c r="V25" s="59">
        <f t="shared" si="0"/>
        <v>124.12140575079871</v>
      </c>
      <c r="W25" s="59">
        <f t="shared" si="1"/>
        <v>104.86658040691958</v>
      </c>
      <c r="X25" s="59">
        <f t="shared" si="2"/>
        <v>95.350176327180748</v>
      </c>
      <c r="Y25" s="59">
        <f t="shared" si="3"/>
        <v>100.54288063268177</v>
      </c>
    </row>
    <row r="26" spans="1:25" x14ac:dyDescent="0.25">
      <c r="A26" t="s">
        <v>27</v>
      </c>
      <c r="B26" t="s">
        <v>83</v>
      </c>
      <c r="C26" s="29">
        <v>0.03</v>
      </c>
      <c r="D26" s="26">
        <f>D21*$C$26</f>
        <v>12484830000</v>
      </c>
      <c r="E26" s="26">
        <f t="shared" ref="E26:I26" si="8">E21*$C$26</f>
        <v>14607251100</v>
      </c>
      <c r="F26" s="26">
        <f t="shared" si="8"/>
        <v>16944411276</v>
      </c>
      <c r="G26" s="26">
        <f t="shared" si="8"/>
        <v>19147184741.880001</v>
      </c>
      <c r="H26" s="26">
        <f t="shared" si="8"/>
        <v>21061903216.068001</v>
      </c>
      <c r="I26" s="26">
        <f t="shared" si="8"/>
        <v>22746855473.353443</v>
      </c>
      <c r="P26" s="56">
        <v>44621</v>
      </c>
      <c r="Q26" s="6">
        <v>174.31</v>
      </c>
      <c r="R26" s="6">
        <v>4543.0600000000004</v>
      </c>
      <c r="S26" s="6">
        <v>14169.3</v>
      </c>
      <c r="T26" s="6">
        <v>34861.24</v>
      </c>
      <c r="U26" s="56">
        <v>44621</v>
      </c>
      <c r="V26" s="59">
        <f t="shared" si="0"/>
        <v>132.59546630153659</v>
      </c>
      <c r="W26" s="59">
        <f t="shared" si="1"/>
        <v>108.65523286544199</v>
      </c>
      <c r="X26" s="59">
        <f t="shared" si="2"/>
        <v>101.47980187184696</v>
      </c>
      <c r="Y26" s="59">
        <f t="shared" si="3"/>
        <v>102.91186529239245</v>
      </c>
    </row>
    <row r="27" spans="1:25" x14ac:dyDescent="0.25">
      <c r="A27" t="s">
        <v>28</v>
      </c>
      <c r="B27" t="s">
        <v>82</v>
      </c>
      <c r="C27" s="29">
        <v>0.01</v>
      </c>
      <c r="D27" s="26">
        <f>D21*$C$27</f>
        <v>4161610000</v>
      </c>
      <c r="E27" s="26">
        <f t="shared" ref="E27:I27" si="9">E21*$C$27</f>
        <v>4869083700</v>
      </c>
      <c r="F27" s="26">
        <f t="shared" si="9"/>
        <v>5648137092</v>
      </c>
      <c r="G27" s="26">
        <f t="shared" si="9"/>
        <v>6382394913.96</v>
      </c>
      <c r="H27" s="26">
        <f t="shared" si="9"/>
        <v>7020634405.3560009</v>
      </c>
      <c r="I27" s="26">
        <f t="shared" si="9"/>
        <v>7582285157.784481</v>
      </c>
      <c r="P27" s="56">
        <v>44652</v>
      </c>
      <c r="Q27" s="59">
        <v>161.79</v>
      </c>
      <c r="R27" s="6">
        <v>4271.78</v>
      </c>
      <c r="S27" s="6">
        <v>12839.29</v>
      </c>
      <c r="T27" s="6">
        <v>33811.4</v>
      </c>
      <c r="U27" s="56">
        <v>44652</v>
      </c>
      <c r="V27" s="59">
        <f>(Q27/$Q$15)*100</f>
        <v>123.07165677772704</v>
      </c>
      <c r="W27" s="59">
        <f>(R27/$R$15)*100</f>
        <v>102.16709676956451</v>
      </c>
      <c r="X27" s="59">
        <f>(S27/$S$15)*100</f>
        <v>91.954338278897751</v>
      </c>
      <c r="Y27" s="59">
        <f>(T27/$T$15)*100</f>
        <v>99.81269289753314</v>
      </c>
    </row>
    <row r="28" spans="1:25" ht="30" x14ac:dyDescent="0.25">
      <c r="A28" s="8" t="s">
        <v>29</v>
      </c>
      <c r="B28" s="9" t="s">
        <v>30</v>
      </c>
      <c r="C28" s="30"/>
      <c r="D28" s="26">
        <f>D24+D25-D26-D27</f>
        <v>116108919000</v>
      </c>
      <c r="E28" s="26">
        <f t="shared" ref="E28:I28" si="10">E24+E25-E26-E27</f>
        <v>135847435230</v>
      </c>
      <c r="F28" s="26">
        <f t="shared" si="10"/>
        <v>157583024866.79999</v>
      </c>
      <c r="G28" s="26">
        <f t="shared" si="10"/>
        <v>178068818099.48398</v>
      </c>
      <c r="H28" s="26">
        <f t="shared" si="10"/>
        <v>195875699909.43243</v>
      </c>
      <c r="I28" s="26">
        <f t="shared" si="10"/>
        <v>211545755902.18698</v>
      </c>
      <c r="P28" s="56">
        <v>44682</v>
      </c>
      <c r="Q28" s="6">
        <v>149.63999999999999</v>
      </c>
      <c r="R28" s="6">
        <v>4158.24</v>
      </c>
      <c r="S28" s="6">
        <v>11354.62</v>
      </c>
      <c r="T28" s="6">
        <v>33212.959999999999</v>
      </c>
      <c r="U28" s="56">
        <v>44682</v>
      </c>
      <c r="V28" s="59">
        <f t="shared" ref="V28:V38" si="11">(Q28/$Q$15)*100</f>
        <v>113.82930168872659</v>
      </c>
      <c r="W28" s="59">
        <f t="shared" ref="W28:W38" si="12">(R28/$R$15)*100</f>
        <v>99.451588909324414</v>
      </c>
      <c r="X28" s="59">
        <f t="shared" ref="X28:X38" si="13">(S28/$S$15)*100</f>
        <v>81.32120767646326</v>
      </c>
      <c r="Y28" s="59">
        <f t="shared" ref="Y28:Y50" si="14">(T28/$T$15)*100</f>
        <v>98.046072528734456</v>
      </c>
    </row>
    <row r="29" spans="1:25" x14ac:dyDescent="0.25">
      <c r="A29" t="s">
        <v>36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44713</v>
      </c>
      <c r="Q29" s="6">
        <v>138.93</v>
      </c>
      <c r="R29" s="6">
        <v>3911.74</v>
      </c>
      <c r="S29" s="6">
        <v>11127.85</v>
      </c>
      <c r="T29" s="6">
        <v>31097.26</v>
      </c>
      <c r="U29" s="56">
        <v>44713</v>
      </c>
      <c r="V29" s="59">
        <f t="shared" si="11"/>
        <v>105.68233683249657</v>
      </c>
      <c r="W29" s="59">
        <f t="shared" si="12"/>
        <v>93.556109892685541</v>
      </c>
      <c r="X29" s="59">
        <f t="shared" si="13"/>
        <v>79.697092535243954</v>
      </c>
      <c r="Y29" s="59">
        <f t="shared" si="14"/>
        <v>91.800436016690838</v>
      </c>
    </row>
    <row r="30" spans="1:25" x14ac:dyDescent="0.25">
      <c r="A30" t="s">
        <v>37</v>
      </c>
      <c r="C30" s="11">
        <f>-G39</f>
        <v>-3947210000000</v>
      </c>
      <c r="D30" s="5">
        <f>D28</f>
        <v>116108919000</v>
      </c>
      <c r="E30" s="5">
        <f t="shared" ref="E30:I30" si="15">E28</f>
        <v>135847435230</v>
      </c>
      <c r="F30" s="5">
        <f t="shared" si="15"/>
        <v>157583024866.79999</v>
      </c>
      <c r="G30" s="5">
        <f t="shared" si="15"/>
        <v>178068818099.48398</v>
      </c>
      <c r="H30" s="5">
        <f t="shared" si="15"/>
        <v>195875699909.43243</v>
      </c>
      <c r="I30" s="5">
        <f t="shared" si="15"/>
        <v>211545755902.18698</v>
      </c>
      <c r="J30" s="11">
        <f>I28+M22</f>
        <v>6086982844023.7119</v>
      </c>
      <c r="K30" t="s">
        <v>39</v>
      </c>
      <c r="P30" s="56">
        <v>44743</v>
      </c>
      <c r="Q30" s="6">
        <v>162.51</v>
      </c>
      <c r="R30" s="6">
        <v>4130.29</v>
      </c>
      <c r="S30" s="6">
        <v>12390.69</v>
      </c>
      <c r="T30" s="6">
        <v>32845.129999999997</v>
      </c>
      <c r="U30" s="56">
        <v>44743</v>
      </c>
      <c r="V30" s="59">
        <f t="shared" si="11"/>
        <v>123.61935189411226</v>
      </c>
      <c r="W30" s="59">
        <f t="shared" si="12"/>
        <v>98.783115730764351</v>
      </c>
      <c r="X30" s="59">
        <f t="shared" si="13"/>
        <v>88.741488023789131</v>
      </c>
      <c r="Y30" s="59">
        <f t="shared" si="14"/>
        <v>96.960222702093148</v>
      </c>
    </row>
    <row r="31" spans="1:25" x14ac:dyDescent="0.25">
      <c r="A31" t="s">
        <v>38</v>
      </c>
      <c r="D31" s="6">
        <f>1/(1+$B$7)^D29</f>
        <v>0.95660786086667404</v>
      </c>
      <c r="E31" s="6">
        <f t="shared" ref="E31:I31" si="16">1/(1+$B$7)^E29</f>
        <v>0.87539051372291687</v>
      </c>
      <c r="F31" s="6">
        <f t="shared" si="16"/>
        <v>0.80106863309884035</v>
      </c>
      <c r="G31" s="6">
        <f t="shared" si="16"/>
        <v>0.73305678422962928</v>
      </c>
      <c r="H31" s="6">
        <f t="shared" si="16"/>
        <v>0.67081923658191878</v>
      </c>
      <c r="I31" s="6">
        <f t="shared" si="16"/>
        <v>0.64171095493484476</v>
      </c>
      <c r="J31" t="s">
        <v>40</v>
      </c>
      <c r="P31" s="56">
        <v>44774</v>
      </c>
      <c r="Q31" s="6">
        <v>155.81</v>
      </c>
      <c r="R31" s="6">
        <v>3924.26</v>
      </c>
      <c r="S31" s="6">
        <v>12141.71</v>
      </c>
      <c r="T31" s="6">
        <v>31318.44</v>
      </c>
      <c r="U31" s="56">
        <v>44774</v>
      </c>
      <c r="V31" s="59">
        <f t="shared" si="11"/>
        <v>118.5227445610832</v>
      </c>
      <c r="W31" s="59">
        <f t="shared" si="12"/>
        <v>93.855547609879537</v>
      </c>
      <c r="X31" s="59">
        <f t="shared" si="13"/>
        <v>86.958305998561869</v>
      </c>
      <c r="Y31" s="59">
        <f t="shared" si="14"/>
        <v>92.453368797205002</v>
      </c>
    </row>
    <row r="32" spans="1:25" x14ac:dyDescent="0.25">
      <c r="A32" t="s">
        <v>41</v>
      </c>
      <c r="C32" s="11">
        <f>-G39</f>
        <v>-3947210000000</v>
      </c>
      <c r="D32" s="5">
        <f>D30*D31</f>
        <v>111070704632.13193</v>
      </c>
      <c r="E32" s="5">
        <f t="shared" ref="E32:I32" si="17">E30*E31</f>
        <v>118919556113.93037</v>
      </c>
      <c r="F32" s="5">
        <f t="shared" si="17"/>
        <v>126234818329.62804</v>
      </c>
      <c r="G32" s="5">
        <f t="shared" si="17"/>
        <v>130534555167.57854</v>
      </c>
      <c r="H32" s="5">
        <f t="shared" si="17"/>
        <v>131397187478.19449</v>
      </c>
      <c r="I32" s="5">
        <f t="shared" si="17"/>
        <v>135751229032.40598</v>
      </c>
      <c r="J32" s="12">
        <f>M22</f>
        <v>5875437088121.5254</v>
      </c>
      <c r="P32" s="56">
        <v>44805</v>
      </c>
      <c r="Q32" s="6">
        <v>138.19999999999999</v>
      </c>
      <c r="R32" s="6">
        <v>3585.62</v>
      </c>
      <c r="S32" s="6">
        <v>10867.93</v>
      </c>
      <c r="T32" s="6">
        <v>30822.42</v>
      </c>
      <c r="U32" s="56">
        <v>44805</v>
      </c>
      <c r="V32" s="59">
        <f t="shared" si="11"/>
        <v>105.12703483949488</v>
      </c>
      <c r="W32" s="59">
        <f t="shared" si="12"/>
        <v>85.756379195297001</v>
      </c>
      <c r="X32" s="59">
        <f t="shared" si="13"/>
        <v>77.835558789573341</v>
      </c>
      <c r="Y32" s="59">
        <f t="shared" si="14"/>
        <v>90.989096630686177</v>
      </c>
    </row>
    <row r="33" spans="1:25" x14ac:dyDescent="0.25">
      <c r="A33" t="s">
        <v>58</v>
      </c>
      <c r="C33" s="25">
        <v>-3862500</v>
      </c>
      <c r="D33" s="21">
        <v>111071</v>
      </c>
      <c r="E33" s="21">
        <v>118920</v>
      </c>
      <c r="F33" s="21">
        <v>126325</v>
      </c>
      <c r="G33" s="21">
        <v>130535</v>
      </c>
      <c r="H33" s="21">
        <v>131397</v>
      </c>
      <c r="I33" s="21">
        <v>135751</v>
      </c>
      <c r="J33" s="21">
        <v>5875437</v>
      </c>
      <c r="P33" s="56">
        <v>44835</v>
      </c>
      <c r="Q33" s="6">
        <v>138.38</v>
      </c>
      <c r="R33" s="6">
        <v>3901.06</v>
      </c>
      <c r="S33" s="6">
        <v>11102.45</v>
      </c>
      <c r="T33" s="6">
        <v>32861.800000000003</v>
      </c>
      <c r="U33" s="56">
        <v>44835</v>
      </c>
      <c r="V33" s="59">
        <f t="shared" si="11"/>
        <v>105.26395861859119</v>
      </c>
      <c r="W33" s="59">
        <f t="shared" si="12"/>
        <v>93.300678996548811</v>
      </c>
      <c r="X33" s="59">
        <f t="shared" si="13"/>
        <v>79.515179034397406</v>
      </c>
      <c r="Y33" s="59">
        <f t="shared" si="14"/>
        <v>97.009433252102966</v>
      </c>
    </row>
    <row r="34" spans="1:25" x14ac:dyDescent="0.25">
      <c r="P34" s="56">
        <v>44866</v>
      </c>
      <c r="Q34" s="6">
        <v>147.81</v>
      </c>
      <c r="R34" s="6">
        <v>4026.12</v>
      </c>
      <c r="S34" s="6">
        <v>11226.36</v>
      </c>
      <c r="T34" s="6">
        <v>34429.879999999997</v>
      </c>
      <c r="U34" s="56">
        <v>44866</v>
      </c>
      <c r="V34" s="59">
        <f t="shared" si="11"/>
        <v>112.4372432679142</v>
      </c>
      <c r="W34" s="59">
        <f t="shared" si="12"/>
        <v>96.291707823408274</v>
      </c>
      <c r="X34" s="59">
        <f t="shared" si="13"/>
        <v>80.402616116676739</v>
      </c>
      <c r="Y34" s="59">
        <f t="shared" si="14"/>
        <v>101.6384721998769</v>
      </c>
    </row>
    <row r="35" spans="1:25" x14ac:dyDescent="0.25">
      <c r="A35" s="3" t="s">
        <v>42</v>
      </c>
      <c r="F35" s="3" t="s">
        <v>32</v>
      </c>
      <c r="P35" s="56">
        <v>44896</v>
      </c>
      <c r="Q35" s="6">
        <v>129.93</v>
      </c>
      <c r="R35" s="6">
        <v>3839.5</v>
      </c>
      <c r="S35" s="6">
        <v>10466.48</v>
      </c>
      <c r="T35" s="6">
        <v>33203.93</v>
      </c>
      <c r="U35" s="56">
        <v>44896</v>
      </c>
      <c r="V35" s="59">
        <f t="shared" si="11"/>
        <v>98.836147877681427</v>
      </c>
      <c r="W35" s="59">
        <f t="shared" si="12"/>
        <v>91.828363831176446</v>
      </c>
      <c r="X35" s="59">
        <f t="shared" si="13"/>
        <v>74.960394422847187</v>
      </c>
      <c r="Y35" s="59">
        <f t="shared" si="14"/>
        <v>98.019415584128055</v>
      </c>
    </row>
    <row r="36" spans="1:25" x14ac:dyDescent="0.25">
      <c r="A36" s="11" t="s">
        <v>43</v>
      </c>
      <c r="B36" s="15">
        <f>SUM(D32:I32)</f>
        <v>753908050753.86938</v>
      </c>
      <c r="C36" t="s">
        <v>46</v>
      </c>
      <c r="F36" t="s">
        <v>34</v>
      </c>
      <c r="G36" s="13">
        <f>B13*B12</f>
        <v>3929500000000</v>
      </c>
      <c r="H36" t="s">
        <v>35</v>
      </c>
      <c r="L36" s="3" t="s">
        <v>53</v>
      </c>
      <c r="P36" s="56">
        <v>44927</v>
      </c>
      <c r="Q36" s="6">
        <v>137.87</v>
      </c>
      <c r="R36" s="6">
        <v>4070.56</v>
      </c>
      <c r="S36" s="6">
        <v>11140.43</v>
      </c>
      <c r="T36" s="6">
        <v>33375.49</v>
      </c>
      <c r="U36" s="56">
        <v>44927</v>
      </c>
      <c r="V36" s="59">
        <f t="shared" si="11"/>
        <v>104.87600791115167</v>
      </c>
      <c r="W36" s="59">
        <f t="shared" si="12"/>
        <v>97.354568218943498</v>
      </c>
      <c r="X36" s="59">
        <f t="shared" si="13"/>
        <v>79.787189851804953</v>
      </c>
      <c r="Y36" s="59">
        <f t="shared" si="14"/>
        <v>98.525868011223665</v>
      </c>
    </row>
    <row r="37" spans="1:25" x14ac:dyDescent="0.25">
      <c r="A37" t="s">
        <v>11</v>
      </c>
      <c r="B37" s="16">
        <f>B15</f>
        <v>67000000000</v>
      </c>
      <c r="F37" t="s">
        <v>10</v>
      </c>
      <c r="G37" s="12">
        <f>B14</f>
        <v>84710000000</v>
      </c>
      <c r="L37" t="s">
        <v>54</v>
      </c>
      <c r="M37" s="18">
        <f>(B40/B12)-1</f>
        <v>-0.15871801261287766</v>
      </c>
      <c r="P37" s="56">
        <v>44958</v>
      </c>
      <c r="Q37" s="6">
        <v>151.03</v>
      </c>
      <c r="R37" s="6">
        <v>4045.64</v>
      </c>
      <c r="S37" s="6">
        <v>11689.01</v>
      </c>
      <c r="T37" s="6">
        <v>32816.92</v>
      </c>
      <c r="U37" s="56">
        <v>44958</v>
      </c>
      <c r="V37" s="59">
        <f t="shared" si="11"/>
        <v>114.88665753841471</v>
      </c>
      <c r="W37" s="59">
        <f t="shared" si="12"/>
        <v>96.758562794624467</v>
      </c>
      <c r="X37" s="59">
        <f t="shared" si="13"/>
        <v>83.716091753159134</v>
      </c>
      <c r="Y37" s="59">
        <f t="shared" si="14"/>
        <v>96.876945580570833</v>
      </c>
    </row>
    <row r="38" spans="1:25" x14ac:dyDescent="0.25">
      <c r="A38" t="s">
        <v>10</v>
      </c>
      <c r="B38" s="16">
        <f>B14</f>
        <v>84710000000</v>
      </c>
      <c r="C38" s="3"/>
      <c r="F38" t="s">
        <v>11</v>
      </c>
      <c r="G38" s="12">
        <f>B15</f>
        <v>67000000000</v>
      </c>
      <c r="L38" t="s">
        <v>55</v>
      </c>
      <c r="M38" s="20">
        <f>IRR(C33:J33)</f>
        <v>8.6028908453796182E-2</v>
      </c>
      <c r="N38" t="s">
        <v>59</v>
      </c>
      <c r="P38" s="56">
        <v>44986</v>
      </c>
      <c r="Q38" s="6">
        <v>164.9</v>
      </c>
      <c r="R38" s="6">
        <v>3970.99</v>
      </c>
      <c r="S38" s="6">
        <v>11823.96</v>
      </c>
      <c r="T38" s="6">
        <v>33274.15</v>
      </c>
      <c r="U38" s="56">
        <v>44986</v>
      </c>
      <c r="V38" s="59">
        <f t="shared" si="11"/>
        <v>125.43739540544652</v>
      </c>
      <c r="W38" s="59">
        <f t="shared" si="12"/>
        <v>94.97317736423058</v>
      </c>
      <c r="X38" s="59">
        <f t="shared" si="13"/>
        <v>84.682596750767033</v>
      </c>
      <c r="Y38" s="59">
        <f t="shared" si="14"/>
        <v>98.226708014943256</v>
      </c>
    </row>
    <row r="39" spans="1:25" x14ac:dyDescent="0.25">
      <c r="A39" t="s">
        <v>45</v>
      </c>
      <c r="B39" s="15">
        <f>(((B36+B37)-B38)+(M22))/2</f>
        <v>3305817569437.6973</v>
      </c>
      <c r="C39" t="s">
        <v>78</v>
      </c>
      <c r="F39" t="s">
        <v>31</v>
      </c>
      <c r="G39" s="11">
        <f>G36+G37-G38</f>
        <v>3947210000000</v>
      </c>
      <c r="H39" t="s">
        <v>33</v>
      </c>
      <c r="P39" s="56">
        <v>45017</v>
      </c>
      <c r="Q39" s="6">
        <v>165.02</v>
      </c>
      <c r="R39" s="6">
        <v>4133.5200000000004</v>
      </c>
      <c r="S39" s="6">
        <v>12072.46</v>
      </c>
      <c r="T39" s="6">
        <v>33808.959999999999</v>
      </c>
      <c r="U39" s="56">
        <v>45017</v>
      </c>
      <c r="V39" s="59">
        <f>(Q39/$Q$15)*100</f>
        <v>125.52867792484406</v>
      </c>
      <c r="W39" s="59">
        <f>(R39/$R$15)*100</f>
        <v>98.860366835120317</v>
      </c>
      <c r="X39" s="59">
        <f>(S39/$S$15)*100</f>
        <v>86.462341040545226</v>
      </c>
      <c r="Y39" s="59">
        <f t="shared" si="14"/>
        <v>99.805489913608483</v>
      </c>
    </row>
    <row r="40" spans="1:25" x14ac:dyDescent="0.25">
      <c r="A40" t="s">
        <v>77</v>
      </c>
      <c r="B40" s="17">
        <f>B39/B13</f>
        <v>227.98741858191016</v>
      </c>
      <c r="C40" t="s">
        <v>47</v>
      </c>
      <c r="F40" t="s">
        <v>50</v>
      </c>
      <c r="G40" s="14">
        <f>G39/B13</f>
        <v>272.22137931034484</v>
      </c>
      <c r="H40" t="s">
        <v>51</v>
      </c>
      <c r="L40" s="46" t="s">
        <v>100</v>
      </c>
      <c r="M40" s="47"/>
      <c r="P40" s="56">
        <v>45047</v>
      </c>
      <c r="Q40" s="6">
        <v>180.95</v>
      </c>
      <c r="R40" s="6">
        <v>4282.37</v>
      </c>
      <c r="S40" s="6">
        <v>13240.77</v>
      </c>
      <c r="T40" s="6">
        <v>33093.339999999997</v>
      </c>
      <c r="U40" s="56">
        <v>45047</v>
      </c>
      <c r="V40" s="59">
        <f t="shared" ref="V40:V50" si="18">(Q40/$Q$15)*100</f>
        <v>137.64643237486686</v>
      </c>
      <c r="W40" s="59">
        <f t="shared" ref="W40:W50" si="19">(R40/$R$15)*100</f>
        <v>102.4203751581495</v>
      </c>
      <c r="X40" s="59">
        <f t="shared" ref="X40:X50" si="20">(S40/$S$15)*100</f>
        <v>94.829717504089473</v>
      </c>
      <c r="Y40" s="59">
        <f t="shared" si="14"/>
        <v>97.692949193870959</v>
      </c>
    </row>
    <row r="41" spans="1:25" x14ac:dyDescent="0.25">
      <c r="A41" t="s">
        <v>48</v>
      </c>
      <c r="B41" s="19">
        <f>(B40/B12)-1</f>
        <v>-0.15871801261287766</v>
      </c>
      <c r="C41" t="s">
        <v>49</v>
      </c>
      <c r="F41" t="s">
        <v>48</v>
      </c>
      <c r="G41" s="18">
        <f>(G40/B12)-1</f>
        <v>4.5069347245196845E-3</v>
      </c>
      <c r="H41" t="s">
        <v>52</v>
      </c>
      <c r="L41" s="48" t="s">
        <v>42</v>
      </c>
      <c r="M41" s="49">
        <f>B40</f>
        <v>227.98741858191016</v>
      </c>
      <c r="P41" s="56">
        <v>45078</v>
      </c>
      <c r="Q41" s="6">
        <v>193.97</v>
      </c>
      <c r="R41" s="6">
        <v>4450.38</v>
      </c>
      <c r="S41" s="6">
        <v>13492.52</v>
      </c>
      <c r="T41" s="6">
        <v>33727.43</v>
      </c>
      <c r="U41" s="56">
        <v>45078</v>
      </c>
      <c r="V41" s="59">
        <f t="shared" si="18"/>
        <v>147.55058572949946</v>
      </c>
      <c r="W41" s="59">
        <f t="shared" si="19"/>
        <v>106.43862842218806</v>
      </c>
      <c r="X41" s="59">
        <f t="shared" si="20"/>
        <v>96.632738127637381</v>
      </c>
      <c r="Y41" s="59">
        <f t="shared" si="14"/>
        <v>99.564809881076968</v>
      </c>
    </row>
    <row r="42" spans="1:25" x14ac:dyDescent="0.25">
      <c r="L42" s="48" t="s">
        <v>8</v>
      </c>
      <c r="M42" s="49">
        <f>B12</f>
        <v>271</v>
      </c>
      <c r="P42" s="56">
        <v>45108</v>
      </c>
      <c r="Q42" s="6">
        <v>181.99</v>
      </c>
      <c r="R42" s="6">
        <v>4582.2299999999996</v>
      </c>
      <c r="S42" s="6">
        <v>14032.81</v>
      </c>
      <c r="T42" s="6">
        <v>35065.620000000003</v>
      </c>
      <c r="U42" s="56">
        <v>45108</v>
      </c>
      <c r="V42" s="59">
        <f t="shared" si="18"/>
        <v>138.43754754297885</v>
      </c>
      <c r="W42" s="59">
        <f t="shared" si="19"/>
        <v>109.59205198544903</v>
      </c>
      <c r="X42" s="59">
        <f t="shared" si="20"/>
        <v>100.50226747300661</v>
      </c>
      <c r="Y42" s="59">
        <f t="shared" si="14"/>
        <v>103.51520375735983</v>
      </c>
    </row>
    <row r="43" spans="1:25" x14ac:dyDescent="0.25">
      <c r="L43" s="48" t="s">
        <v>101</v>
      </c>
      <c r="M43" s="49">
        <f>(B40-B12)</f>
        <v>-43.012581418089837</v>
      </c>
      <c r="P43" s="56">
        <v>45139</v>
      </c>
      <c r="Q43" s="6">
        <v>189.46</v>
      </c>
      <c r="R43" s="6">
        <v>4515.7700000000004</v>
      </c>
      <c r="S43" s="6">
        <v>13590.65</v>
      </c>
      <c r="T43" s="6">
        <v>34837.71</v>
      </c>
      <c r="U43" s="56">
        <v>45139</v>
      </c>
      <c r="V43" s="59">
        <f t="shared" si="18"/>
        <v>144.11988437547544</v>
      </c>
      <c r="W43" s="59">
        <f t="shared" si="19"/>
        <v>108.00254474226114</v>
      </c>
      <c r="X43" s="59">
        <f t="shared" si="20"/>
        <v>97.335540168506327</v>
      </c>
      <c r="Y43" s="59">
        <f t="shared" si="14"/>
        <v>102.84240373020101</v>
      </c>
    </row>
    <row r="44" spans="1:25" x14ac:dyDescent="0.25">
      <c r="L44" s="48" t="s">
        <v>102</v>
      </c>
      <c r="M44" s="53">
        <f>((B40-B12)/(B12))</f>
        <v>-0.15871801261287763</v>
      </c>
      <c r="P44" s="56">
        <v>45170</v>
      </c>
      <c r="Q44" s="6">
        <v>174.79</v>
      </c>
      <c r="R44" s="6">
        <v>4320.0600000000004</v>
      </c>
      <c r="S44" s="6">
        <v>13211.81</v>
      </c>
      <c r="T44" s="6">
        <v>33507.5</v>
      </c>
      <c r="U44" s="56">
        <v>45170</v>
      </c>
      <c r="V44" s="59">
        <f t="shared" si="18"/>
        <v>132.96059637912671</v>
      </c>
      <c r="W44" s="59">
        <f t="shared" si="19"/>
        <v>103.32179748730618</v>
      </c>
      <c r="X44" s="59">
        <f t="shared" si="20"/>
        <v>94.622307465329001</v>
      </c>
      <c r="Y44" s="59">
        <f t="shared" si="14"/>
        <v>98.915567153802897</v>
      </c>
    </row>
    <row r="45" spans="1:25" x14ac:dyDescent="0.25">
      <c r="L45" s="51"/>
      <c r="M45" s="50"/>
      <c r="P45" s="56">
        <v>45200</v>
      </c>
      <c r="Q45" s="6">
        <v>176.65</v>
      </c>
      <c r="R45" s="6">
        <v>4117.37</v>
      </c>
      <c r="S45" s="6">
        <v>12643.01</v>
      </c>
      <c r="T45" s="6">
        <v>34061.32</v>
      </c>
      <c r="U45" s="56">
        <v>45200</v>
      </c>
      <c r="V45" s="59">
        <f t="shared" si="18"/>
        <v>134.37547542978851</v>
      </c>
      <c r="W45" s="59">
        <f t="shared" si="19"/>
        <v>98.474111313340515</v>
      </c>
      <c r="X45" s="59">
        <f t="shared" si="20"/>
        <v>90.548590958182814</v>
      </c>
      <c r="Y45" s="59">
        <f t="shared" si="14"/>
        <v>100.5504673821434</v>
      </c>
    </row>
    <row r="46" spans="1:25" x14ac:dyDescent="0.25">
      <c r="L46" s="51" t="s">
        <v>56</v>
      </c>
      <c r="M46" s="49"/>
      <c r="P46" s="56">
        <v>45231</v>
      </c>
      <c r="Q46" s="6">
        <v>191.24</v>
      </c>
      <c r="R46" s="6">
        <v>4559.34</v>
      </c>
      <c r="S46" s="6">
        <v>14250.85</v>
      </c>
      <c r="T46" s="6">
        <v>36245.5</v>
      </c>
      <c r="U46" s="56">
        <v>45231</v>
      </c>
      <c r="V46" s="59">
        <f t="shared" si="18"/>
        <v>145.47390841320552</v>
      </c>
      <c r="W46" s="59">
        <f t="shared" si="19"/>
        <v>109.04459756479645</v>
      </c>
      <c r="X46" s="59">
        <f t="shared" si="20"/>
        <v>102.063858800746</v>
      </c>
      <c r="Y46" s="59">
        <f t="shared" si="14"/>
        <v>106.99825977089196</v>
      </c>
    </row>
    <row r="47" spans="1:25" x14ac:dyDescent="0.25">
      <c r="L47" s="48" t="s">
        <v>42</v>
      </c>
      <c r="M47" s="49">
        <f>B40</f>
        <v>227.98741858191016</v>
      </c>
      <c r="P47" s="56">
        <v>45261</v>
      </c>
      <c r="Q47" s="6">
        <v>193.6</v>
      </c>
      <c r="R47" s="6">
        <v>4769.83</v>
      </c>
      <c r="S47" s="6">
        <v>14992.97</v>
      </c>
      <c r="T47" s="6">
        <v>37689.54</v>
      </c>
      <c r="U47" s="56">
        <v>45261</v>
      </c>
      <c r="V47" s="59">
        <f t="shared" si="18"/>
        <v>147.2691312946904</v>
      </c>
      <c r="W47" s="59">
        <f t="shared" si="19"/>
        <v>114.07883439324399</v>
      </c>
      <c r="X47" s="59">
        <f t="shared" si="20"/>
        <v>107.37888428296</v>
      </c>
      <c r="Y47" s="59">
        <f t="shared" si="14"/>
        <v>111.2611273555455</v>
      </c>
    </row>
    <row r="48" spans="1:25" x14ac:dyDescent="0.25">
      <c r="L48" s="48" t="s">
        <v>32</v>
      </c>
      <c r="M48" s="49">
        <f>G40</f>
        <v>272.22137931034484</v>
      </c>
      <c r="P48" s="56">
        <v>45292</v>
      </c>
      <c r="Q48" s="6">
        <v>185.85</v>
      </c>
      <c r="R48" s="6">
        <v>4958.6099999999997</v>
      </c>
      <c r="S48" s="6">
        <v>15628.95</v>
      </c>
      <c r="T48" s="6">
        <v>38109.43</v>
      </c>
      <c r="U48" s="56">
        <v>45292</v>
      </c>
      <c r="V48" s="59">
        <f t="shared" si="18"/>
        <v>141.3738019169329</v>
      </c>
      <c r="W48" s="59">
        <f t="shared" si="19"/>
        <v>118.59383856671697</v>
      </c>
      <c r="X48" s="59">
        <f t="shared" si="20"/>
        <v>111.93374051399876</v>
      </c>
      <c r="Y48" s="59">
        <f t="shared" si="14"/>
        <v>112.50066051952999</v>
      </c>
    </row>
    <row r="49" spans="12:25" x14ac:dyDescent="0.25">
      <c r="L49" s="48" t="s">
        <v>101</v>
      </c>
      <c r="M49" s="49">
        <f>-(G40-B40)</f>
        <v>-44.233960728434681</v>
      </c>
      <c r="P49" s="56">
        <v>45323</v>
      </c>
      <c r="Q49" s="6">
        <v>179.66</v>
      </c>
      <c r="R49" s="6">
        <v>5137.08</v>
      </c>
      <c r="S49" s="6">
        <v>16274.94</v>
      </c>
      <c r="T49" s="6">
        <v>39087.379999999997</v>
      </c>
      <c r="U49" s="56">
        <v>45323</v>
      </c>
      <c r="V49" s="59">
        <f t="shared" si="18"/>
        <v>136.66514529134338</v>
      </c>
      <c r="W49" s="59">
        <f t="shared" si="19"/>
        <v>122.86226104176581</v>
      </c>
      <c r="X49" s="59">
        <f t="shared" si="20"/>
        <v>116.56028785304827</v>
      </c>
      <c r="Y49" s="59">
        <f t="shared" si="14"/>
        <v>115.38761057244533</v>
      </c>
    </row>
    <row r="50" spans="12:25" x14ac:dyDescent="0.25">
      <c r="L50" s="52" t="s">
        <v>102</v>
      </c>
      <c r="M50" s="54">
        <f>((B40-G40)/(G40))</f>
        <v>-0.16249260377894839</v>
      </c>
      <c r="P50" s="56">
        <v>45352</v>
      </c>
      <c r="Q50" s="6">
        <v>171.48</v>
      </c>
      <c r="R50" s="6">
        <v>5234.18</v>
      </c>
      <c r="S50" s="6">
        <v>16428.82</v>
      </c>
      <c r="T50" s="6">
        <v>39807.370000000003</v>
      </c>
      <c r="U50" s="56">
        <v>45352</v>
      </c>
      <c r="V50" s="59">
        <f t="shared" si="18"/>
        <v>130.44272021907804</v>
      </c>
      <c r="W50" s="59">
        <f t="shared" si="19"/>
        <v>125.18457752255947</v>
      </c>
      <c r="X50" s="59">
        <f t="shared" si="20"/>
        <v>117.66236854242882</v>
      </c>
      <c r="Y50" s="59">
        <f t="shared" si="14"/>
        <v>117.51305171831021</v>
      </c>
    </row>
    <row r="51" spans="12:25" x14ac:dyDescent="0.25">
      <c r="P51" s="56">
        <v>45383</v>
      </c>
      <c r="Q51" s="6">
        <v>165</v>
      </c>
      <c r="R51" s="6">
        <v>4967.2299999999996</v>
      </c>
      <c r="S51" s="6">
        <v>15282.01</v>
      </c>
      <c r="T51" s="6">
        <v>37986.400000000001</v>
      </c>
      <c r="U51" s="56">
        <v>45383</v>
      </c>
      <c r="V51" s="59">
        <f>(Q51/$Q$15)*100</f>
        <v>125.51346417161113</v>
      </c>
      <c r="W51" s="59">
        <f>(R51/$R$15)*100</f>
        <v>118.80000095667</v>
      </c>
      <c r="X51" s="59">
        <f>(S51/$S$15)*100</f>
        <v>109.44897397920744</v>
      </c>
      <c r="Y51" s="59">
        <f>(T51/$T$15)*100</f>
        <v>112.13747071942754</v>
      </c>
    </row>
    <row r="52" spans="12:25" x14ac:dyDescent="0.25">
      <c r="P52" s="56">
        <v>45413</v>
      </c>
      <c r="Q52" s="6">
        <v>189.87</v>
      </c>
      <c r="R52" s="6">
        <v>5277.51</v>
      </c>
      <c r="S52" s="6">
        <v>16735.02</v>
      </c>
      <c r="T52" s="6">
        <v>38686.32</v>
      </c>
      <c r="U52" s="56">
        <v>45413</v>
      </c>
      <c r="V52" s="59">
        <f t="shared" ref="V52:V62" si="21">(Q52/$Q$15)*100</f>
        <v>144.43176631675036</v>
      </c>
      <c r="W52" s="59">
        <f t="shared" ref="W52:W62" si="22">(R52/$R$15)*100</f>
        <v>126.2208903249569</v>
      </c>
      <c r="X52" s="59">
        <f t="shared" ref="X52:X62" si="23">(S52/$S$15)*100</f>
        <v>119.85535728098044</v>
      </c>
      <c r="Y52" s="59">
        <f t="shared" ref="Y52:Y62" si="24">(T52/$T$15)*100</f>
        <v>114.20366437046954</v>
      </c>
    </row>
    <row r="53" spans="12:25" x14ac:dyDescent="0.25">
      <c r="P53" s="56">
        <v>45444</v>
      </c>
      <c r="Q53" s="6">
        <v>207.49</v>
      </c>
      <c r="R53" s="6">
        <v>5464.62</v>
      </c>
      <c r="S53" s="6">
        <v>17689.36</v>
      </c>
      <c r="T53" s="6">
        <v>39150.33</v>
      </c>
      <c r="U53" s="56">
        <v>45444</v>
      </c>
      <c r="V53" s="59">
        <f t="shared" si="21"/>
        <v>157.83508291495511</v>
      </c>
      <c r="W53" s="59">
        <f t="shared" si="22"/>
        <v>130.69595352497026</v>
      </c>
      <c r="X53" s="59">
        <f t="shared" si="23"/>
        <v>126.69029154861389</v>
      </c>
      <c r="Y53" s="59">
        <f t="shared" si="24"/>
        <v>115.57344165361619</v>
      </c>
    </row>
    <row r="54" spans="12:25" x14ac:dyDescent="0.25">
      <c r="P54" s="56">
        <v>45474</v>
      </c>
      <c r="Q54" s="6">
        <v>219.86</v>
      </c>
      <c r="R54" s="6">
        <v>5459.1</v>
      </c>
      <c r="S54" s="6">
        <v>17357.88</v>
      </c>
      <c r="T54" s="6">
        <v>40287.53</v>
      </c>
      <c r="U54" s="56">
        <v>45474</v>
      </c>
      <c r="V54" s="59">
        <f t="shared" si="21"/>
        <v>167.24478928951771</v>
      </c>
      <c r="W54" s="59">
        <f t="shared" si="22"/>
        <v>130.56393306179851</v>
      </c>
      <c r="X54" s="59">
        <f t="shared" si="23"/>
        <v>124.31624874307798</v>
      </c>
      <c r="Y54" s="59">
        <f t="shared" si="24"/>
        <v>118.93050448931876</v>
      </c>
    </row>
    <row r="55" spans="12:25" x14ac:dyDescent="0.25">
      <c r="P55" s="56">
        <v>45505</v>
      </c>
      <c r="Q55" s="6">
        <v>226.84</v>
      </c>
      <c r="R55" s="6">
        <v>5648.4</v>
      </c>
      <c r="S55" s="6">
        <v>17877.79</v>
      </c>
      <c r="T55" s="6">
        <v>41175.08</v>
      </c>
      <c r="U55" s="56">
        <v>45505</v>
      </c>
      <c r="V55" s="59">
        <f t="shared" si="21"/>
        <v>172.5543891678077</v>
      </c>
      <c r="W55" s="59">
        <f t="shared" si="22"/>
        <v>135.09137394557024</v>
      </c>
      <c r="X55" s="59">
        <f t="shared" si="23"/>
        <v>128.03981757083884</v>
      </c>
      <c r="Y55" s="59">
        <f t="shared" si="24"/>
        <v>121.55058989191096</v>
      </c>
    </row>
    <row r="56" spans="12:25" x14ac:dyDescent="0.25">
      <c r="P56" s="56">
        <v>45536</v>
      </c>
      <c r="Q56" s="6">
        <v>226.8</v>
      </c>
      <c r="R56" s="6">
        <v>5751.07</v>
      </c>
      <c r="S56" s="6">
        <v>18137.849999999999</v>
      </c>
      <c r="T56" s="6">
        <v>42313</v>
      </c>
      <c r="U56" s="56">
        <v>45536</v>
      </c>
      <c r="V56" s="59">
        <f t="shared" si="21"/>
        <v>172.52396166134184</v>
      </c>
      <c r="W56" s="59">
        <f t="shared" si="22"/>
        <v>137.54690672706442</v>
      </c>
      <c r="X56" s="59">
        <f t="shared" si="23"/>
        <v>129.90235398934874</v>
      </c>
      <c r="Y56" s="59">
        <f t="shared" si="24"/>
        <v>124.90977819827984</v>
      </c>
    </row>
    <row r="57" spans="12:25" x14ac:dyDescent="0.25">
      <c r="P57" s="56">
        <v>45566</v>
      </c>
      <c r="Q57" s="6">
        <v>231.41</v>
      </c>
      <c r="R57" s="6">
        <v>5728.8</v>
      </c>
      <c r="S57" s="6">
        <v>18518.61</v>
      </c>
      <c r="T57" s="6">
        <v>42052.19</v>
      </c>
      <c r="U57" s="56">
        <v>45566</v>
      </c>
      <c r="V57" s="59">
        <f t="shared" si="21"/>
        <v>176.03073178153048</v>
      </c>
      <c r="W57" s="59">
        <f t="shared" si="22"/>
        <v>137.01428069176808</v>
      </c>
      <c r="X57" s="59">
        <f t="shared" si="23"/>
        <v>132.62933763432235</v>
      </c>
      <c r="Y57" s="59">
        <f t="shared" si="24"/>
        <v>124.13985596984193</v>
      </c>
    </row>
    <row r="58" spans="12:25" x14ac:dyDescent="0.25">
      <c r="P58" s="56">
        <v>45597</v>
      </c>
      <c r="Q58" s="6">
        <v>237.33</v>
      </c>
      <c r="R58" s="6">
        <v>5969.34</v>
      </c>
      <c r="S58" s="6">
        <v>19003.650000000001</v>
      </c>
      <c r="T58" s="6">
        <v>44296.51</v>
      </c>
      <c r="U58" s="56">
        <v>45597</v>
      </c>
      <c r="V58" s="59">
        <f>(Q58/$Q$15)*100</f>
        <v>180.53400273847558</v>
      </c>
      <c r="W58" s="59">
        <f t="shared" si="22"/>
        <v>142.76721587498236</v>
      </c>
      <c r="X58" s="59">
        <f t="shared" si="23"/>
        <v>136.10316930560609</v>
      </c>
      <c r="Y58" s="59">
        <f t="shared" si="24"/>
        <v>130.76518420007767</v>
      </c>
    </row>
    <row r="59" spans="12:25" x14ac:dyDescent="0.25">
      <c r="P59" s="56">
        <v>45627</v>
      </c>
      <c r="Q59" s="6">
        <v>243.36</v>
      </c>
      <c r="R59" s="6">
        <v>5942.47</v>
      </c>
      <c r="S59" s="6">
        <v>19722.03</v>
      </c>
      <c r="T59" s="6">
        <v>42840.26</v>
      </c>
      <c r="U59" s="56">
        <v>45627</v>
      </c>
      <c r="V59" s="59">
        <f t="shared" si="21"/>
        <v>185.12094933820174</v>
      </c>
      <c r="W59" s="59">
        <f t="shared" si="22"/>
        <v>142.12457278704287</v>
      </c>
      <c r="X59" s="59">
        <f t="shared" si="23"/>
        <v>141.24817012206825</v>
      </c>
      <c r="Y59" s="59">
        <f t="shared" si="24"/>
        <v>126.46627217537497</v>
      </c>
    </row>
    <row r="60" spans="12:25" x14ac:dyDescent="0.25">
      <c r="P60" s="56">
        <v>45658</v>
      </c>
      <c r="Q60" s="6">
        <v>229.98</v>
      </c>
      <c r="R60" s="6">
        <v>6040.53</v>
      </c>
      <c r="S60" s="6">
        <v>19627.439999999999</v>
      </c>
      <c r="T60" s="6">
        <v>44424.25</v>
      </c>
      <c r="U60" s="56">
        <v>45658</v>
      </c>
      <c r="V60" s="59">
        <f t="shared" si="21"/>
        <v>174.94294842537653</v>
      </c>
      <c r="W60" s="59">
        <f t="shared" si="22"/>
        <v>144.46984934838812</v>
      </c>
      <c r="X60" s="59">
        <f t="shared" si="23"/>
        <v>140.57072138013618</v>
      </c>
      <c r="Y60" s="59">
        <f t="shared" si="24"/>
        <v>131.14227812078875</v>
      </c>
    </row>
    <row r="61" spans="12:25" x14ac:dyDescent="0.25">
      <c r="P61" s="56">
        <v>45689</v>
      </c>
      <c r="Q61" s="6">
        <v>245.55</v>
      </c>
      <c r="R61" s="6">
        <v>5954.5</v>
      </c>
      <c r="S61" s="6">
        <v>19524.009999999998</v>
      </c>
      <c r="T61" s="6">
        <v>43840.91</v>
      </c>
      <c r="U61" s="56">
        <v>45689</v>
      </c>
      <c r="V61" s="59">
        <f t="shared" si="21"/>
        <v>186.78685531720674</v>
      </c>
      <c r="W61" s="59">
        <f t="shared" si="22"/>
        <v>142.41229129645529</v>
      </c>
      <c r="X61" s="59">
        <f t="shared" si="23"/>
        <v>139.82996101035044</v>
      </c>
      <c r="Y61" s="59">
        <f t="shared" si="24"/>
        <v>129.42023359513033</v>
      </c>
    </row>
    <row r="62" spans="12:25" x14ac:dyDescent="0.25">
      <c r="P62" s="56">
        <v>45717</v>
      </c>
      <c r="Q62" s="6">
        <v>217.9</v>
      </c>
      <c r="R62" s="6">
        <v>5074.08</v>
      </c>
      <c r="S62" s="6">
        <v>15587.79</v>
      </c>
      <c r="T62" s="6">
        <v>38314.86</v>
      </c>
      <c r="U62" s="56">
        <v>45717</v>
      </c>
      <c r="V62" s="59">
        <f t="shared" si="21"/>
        <v>165.75384147269131</v>
      </c>
      <c r="W62" s="59">
        <f t="shared" si="22"/>
        <v>121.35550575556601</v>
      </c>
      <c r="X62" s="59">
        <f t="shared" si="23"/>
        <v>111.63895469924113</v>
      </c>
      <c r="Y62" s="59">
        <f t="shared" si="24"/>
        <v>113.10709862921904</v>
      </c>
    </row>
    <row r="63" spans="12:25" x14ac:dyDescent="0.25">
      <c r="P63" s="56">
        <v>45748</v>
      </c>
      <c r="Q63" s="6">
        <v>209.28</v>
      </c>
      <c r="R63" s="6">
        <v>5282.7</v>
      </c>
      <c r="S63" s="6">
        <v>16286.45</v>
      </c>
      <c r="T63" s="6">
        <v>39142.230000000003</v>
      </c>
      <c r="U63" s="56">
        <v>45748</v>
      </c>
      <c r="V63" s="59">
        <f>(Q63/$Q$15)*100</f>
        <v>159.19671382930167</v>
      </c>
      <c r="W63" s="59">
        <f>(R63/$R$15)*100</f>
        <v>126.34501826043906</v>
      </c>
      <c r="X63" s="59">
        <f>(S63/$S$15)*100</f>
        <v>116.64272188433739</v>
      </c>
      <c r="Y63" s="59">
        <f>(T63/$T$15)*100</f>
        <v>115.54953010862042</v>
      </c>
    </row>
    <row r="64" spans="12:25" x14ac:dyDescent="0.25">
      <c r="P64" s="56">
        <v>45778</v>
      </c>
      <c r="Q64" s="6">
        <v>195.27</v>
      </c>
      <c r="R64" s="6">
        <v>5802.82</v>
      </c>
      <c r="S64" s="6">
        <v>19113.77</v>
      </c>
      <c r="T64" s="6">
        <v>41603.07</v>
      </c>
      <c r="U64" s="56">
        <v>45778</v>
      </c>
      <c r="V64" s="59">
        <f t="shared" ref="V64:V74" si="25">(Q64/$Q$15)*100</f>
        <v>148.53947968963942</v>
      </c>
      <c r="W64" s="59">
        <f t="shared" ref="W64:W74" si="26">(R64/$R$15)*100</f>
        <v>138.78459856929996</v>
      </c>
      <c r="X64" s="59">
        <f t="shared" ref="X64:X74" si="27">(S64/$S$15)*100</f>
        <v>136.89184311321324</v>
      </c>
      <c r="Y64" s="59">
        <f t="shared" ref="Y64:Y74" si="28">(T64/$T$15)*100</f>
        <v>122.81403460089122</v>
      </c>
    </row>
    <row r="65" spans="16:25" x14ac:dyDescent="0.25">
      <c r="P65" s="56">
        <v>45809</v>
      </c>
      <c r="Q65" s="6">
        <v>213.55</v>
      </c>
      <c r="R65" s="6">
        <v>6279.35</v>
      </c>
      <c r="S65" s="6">
        <v>19447.41</v>
      </c>
      <c r="T65" s="6">
        <v>42206.82</v>
      </c>
      <c r="U65" s="56">
        <v>45809</v>
      </c>
      <c r="V65" s="59">
        <f t="shared" si="25"/>
        <v>162.44485014453065</v>
      </c>
      <c r="W65" s="59">
        <f t="shared" si="26"/>
        <v>150.18164772061408</v>
      </c>
      <c r="X65" s="59">
        <f t="shared" si="27"/>
        <v>139.28135572826992</v>
      </c>
      <c r="Y65" s="59">
        <f t="shared" si="28"/>
        <v>124.59633031585381</v>
      </c>
    </row>
    <row r="66" spans="16:25" x14ac:dyDescent="0.25">
      <c r="P66" s="56">
        <v>45839</v>
      </c>
      <c r="Q66" s="6">
        <v>213.88</v>
      </c>
      <c r="R66" s="6">
        <v>6238.01</v>
      </c>
      <c r="S66" s="6">
        <v>20650.13</v>
      </c>
      <c r="T66" s="6">
        <v>44901.919999999998</v>
      </c>
      <c r="U66" s="56">
        <v>45839</v>
      </c>
      <c r="V66" s="59">
        <f t="shared" si="25"/>
        <v>162.69587707287388</v>
      </c>
      <c r="W66" s="59">
        <f t="shared" si="26"/>
        <v>149.19292925186011</v>
      </c>
      <c r="X66" s="59">
        <f t="shared" si="27"/>
        <v>147.89517485181929</v>
      </c>
      <c r="Y66" s="59">
        <f t="shared" si="28"/>
        <v>132.55238030574304</v>
      </c>
    </row>
    <row r="67" spans="16:25" x14ac:dyDescent="0.25">
      <c r="P67" s="56">
        <v>45870</v>
      </c>
      <c r="Q67" s="6">
        <v>232.14</v>
      </c>
      <c r="R67" s="6">
        <v>6460.26</v>
      </c>
      <c r="S67" s="6">
        <v>21496.54</v>
      </c>
      <c r="T67" s="6">
        <v>45544.88</v>
      </c>
      <c r="U67" s="56">
        <v>45870</v>
      </c>
      <c r="V67" s="59">
        <f t="shared" si="25"/>
        <v>176.58603377453215</v>
      </c>
      <c r="W67" s="59">
        <f t="shared" si="26"/>
        <v>154.50842706706496</v>
      </c>
      <c r="X67" s="59">
        <f t="shared" si="27"/>
        <v>153.95711997983196</v>
      </c>
      <c r="Y67" s="59">
        <f t="shared" si="28"/>
        <v>134.45042561074072</v>
      </c>
    </row>
    <row r="68" spans="16:25" x14ac:dyDescent="0.25">
      <c r="P68" s="56">
        <v>45901</v>
      </c>
      <c r="Q68" s="6">
        <v>255.46</v>
      </c>
      <c r="R68" s="6">
        <v>6715.79</v>
      </c>
      <c r="S68" s="6">
        <v>22780.51</v>
      </c>
      <c r="T68" s="6">
        <v>46758.28</v>
      </c>
      <c r="U68" s="56">
        <v>45901</v>
      </c>
      <c r="V68" s="59">
        <f t="shared" si="25"/>
        <v>194.32527004411989</v>
      </c>
      <c r="W68" s="59">
        <f t="shared" si="26"/>
        <v>160.61987434139249</v>
      </c>
      <c r="X68" s="59">
        <f t="shared" si="27"/>
        <v>163.15284744762465</v>
      </c>
      <c r="Y68" s="59">
        <f t="shared" si="28"/>
        <v>138.03243409195909</v>
      </c>
    </row>
    <row r="69" spans="16:25" x14ac:dyDescent="0.25">
      <c r="P69" s="56">
        <v>45931</v>
      </c>
      <c r="Q69" s="6">
        <v>262.82</v>
      </c>
      <c r="R69" s="6">
        <v>6840.2</v>
      </c>
      <c r="S69" s="6">
        <v>23204.87</v>
      </c>
      <c r="T69" s="6">
        <v>47207.12</v>
      </c>
      <c r="U69" s="56">
        <v>45931</v>
      </c>
      <c r="V69" s="59">
        <f t="shared" si="25"/>
        <v>199.92393123383536</v>
      </c>
      <c r="W69" s="59">
        <f t="shared" si="26"/>
        <v>163.59535728037847</v>
      </c>
      <c r="X69" s="59">
        <f t="shared" si="27"/>
        <v>166.19209206255533</v>
      </c>
      <c r="Y69" s="59">
        <f t="shared" si="28"/>
        <v>139.357428888984</v>
      </c>
    </row>
    <row r="70" spans="16:25" x14ac:dyDescent="0.25">
      <c r="P70" s="56">
        <v>45962</v>
      </c>
      <c r="Q70" s="6">
        <v>271.49</v>
      </c>
      <c r="R70" s="6">
        <v>6849.09</v>
      </c>
      <c r="S70" s="6">
        <v>23365.69</v>
      </c>
      <c r="T70" s="6">
        <v>46245.41</v>
      </c>
      <c r="U70" s="56">
        <v>45962</v>
      </c>
      <c r="V70" s="59">
        <f t="shared" si="25"/>
        <v>206.51909326030733</v>
      </c>
      <c r="W70" s="59">
        <f t="shared" si="26"/>
        <v>163.80797719298664</v>
      </c>
      <c r="X70" s="59">
        <f t="shared" si="27"/>
        <v>167.3438766769703</v>
      </c>
      <c r="Y70" s="59">
        <f t="shared" si="28"/>
        <v>136.51842000776389</v>
      </c>
    </row>
    <row r="71" spans="16:25" x14ac:dyDescent="0.25">
      <c r="P71" s="56">
        <v>45992</v>
      </c>
      <c r="Q71" s="6">
        <v>271.01</v>
      </c>
      <c r="R71" s="6">
        <v>6929.94</v>
      </c>
      <c r="S71" s="6">
        <v>23593.1</v>
      </c>
      <c r="T71" s="6">
        <v>48134.89</v>
      </c>
      <c r="U71" s="56">
        <v>45992</v>
      </c>
      <c r="V71" s="59">
        <f t="shared" si="25"/>
        <v>206.15396318271718</v>
      </c>
      <c r="W71" s="59">
        <f t="shared" si="26"/>
        <v>165.74164647694306</v>
      </c>
      <c r="X71" s="59">
        <f t="shared" si="27"/>
        <v>168.97257546545504</v>
      </c>
      <c r="Y71" s="59">
        <f t="shared" si="28"/>
        <v>142.09624544462929</v>
      </c>
    </row>
    <row r="72" spans="16:25" x14ac:dyDescent="0.25">
      <c r="P72" s="56">
        <v>46023</v>
      </c>
      <c r="Q72" s="6">
        <v>248.04</v>
      </c>
      <c r="R72" s="6">
        <v>6939.03</v>
      </c>
      <c r="S72" s="6">
        <v>23461.82</v>
      </c>
      <c r="T72" s="6">
        <v>49098.71</v>
      </c>
      <c r="U72" s="56">
        <v>46023</v>
      </c>
      <c r="V72" s="59">
        <f t="shared" si="25"/>
        <v>188.68096759470561</v>
      </c>
      <c r="W72" s="59">
        <f t="shared" si="26"/>
        <v>165.95904973966614</v>
      </c>
      <c r="X72" s="59">
        <f t="shared" si="27"/>
        <v>168.0323548201348</v>
      </c>
      <c r="Y72" s="59">
        <f t="shared" si="28"/>
        <v>144.9414831357187</v>
      </c>
    </row>
    <row r="73" spans="16:25" x14ac:dyDescent="0.25">
      <c r="P73" s="56">
        <v>46054</v>
      </c>
      <c r="Q73" s="6">
        <v>264.18</v>
      </c>
      <c r="R73" s="6">
        <v>6909.51</v>
      </c>
      <c r="S73" s="6">
        <v>22668.21</v>
      </c>
      <c r="T73" s="6">
        <v>48977.919999999998</v>
      </c>
      <c r="U73" s="56">
        <v>46054</v>
      </c>
      <c r="V73" s="59">
        <f t="shared" si="25"/>
        <v>200.95846645367411</v>
      </c>
      <c r="W73" s="59">
        <f t="shared" si="26"/>
        <v>165.25302726270399</v>
      </c>
      <c r="X73" s="59">
        <f t="shared" si="27"/>
        <v>162.34856059151969</v>
      </c>
      <c r="Y73" s="59">
        <f t="shared" si="28"/>
        <v>144.58490591102247</v>
      </c>
    </row>
    <row r="74" spans="16:25" x14ac:dyDescent="0.25">
      <c r="P74" s="56">
        <v>46082</v>
      </c>
      <c r="Q74" s="6">
        <v>247.99</v>
      </c>
      <c r="R74" s="6">
        <v>6368.85</v>
      </c>
      <c r="S74" s="6">
        <v>20948.36</v>
      </c>
      <c r="T74" s="6">
        <v>45577.47</v>
      </c>
      <c r="U74" s="56">
        <v>46082</v>
      </c>
      <c r="V74" s="59">
        <f t="shared" si="25"/>
        <v>188.6429332116233</v>
      </c>
      <c r="W74" s="59">
        <f t="shared" si="26"/>
        <v>152.32219689704078</v>
      </c>
      <c r="X74" s="59">
        <f t="shared" si="27"/>
        <v>150.03108285801866</v>
      </c>
      <c r="Y74" s="59">
        <f t="shared" si="28"/>
        <v>134.54663267881631</v>
      </c>
    </row>
    <row r="75" spans="16:25" x14ac:dyDescent="0.25">
      <c r="P75" s="56">
        <v>46113</v>
      </c>
      <c r="Q75" s="60">
        <v>271.06</v>
      </c>
      <c r="R75" s="6">
        <v>7123.06</v>
      </c>
      <c r="S75" s="6">
        <v>24468.48</v>
      </c>
      <c r="T75" s="6">
        <v>49447.43</v>
      </c>
      <c r="U75" s="56">
        <v>46113</v>
      </c>
      <c r="V75" s="59">
        <f>(Q75/$Q$15)*100</f>
        <v>206.19199756579948</v>
      </c>
      <c r="W75" s="59">
        <f>(R75/$R$15)*100</f>
        <v>170.36044934790979</v>
      </c>
      <c r="X75" s="59">
        <f>(S75/$S$15)*100</f>
        <v>175.24200225171671</v>
      </c>
      <c r="Y75" s="59">
        <f>(T75/$T$15)*100</f>
        <v>145.97091942842553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269C-BEEA-4C83-B874-8EFF228A0CC5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1.42578125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4" customFormat="1" ht="33.75" x14ac:dyDescent="0.5">
      <c r="A1" s="23" t="s">
        <v>0</v>
      </c>
    </row>
    <row r="3" spans="1:26" s="1" customFormat="1" ht="21" x14ac:dyDescent="0.35">
      <c r="A3" s="2" t="s">
        <v>65</v>
      </c>
    </row>
    <row r="5" spans="1:26" x14ac:dyDescent="0.25">
      <c r="A5" s="31" t="s">
        <v>1</v>
      </c>
      <c r="B5" s="32"/>
      <c r="C5" s="33"/>
      <c r="P5" t="s">
        <v>60</v>
      </c>
    </row>
    <row r="6" spans="1:26" x14ac:dyDescent="0.25">
      <c r="A6" s="34" t="s">
        <v>2</v>
      </c>
      <c r="B6" s="35">
        <v>0.17</v>
      </c>
      <c r="C6" s="36"/>
      <c r="P6" t="s">
        <v>61</v>
      </c>
      <c r="Q6" t="s">
        <v>62</v>
      </c>
      <c r="S6" t="s">
        <v>63</v>
      </c>
      <c r="T6" t="s">
        <v>64</v>
      </c>
    </row>
    <row r="7" spans="1:26" x14ac:dyDescent="0.25">
      <c r="A7" s="34" t="s">
        <v>3</v>
      </c>
      <c r="B7" s="44">
        <v>0.1028</v>
      </c>
      <c r="C7" s="36"/>
      <c r="P7">
        <v>2026</v>
      </c>
      <c r="Q7" s="22">
        <f>D28</f>
        <v>84896844000</v>
      </c>
      <c r="R7" s="22"/>
      <c r="S7" t="s">
        <v>42</v>
      </c>
      <c r="T7" s="14">
        <f>B40</f>
        <v>122.40481380514618</v>
      </c>
    </row>
    <row r="8" spans="1:26" x14ac:dyDescent="0.25">
      <c r="A8" s="34" t="s">
        <v>4</v>
      </c>
      <c r="B8" s="44">
        <v>2.5000000000000001E-2</v>
      </c>
      <c r="C8" s="36"/>
      <c r="P8">
        <v>2027</v>
      </c>
      <c r="Q8" s="22">
        <f>E28</f>
        <v>93386528400</v>
      </c>
      <c r="R8" s="22"/>
      <c r="S8" t="s">
        <v>79</v>
      </c>
      <c r="T8" s="14">
        <v>148.6</v>
      </c>
    </row>
    <row r="9" spans="1:26" x14ac:dyDescent="0.25">
      <c r="A9" s="34" t="s">
        <v>5</v>
      </c>
      <c r="B9" s="37" t="s">
        <v>91</v>
      </c>
      <c r="C9" s="36"/>
      <c r="P9">
        <v>2028</v>
      </c>
      <c r="Q9" s="22">
        <f>F28</f>
        <v>101791315956.00002</v>
      </c>
      <c r="R9" s="22"/>
      <c r="S9" t="s">
        <v>8</v>
      </c>
      <c r="T9" s="14">
        <f>B12</f>
        <v>271</v>
      </c>
    </row>
    <row r="10" spans="1:26" x14ac:dyDescent="0.25">
      <c r="A10" s="34" t="s">
        <v>6</v>
      </c>
      <c r="B10" s="38">
        <v>46142</v>
      </c>
      <c r="C10" s="36"/>
      <c r="P10">
        <v>2029</v>
      </c>
      <c r="Q10" s="22">
        <f>G28</f>
        <v>112988360711.16005</v>
      </c>
      <c r="R10" s="22"/>
    </row>
    <row r="11" spans="1:26" x14ac:dyDescent="0.25">
      <c r="A11" s="34" t="s">
        <v>7</v>
      </c>
      <c r="B11" s="38">
        <v>46291</v>
      </c>
      <c r="C11" s="36"/>
      <c r="P11">
        <v>2030</v>
      </c>
      <c r="Q11" s="22">
        <f>H28</f>
        <v>120897545960.94125</v>
      </c>
      <c r="R11" s="22"/>
    </row>
    <row r="12" spans="1:26" x14ac:dyDescent="0.25">
      <c r="A12" s="34" t="s">
        <v>8</v>
      </c>
      <c r="B12" s="39">
        <v>271</v>
      </c>
      <c r="C12" s="36" t="s">
        <v>86</v>
      </c>
      <c r="P12">
        <v>2031</v>
      </c>
      <c r="Q12" s="22">
        <f>I28</f>
        <v>126942423258.98828</v>
      </c>
      <c r="R12" s="22"/>
    </row>
    <row r="13" spans="1:26" x14ac:dyDescent="0.25">
      <c r="A13" s="34" t="s">
        <v>9</v>
      </c>
      <c r="B13" s="40">
        <v>14500000000</v>
      </c>
      <c r="C13" s="36"/>
    </row>
    <row r="14" spans="1:26" x14ac:dyDescent="0.25">
      <c r="A14" s="34" t="s">
        <v>10</v>
      </c>
      <c r="B14" s="39">
        <v>84710000000</v>
      </c>
      <c r="C14" s="36"/>
      <c r="P14" s="6" t="s">
        <v>16</v>
      </c>
      <c r="Q14" s="6" t="s">
        <v>75</v>
      </c>
      <c r="R14" s="6" t="s">
        <v>66</v>
      </c>
      <c r="S14" s="6" t="s">
        <v>72</v>
      </c>
      <c r="T14" s="6" t="s">
        <v>67</v>
      </c>
      <c r="U14" s="6" t="s">
        <v>16</v>
      </c>
      <c r="V14" s="6" t="s">
        <v>80</v>
      </c>
      <c r="W14" s="6" t="s">
        <v>68</v>
      </c>
      <c r="X14" s="6" t="s">
        <v>73</v>
      </c>
      <c r="Y14" s="6" t="s">
        <v>69</v>
      </c>
      <c r="Z14" t="s">
        <v>70</v>
      </c>
    </row>
    <row r="15" spans="1:26" x14ac:dyDescent="0.25">
      <c r="A15" s="34" t="s">
        <v>11</v>
      </c>
      <c r="B15" s="39">
        <v>67000000000</v>
      </c>
      <c r="C15" s="36"/>
      <c r="P15" s="56">
        <v>44287</v>
      </c>
      <c r="Q15" s="57">
        <v>131.46</v>
      </c>
      <c r="R15" s="6">
        <v>4181.17</v>
      </c>
      <c r="S15" s="6">
        <v>13962.68</v>
      </c>
      <c r="T15" s="6">
        <v>33874.85</v>
      </c>
      <c r="U15" s="56">
        <v>44287</v>
      </c>
      <c r="V15" s="58">
        <f t="shared" ref="V15:V26" si="0">(Q15/$Q$15)*100</f>
        <v>100</v>
      </c>
      <c r="W15" s="58">
        <f t="shared" ref="W15:W26" si="1">(R15/$R$15)*100</f>
        <v>100</v>
      </c>
      <c r="X15" s="58">
        <f t="shared" ref="X15:X26" si="2">(S15/$S$15)*100</f>
        <v>100</v>
      </c>
      <c r="Y15" s="58">
        <f t="shared" ref="Y15:Y26" si="3">(T15/$T$15)*100</f>
        <v>100</v>
      </c>
      <c r="Z15" t="s">
        <v>71</v>
      </c>
    </row>
    <row r="16" spans="1:26" x14ac:dyDescent="0.25">
      <c r="A16" s="34" t="s">
        <v>12</v>
      </c>
      <c r="B16" s="39" t="s">
        <v>97</v>
      </c>
      <c r="C16" s="36"/>
      <c r="P16" s="56">
        <v>44317</v>
      </c>
      <c r="Q16" s="6">
        <v>125.89</v>
      </c>
      <c r="R16" s="6">
        <v>4229.8900000000003</v>
      </c>
      <c r="S16" s="6">
        <v>13814.49</v>
      </c>
      <c r="T16" s="6">
        <v>34529.449999999997</v>
      </c>
      <c r="U16" s="56">
        <v>44317</v>
      </c>
      <c r="V16" s="59">
        <f t="shared" si="0"/>
        <v>95.762969724631063</v>
      </c>
      <c r="W16" s="59">
        <f t="shared" si="1"/>
        <v>101.16522408799452</v>
      </c>
      <c r="X16" s="59">
        <f t="shared" si="2"/>
        <v>98.938670799588607</v>
      </c>
      <c r="Y16" s="59">
        <f t="shared" si="3"/>
        <v>101.93240708076937</v>
      </c>
      <c r="Z16" t="s">
        <v>81</v>
      </c>
    </row>
    <row r="17" spans="1:25" x14ac:dyDescent="0.25">
      <c r="A17" s="41" t="s">
        <v>89</v>
      </c>
      <c r="B17" s="42"/>
      <c r="C17" s="43"/>
      <c r="P17" s="56">
        <v>44348</v>
      </c>
      <c r="Q17" s="6">
        <v>133.11000000000001</v>
      </c>
      <c r="R17" s="6">
        <v>4352.34</v>
      </c>
      <c r="S17" s="6">
        <v>14639.33</v>
      </c>
      <c r="T17" s="6">
        <v>34433.839999999997</v>
      </c>
      <c r="U17" s="56">
        <v>44348</v>
      </c>
      <c r="V17" s="59">
        <f t="shared" si="0"/>
        <v>101.25513464171611</v>
      </c>
      <c r="W17" s="59">
        <f t="shared" si="1"/>
        <v>104.09383019585428</v>
      </c>
      <c r="X17" s="59">
        <f t="shared" si="2"/>
        <v>104.84613269085877</v>
      </c>
      <c r="Y17" s="59">
        <f t="shared" si="3"/>
        <v>101.65016228854149</v>
      </c>
    </row>
    <row r="18" spans="1:25" x14ac:dyDescent="0.25">
      <c r="P18" s="56">
        <v>44378</v>
      </c>
      <c r="Q18" s="6">
        <v>148.56</v>
      </c>
      <c r="R18" s="6">
        <v>4395.26</v>
      </c>
      <c r="S18" s="6">
        <v>14672.68</v>
      </c>
      <c r="T18" s="6">
        <v>35061.550000000003</v>
      </c>
      <c r="U18" s="56">
        <v>44378</v>
      </c>
      <c r="V18" s="59">
        <f t="shared" si="0"/>
        <v>113.00775901414879</v>
      </c>
      <c r="W18" s="59">
        <f t="shared" si="1"/>
        <v>105.12033713051609</v>
      </c>
      <c r="X18" s="59">
        <f t="shared" si="2"/>
        <v>105.08498368508053</v>
      </c>
      <c r="Y18" s="59">
        <f t="shared" si="3"/>
        <v>103.50318894401009</v>
      </c>
    </row>
    <row r="19" spans="1:25" x14ac:dyDescent="0.25">
      <c r="A19" s="10" t="s">
        <v>44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44409</v>
      </c>
      <c r="Q19" s="6">
        <v>148.6</v>
      </c>
      <c r="R19" s="6">
        <v>4509.37</v>
      </c>
      <c r="S19" s="6">
        <v>14714.66</v>
      </c>
      <c r="T19" s="6">
        <v>35120.080000000002</v>
      </c>
      <c r="U19" s="56">
        <v>44409</v>
      </c>
      <c r="V19" s="59">
        <f t="shared" si="0"/>
        <v>113.03818652061462</v>
      </c>
      <c r="W19" s="59">
        <f t="shared" si="1"/>
        <v>107.8494775385837</v>
      </c>
      <c r="X19" s="59">
        <f t="shared" si="2"/>
        <v>105.38564229789695</v>
      </c>
      <c r="Y19" s="59">
        <f t="shared" si="3"/>
        <v>103.67597199692398</v>
      </c>
    </row>
    <row r="20" spans="1:25" x14ac:dyDescent="0.25">
      <c r="A20" t="s">
        <v>16</v>
      </c>
      <c r="C20" s="7">
        <v>46142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1">
        <f>I28*(1+B8)/(B7-B8)</f>
        <v>1672441951676.9019</v>
      </c>
      <c r="P20" s="56">
        <v>44440</v>
      </c>
      <c r="Q20" s="6">
        <v>142.65</v>
      </c>
      <c r="R20" s="6">
        <v>4455.4799999999996</v>
      </c>
      <c r="S20" s="6">
        <v>15047.7</v>
      </c>
      <c r="T20" s="6">
        <v>34326.46</v>
      </c>
      <c r="U20" s="56">
        <v>44440</v>
      </c>
      <c r="V20" s="59">
        <f t="shared" si="0"/>
        <v>108.51209493382017</v>
      </c>
      <c r="W20" s="59">
        <f t="shared" si="1"/>
        <v>106.5606038501185</v>
      </c>
      <c r="X20" s="59">
        <f t="shared" si="2"/>
        <v>107.77085774364235</v>
      </c>
      <c r="Y20" s="59">
        <f t="shared" si="3"/>
        <v>101.33317195500497</v>
      </c>
    </row>
    <row r="21" spans="1:25" x14ac:dyDescent="0.25">
      <c r="A21" t="s">
        <v>18</v>
      </c>
      <c r="B21" t="s">
        <v>74</v>
      </c>
      <c r="C21" s="28"/>
      <c r="D21" s="5">
        <v>416161000000</v>
      </c>
      <c r="E21" s="5">
        <f>D21*1.1</f>
        <v>457777100000.00006</v>
      </c>
      <c r="F21" s="5">
        <f>E21*1.09</f>
        <v>498977039000.00012</v>
      </c>
      <c r="G21" s="5">
        <f>F21*1.11</f>
        <v>553864513290.00024</v>
      </c>
      <c r="H21" s="5">
        <f>G21*1.07</f>
        <v>592635029220.30029</v>
      </c>
      <c r="I21" s="5">
        <f>H21*1.05</f>
        <v>622266780681.31531</v>
      </c>
      <c r="L21" t="s">
        <v>19</v>
      </c>
      <c r="M21" s="11">
        <f>(I22+I25)*23</f>
        <v>4508322826036.1289</v>
      </c>
      <c r="P21" s="56">
        <v>44470</v>
      </c>
      <c r="Q21" s="6">
        <v>149.80000000000001</v>
      </c>
      <c r="R21" s="6">
        <v>4544.8999999999996</v>
      </c>
      <c r="S21" s="6">
        <v>15498.39</v>
      </c>
      <c r="T21" s="6">
        <v>35677.019999999997</v>
      </c>
      <c r="U21" s="56">
        <v>44470</v>
      </c>
      <c r="V21" s="59">
        <f t="shared" si="0"/>
        <v>113.95101171459</v>
      </c>
      <c r="W21" s="59">
        <f t="shared" si="1"/>
        <v>108.69923968649921</v>
      </c>
      <c r="X21" s="59">
        <f t="shared" si="2"/>
        <v>110.99867647185211</v>
      </c>
      <c r="Y21" s="59">
        <f t="shared" si="3"/>
        <v>105.32008259815173</v>
      </c>
    </row>
    <row r="22" spans="1:25" x14ac:dyDescent="0.25">
      <c r="A22" t="s">
        <v>20</v>
      </c>
      <c r="B22" t="s">
        <v>96</v>
      </c>
      <c r="C22" s="29">
        <v>0.3</v>
      </c>
      <c r="D22" s="5">
        <f>D21*$C$22</f>
        <v>124848300000</v>
      </c>
      <c r="E22" s="5">
        <f t="shared" ref="E22:I22" si="4">E21*$C$22</f>
        <v>137333130000.00002</v>
      </c>
      <c r="F22" s="5">
        <f t="shared" si="4"/>
        <v>149693111700.00003</v>
      </c>
      <c r="G22" s="5">
        <f t="shared" si="4"/>
        <v>166159353987.00006</v>
      </c>
      <c r="H22" s="5">
        <f t="shared" si="4"/>
        <v>177790508766.09009</v>
      </c>
      <c r="I22" s="5">
        <f t="shared" si="4"/>
        <v>186680034204.39459</v>
      </c>
      <c r="L22" t="s">
        <v>21</v>
      </c>
      <c r="M22" s="11">
        <f>(M20+M21)/2</f>
        <v>3090382388856.5156</v>
      </c>
      <c r="P22" s="56">
        <v>44501</v>
      </c>
      <c r="Q22" s="6">
        <v>156.81</v>
      </c>
      <c r="R22" s="6">
        <v>4594.62</v>
      </c>
      <c r="S22" s="6">
        <v>15085.47</v>
      </c>
      <c r="T22" s="6">
        <v>34889.339999999997</v>
      </c>
      <c r="U22" s="56">
        <v>44501</v>
      </c>
      <c r="V22" s="59">
        <f t="shared" si="0"/>
        <v>119.28343222272935</v>
      </c>
      <c r="W22" s="59">
        <f t="shared" si="1"/>
        <v>109.88838052506833</v>
      </c>
      <c r="X22" s="59">
        <f t="shared" si="2"/>
        <v>108.04136455179092</v>
      </c>
      <c r="Y22" s="59">
        <f t="shared" si="3"/>
        <v>102.99481768922962</v>
      </c>
    </row>
    <row r="23" spans="1:25" x14ac:dyDescent="0.25">
      <c r="A23" t="s">
        <v>22</v>
      </c>
      <c r="B23" t="s">
        <v>23</v>
      </c>
      <c r="C23" s="29"/>
      <c r="D23" s="5">
        <f>D22*$B$6</f>
        <v>21224211000</v>
      </c>
      <c r="E23" s="5">
        <f t="shared" ref="E23:I23" si="5">E22*$B$6</f>
        <v>23346632100.000004</v>
      </c>
      <c r="F23" s="5">
        <f t="shared" si="5"/>
        <v>25447828989.000008</v>
      </c>
      <c r="G23" s="5">
        <f t="shared" si="5"/>
        <v>28247090177.790012</v>
      </c>
      <c r="H23" s="5">
        <f t="shared" si="5"/>
        <v>30224386490.235317</v>
      </c>
      <c r="I23" s="5">
        <f t="shared" si="5"/>
        <v>31735605814.747082</v>
      </c>
      <c r="P23" s="56">
        <v>44531</v>
      </c>
      <c r="Q23" s="6">
        <v>177.57</v>
      </c>
      <c r="R23" s="6">
        <v>4766.18</v>
      </c>
      <c r="S23" s="6">
        <v>15653.37</v>
      </c>
      <c r="T23" s="6">
        <v>35950.559999999998</v>
      </c>
      <c r="U23" s="56">
        <v>44531</v>
      </c>
      <c r="V23" s="59">
        <f t="shared" si="0"/>
        <v>135.07530807850293</v>
      </c>
      <c r="W23" s="59">
        <f t="shared" si="1"/>
        <v>113.99153825364672</v>
      </c>
      <c r="X23" s="59">
        <f t="shared" si="2"/>
        <v>112.10863530497011</v>
      </c>
      <c r="Y23" s="59">
        <f t="shared" si="3"/>
        <v>106.12758432878668</v>
      </c>
    </row>
    <row r="24" spans="1:25" x14ac:dyDescent="0.25">
      <c r="A24" t="s">
        <v>24</v>
      </c>
      <c r="B24" t="s">
        <v>25</v>
      </c>
      <c r="C24" s="29"/>
      <c r="D24" s="5">
        <f>D22*(1-$B$6)</f>
        <v>103624089000</v>
      </c>
      <c r="E24" s="5">
        <f t="shared" ref="E24:I24" si="6">E22*(1-$B$6)</f>
        <v>113986497900</v>
      </c>
      <c r="F24" s="5">
        <f t="shared" si="6"/>
        <v>124245282711.00002</v>
      </c>
      <c r="G24" s="5">
        <f t="shared" si="6"/>
        <v>137912263809.21005</v>
      </c>
      <c r="H24" s="5">
        <f t="shared" si="6"/>
        <v>147566122275.85477</v>
      </c>
      <c r="I24" s="5">
        <f t="shared" si="6"/>
        <v>154944428389.64749</v>
      </c>
      <c r="P24" s="56">
        <v>44562</v>
      </c>
      <c r="Q24" s="6">
        <v>172.39</v>
      </c>
      <c r="R24" s="6">
        <v>4500.53</v>
      </c>
      <c r="S24" s="6">
        <v>13770.57</v>
      </c>
      <c r="T24" s="6">
        <v>34725.47</v>
      </c>
      <c r="U24" s="56">
        <v>44562</v>
      </c>
      <c r="V24" s="59">
        <f t="shared" si="0"/>
        <v>131.13494599117601</v>
      </c>
      <c r="W24" s="59">
        <f t="shared" si="1"/>
        <v>107.63805346350424</v>
      </c>
      <c r="X24" s="59">
        <f t="shared" si="2"/>
        <v>98.624118005998838</v>
      </c>
      <c r="Y24" s="59">
        <f t="shared" si="3"/>
        <v>102.51106646966703</v>
      </c>
    </row>
    <row r="25" spans="1:25" x14ac:dyDescent="0.25">
      <c r="A25" s="4" t="s">
        <v>26</v>
      </c>
      <c r="B25" s="8" t="s">
        <v>92</v>
      </c>
      <c r="C25" s="45">
        <v>1.4999999999999999E-2</v>
      </c>
      <c r="D25" s="26">
        <f>D21*$C$25</f>
        <v>6242415000</v>
      </c>
      <c r="E25" s="26">
        <f t="shared" ref="E25:I25" si="7">E21*$C$25</f>
        <v>6866656500.000001</v>
      </c>
      <c r="F25" s="26">
        <f t="shared" si="7"/>
        <v>7484655585.0000019</v>
      </c>
      <c r="G25" s="26">
        <f t="shared" si="7"/>
        <v>8307967699.3500032</v>
      </c>
      <c r="H25" s="26">
        <f t="shared" si="7"/>
        <v>8889525438.3045044</v>
      </c>
      <c r="I25" s="26">
        <f t="shared" si="7"/>
        <v>9334001710.2197285</v>
      </c>
      <c r="P25" s="56">
        <v>44593</v>
      </c>
      <c r="Q25" s="6">
        <v>163.16999999999999</v>
      </c>
      <c r="R25" s="6">
        <v>4384.6499999999996</v>
      </c>
      <c r="S25" s="6">
        <v>13313.44</v>
      </c>
      <c r="T25" s="6">
        <v>34058.75</v>
      </c>
      <c r="U25" s="56">
        <v>44593</v>
      </c>
      <c r="V25" s="59">
        <f t="shared" si="0"/>
        <v>124.12140575079871</v>
      </c>
      <c r="W25" s="59">
        <f t="shared" si="1"/>
        <v>104.86658040691958</v>
      </c>
      <c r="X25" s="59">
        <f t="shared" si="2"/>
        <v>95.350176327180748</v>
      </c>
      <c r="Y25" s="59">
        <f t="shared" si="3"/>
        <v>100.54288063268177</v>
      </c>
    </row>
    <row r="26" spans="1:25" x14ac:dyDescent="0.25">
      <c r="A26" t="s">
        <v>27</v>
      </c>
      <c r="B26" t="s">
        <v>94</v>
      </c>
      <c r="C26" s="29">
        <v>0.04</v>
      </c>
      <c r="D26" s="26">
        <f>D21*$C$26</f>
        <v>16646440000</v>
      </c>
      <c r="E26" s="26">
        <f t="shared" ref="E26:I26" si="8">E21*$C$26</f>
        <v>18311084000.000004</v>
      </c>
      <c r="F26" s="26">
        <f t="shared" si="8"/>
        <v>19959081560.000004</v>
      </c>
      <c r="G26" s="26">
        <f t="shared" si="8"/>
        <v>22154580531.60001</v>
      </c>
      <c r="H26" s="26">
        <f t="shared" si="8"/>
        <v>23705401168.812012</v>
      </c>
      <c r="I26" s="26">
        <f t="shared" si="8"/>
        <v>24890671227.252613</v>
      </c>
      <c r="P26" s="56">
        <v>44621</v>
      </c>
      <c r="Q26" s="6">
        <v>174.31</v>
      </c>
      <c r="R26" s="6">
        <v>4543.0600000000004</v>
      </c>
      <c r="S26" s="6">
        <v>14169.3</v>
      </c>
      <c r="T26" s="6">
        <v>34861.24</v>
      </c>
      <c r="U26" s="56">
        <v>44621</v>
      </c>
      <c r="V26" s="59">
        <f t="shared" si="0"/>
        <v>132.59546630153659</v>
      </c>
      <c r="W26" s="59">
        <f t="shared" si="1"/>
        <v>108.65523286544199</v>
      </c>
      <c r="X26" s="59">
        <f t="shared" si="2"/>
        <v>101.47980187184696</v>
      </c>
      <c r="Y26" s="59">
        <f t="shared" si="3"/>
        <v>102.91186529239245</v>
      </c>
    </row>
    <row r="27" spans="1:25" x14ac:dyDescent="0.25">
      <c r="A27" t="s">
        <v>28</v>
      </c>
      <c r="B27" t="s">
        <v>95</v>
      </c>
      <c r="C27" s="29">
        <v>0.02</v>
      </c>
      <c r="D27" s="26">
        <f>D21*$C$27</f>
        <v>8323220000</v>
      </c>
      <c r="E27" s="26">
        <f t="shared" ref="E27:I27" si="9">E21*$C$27</f>
        <v>9155542000.0000019</v>
      </c>
      <c r="F27" s="26">
        <f t="shared" si="9"/>
        <v>9979540780.0000019</v>
      </c>
      <c r="G27" s="26">
        <f t="shared" si="9"/>
        <v>11077290265.800005</v>
      </c>
      <c r="H27" s="26">
        <f t="shared" si="9"/>
        <v>11852700584.406006</v>
      </c>
      <c r="I27" s="26">
        <f t="shared" si="9"/>
        <v>12445335613.626307</v>
      </c>
      <c r="P27" s="56">
        <v>44652</v>
      </c>
      <c r="Q27" s="59">
        <v>161.79</v>
      </c>
      <c r="R27" s="6">
        <v>4271.78</v>
      </c>
      <c r="S27" s="6">
        <v>12839.29</v>
      </c>
      <c r="T27" s="6">
        <v>33811.4</v>
      </c>
      <c r="U27" s="56">
        <v>44652</v>
      </c>
      <c r="V27" s="59">
        <f>(Q27/$Q$15)*100</f>
        <v>123.07165677772704</v>
      </c>
      <c r="W27" s="59">
        <f>(R27/$R$15)*100</f>
        <v>102.16709676956451</v>
      </c>
      <c r="X27" s="59">
        <f>(S27/$S$15)*100</f>
        <v>91.954338278897751</v>
      </c>
      <c r="Y27" s="59">
        <f>(T27/$T$15)*100</f>
        <v>99.81269289753314</v>
      </c>
    </row>
    <row r="28" spans="1:25" ht="30" x14ac:dyDescent="0.25">
      <c r="A28" s="8" t="s">
        <v>29</v>
      </c>
      <c r="B28" s="9" t="s">
        <v>30</v>
      </c>
      <c r="C28" s="30"/>
      <c r="D28" s="26">
        <f>D24+D25-D26-D27</f>
        <v>84896844000</v>
      </c>
      <c r="E28" s="26">
        <f t="shared" ref="E28:I28" si="10">E24+E25-E26-E27</f>
        <v>93386528400</v>
      </c>
      <c r="F28" s="26">
        <f t="shared" si="10"/>
        <v>101791315956.00002</v>
      </c>
      <c r="G28" s="26">
        <f t="shared" si="10"/>
        <v>112988360711.16005</v>
      </c>
      <c r="H28" s="26">
        <f t="shared" si="10"/>
        <v>120897545960.94125</v>
      </c>
      <c r="I28" s="26">
        <f t="shared" si="10"/>
        <v>126942423258.98828</v>
      </c>
      <c r="P28" s="56">
        <v>44682</v>
      </c>
      <c r="Q28" s="6">
        <v>149.63999999999999</v>
      </c>
      <c r="R28" s="6">
        <v>4158.24</v>
      </c>
      <c r="S28" s="6">
        <v>11354.62</v>
      </c>
      <c r="T28" s="6">
        <v>33212.959999999999</v>
      </c>
      <c r="U28" s="56">
        <v>44682</v>
      </c>
      <c r="V28" s="59">
        <f t="shared" ref="V28:V38" si="11">(Q28/$Q$15)*100</f>
        <v>113.82930168872659</v>
      </c>
      <c r="W28" s="59">
        <f t="shared" ref="W28:W38" si="12">(R28/$R$15)*100</f>
        <v>99.451588909324414</v>
      </c>
      <c r="X28" s="59">
        <f t="shared" ref="X28:X38" si="13">(S28/$S$15)*100</f>
        <v>81.32120767646326</v>
      </c>
      <c r="Y28" s="59">
        <f t="shared" ref="Y28:Y50" si="14">(T28/$T$15)*100</f>
        <v>98.046072528734456</v>
      </c>
    </row>
    <row r="29" spans="1:25" x14ac:dyDescent="0.25">
      <c r="A29" t="s">
        <v>36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44713</v>
      </c>
      <c r="Q29" s="6">
        <v>138.93</v>
      </c>
      <c r="R29" s="6">
        <v>3911.74</v>
      </c>
      <c r="S29" s="6">
        <v>11127.85</v>
      </c>
      <c r="T29" s="6">
        <v>31097.26</v>
      </c>
      <c r="U29" s="56">
        <v>44713</v>
      </c>
      <c r="V29" s="59">
        <f t="shared" si="11"/>
        <v>105.68233683249657</v>
      </c>
      <c r="W29" s="59">
        <f t="shared" si="12"/>
        <v>93.556109892685541</v>
      </c>
      <c r="X29" s="59">
        <f t="shared" si="13"/>
        <v>79.697092535243954</v>
      </c>
      <c r="Y29" s="59">
        <f t="shared" si="14"/>
        <v>91.800436016690838</v>
      </c>
    </row>
    <row r="30" spans="1:25" x14ac:dyDescent="0.25">
      <c r="A30" t="s">
        <v>37</v>
      </c>
      <c r="C30" s="11">
        <f>-G39</f>
        <v>-3947210000000</v>
      </c>
      <c r="D30" s="5">
        <f>D28</f>
        <v>84896844000</v>
      </c>
      <c r="E30" s="5">
        <f t="shared" ref="E30:I30" si="15">E28</f>
        <v>93386528400</v>
      </c>
      <c r="F30" s="5">
        <f t="shared" si="15"/>
        <v>101791315956.00002</v>
      </c>
      <c r="G30" s="5">
        <f t="shared" si="15"/>
        <v>112988360711.16005</v>
      </c>
      <c r="H30" s="5">
        <f t="shared" si="15"/>
        <v>120897545960.94125</v>
      </c>
      <c r="I30" s="5">
        <f t="shared" si="15"/>
        <v>126942423258.98828</v>
      </c>
      <c r="J30" s="11">
        <f>I28+M22</f>
        <v>3217324812115.5039</v>
      </c>
      <c r="K30" t="s">
        <v>39</v>
      </c>
      <c r="P30" s="56">
        <v>44743</v>
      </c>
      <c r="Q30" s="6">
        <v>162.51</v>
      </c>
      <c r="R30" s="6">
        <v>4130.29</v>
      </c>
      <c r="S30" s="6">
        <v>12390.69</v>
      </c>
      <c r="T30" s="6">
        <v>32845.129999999997</v>
      </c>
      <c r="U30" s="56">
        <v>44743</v>
      </c>
      <c r="V30" s="59">
        <f t="shared" si="11"/>
        <v>123.61935189411226</v>
      </c>
      <c r="W30" s="59">
        <f t="shared" si="12"/>
        <v>98.783115730764351</v>
      </c>
      <c r="X30" s="59">
        <f t="shared" si="13"/>
        <v>88.741488023789131</v>
      </c>
      <c r="Y30" s="59">
        <f t="shared" si="14"/>
        <v>96.960222702093148</v>
      </c>
    </row>
    <row r="31" spans="1:25" x14ac:dyDescent="0.25">
      <c r="A31" t="s">
        <v>38</v>
      </c>
      <c r="D31" s="6">
        <f>1/(1+$B$7)^D29</f>
        <v>0.95225140317918577</v>
      </c>
      <c r="E31" s="6">
        <f t="shared" ref="E31:I31" si="16">1/(1+$B$7)^E29</f>
        <v>0.86348513164597918</v>
      </c>
      <c r="F31" s="6">
        <f t="shared" si="16"/>
        <v>0.78299340918206306</v>
      </c>
      <c r="G31" s="6">
        <f t="shared" si="16"/>
        <v>0.71000490495290447</v>
      </c>
      <c r="H31" s="6">
        <f t="shared" si="16"/>
        <v>0.64382018947488617</v>
      </c>
      <c r="I31" s="6">
        <f t="shared" si="16"/>
        <v>0.61307867882254974</v>
      </c>
      <c r="J31" t="s">
        <v>40</v>
      </c>
      <c r="P31" s="56">
        <v>44774</v>
      </c>
      <c r="Q31" s="6">
        <v>155.81</v>
      </c>
      <c r="R31" s="6">
        <v>3924.26</v>
      </c>
      <c r="S31" s="6">
        <v>12141.71</v>
      </c>
      <c r="T31" s="6">
        <v>31318.44</v>
      </c>
      <c r="U31" s="56">
        <v>44774</v>
      </c>
      <c r="V31" s="59">
        <f t="shared" si="11"/>
        <v>118.5227445610832</v>
      </c>
      <c r="W31" s="59">
        <f t="shared" si="12"/>
        <v>93.855547609879537</v>
      </c>
      <c r="X31" s="59">
        <f t="shared" si="13"/>
        <v>86.958305998561869</v>
      </c>
      <c r="Y31" s="59">
        <f t="shared" si="14"/>
        <v>92.453368797205002</v>
      </c>
    </row>
    <row r="32" spans="1:25" x14ac:dyDescent="0.25">
      <c r="A32" t="s">
        <v>41</v>
      </c>
      <c r="C32" s="11">
        <f>-G39</f>
        <v>-3947210000000</v>
      </c>
      <c r="D32" s="5">
        <f>D30*D31</f>
        <v>80843138824.484436</v>
      </c>
      <c r="E32" s="5">
        <f t="shared" ref="E32:I32" si="17">E30*E31</f>
        <v>80637878769.434967</v>
      </c>
      <c r="F32" s="5">
        <f t="shared" si="17"/>
        <v>79701929505.516983</v>
      </c>
      <c r="G32" s="5">
        <f t="shared" si="17"/>
        <v>80222290307.511673</v>
      </c>
      <c r="H32" s="5">
        <f t="shared" si="17"/>
        <v>77836280947.621964</v>
      </c>
      <c r="I32" s="5">
        <f t="shared" si="17"/>
        <v>77825693138.153442</v>
      </c>
      <c r="J32" s="12">
        <f>M22</f>
        <v>3090382388856.5156</v>
      </c>
      <c r="P32" s="56">
        <v>44805</v>
      </c>
      <c r="Q32" s="6">
        <v>138.19999999999999</v>
      </c>
      <c r="R32" s="6">
        <v>3585.62</v>
      </c>
      <c r="S32" s="6">
        <v>10867.93</v>
      </c>
      <c r="T32" s="6">
        <v>30822.42</v>
      </c>
      <c r="U32" s="56">
        <v>44805</v>
      </c>
      <c r="V32" s="59">
        <f t="shared" si="11"/>
        <v>105.12703483949488</v>
      </c>
      <c r="W32" s="59">
        <f t="shared" si="12"/>
        <v>85.756379195297001</v>
      </c>
      <c r="X32" s="59">
        <f t="shared" si="13"/>
        <v>77.835558789573341</v>
      </c>
      <c r="Y32" s="59">
        <f t="shared" si="14"/>
        <v>90.989096630686177</v>
      </c>
    </row>
    <row r="33" spans="1:25" x14ac:dyDescent="0.25">
      <c r="A33" t="s">
        <v>58</v>
      </c>
      <c r="C33" s="25">
        <v>-3862500</v>
      </c>
      <c r="D33" s="21">
        <v>80843</v>
      </c>
      <c r="E33" s="21">
        <v>80638</v>
      </c>
      <c r="F33" s="21">
        <v>79702</v>
      </c>
      <c r="G33" s="21">
        <v>80222</v>
      </c>
      <c r="H33" s="21">
        <v>77836</v>
      </c>
      <c r="I33" s="21">
        <v>77826</v>
      </c>
      <c r="J33" s="21">
        <v>3090382</v>
      </c>
      <c r="P33" s="56">
        <v>44835</v>
      </c>
      <c r="Q33" s="6">
        <v>138.38</v>
      </c>
      <c r="R33" s="6">
        <v>3901.06</v>
      </c>
      <c r="S33" s="6">
        <v>11102.45</v>
      </c>
      <c r="T33" s="6">
        <v>32861.800000000003</v>
      </c>
      <c r="U33" s="56">
        <v>44835</v>
      </c>
      <c r="V33" s="59">
        <f t="shared" si="11"/>
        <v>105.26395861859119</v>
      </c>
      <c r="W33" s="59">
        <f t="shared" si="12"/>
        <v>93.300678996548811</v>
      </c>
      <c r="X33" s="59">
        <f t="shared" si="13"/>
        <v>79.515179034397406</v>
      </c>
      <c r="Y33" s="59">
        <f t="shared" si="14"/>
        <v>97.009433252102966</v>
      </c>
    </row>
    <row r="34" spans="1:25" x14ac:dyDescent="0.25">
      <c r="P34" s="56">
        <v>44866</v>
      </c>
      <c r="Q34" s="6">
        <v>147.81</v>
      </c>
      <c r="R34" s="6">
        <v>4026.12</v>
      </c>
      <c r="S34" s="6">
        <v>11226.36</v>
      </c>
      <c r="T34" s="6">
        <v>34429.879999999997</v>
      </c>
      <c r="U34" s="56">
        <v>44866</v>
      </c>
      <c r="V34" s="59">
        <f t="shared" si="11"/>
        <v>112.4372432679142</v>
      </c>
      <c r="W34" s="59">
        <f t="shared" si="12"/>
        <v>96.291707823408274</v>
      </c>
      <c r="X34" s="59">
        <f t="shared" si="13"/>
        <v>80.402616116676739</v>
      </c>
      <c r="Y34" s="59">
        <f t="shared" si="14"/>
        <v>101.6384721998769</v>
      </c>
    </row>
    <row r="35" spans="1:25" x14ac:dyDescent="0.25">
      <c r="A35" s="3" t="s">
        <v>42</v>
      </c>
      <c r="F35" s="3" t="s">
        <v>32</v>
      </c>
      <c r="P35" s="56">
        <v>44896</v>
      </c>
      <c r="Q35" s="6">
        <v>129.93</v>
      </c>
      <c r="R35" s="6">
        <v>3839.5</v>
      </c>
      <c r="S35" s="6">
        <v>10466.48</v>
      </c>
      <c r="T35" s="6">
        <v>33203.93</v>
      </c>
      <c r="U35" s="56">
        <v>44896</v>
      </c>
      <c r="V35" s="59">
        <f t="shared" si="11"/>
        <v>98.836147877681427</v>
      </c>
      <c r="W35" s="59">
        <f t="shared" si="12"/>
        <v>91.828363831176446</v>
      </c>
      <c r="X35" s="59">
        <f t="shared" si="13"/>
        <v>74.960394422847187</v>
      </c>
      <c r="Y35" s="59">
        <f t="shared" si="14"/>
        <v>98.019415584128055</v>
      </c>
    </row>
    <row r="36" spans="1:25" x14ac:dyDescent="0.25">
      <c r="A36" s="11" t="s">
        <v>43</v>
      </c>
      <c r="B36" s="15">
        <f>SUM(D32:I32)</f>
        <v>477067211492.72345</v>
      </c>
      <c r="C36" t="s">
        <v>46</v>
      </c>
      <c r="F36" t="s">
        <v>34</v>
      </c>
      <c r="G36" s="13">
        <f>B13*B12</f>
        <v>3929500000000</v>
      </c>
      <c r="H36" t="s">
        <v>35</v>
      </c>
      <c r="L36" s="3" t="s">
        <v>53</v>
      </c>
      <c r="P36" s="56">
        <v>44927</v>
      </c>
      <c r="Q36" s="6">
        <v>137.87</v>
      </c>
      <c r="R36" s="6">
        <v>4070.56</v>
      </c>
      <c r="S36" s="6">
        <v>11140.43</v>
      </c>
      <c r="T36" s="6">
        <v>33375.49</v>
      </c>
      <c r="U36" s="56">
        <v>44927</v>
      </c>
      <c r="V36" s="59">
        <f t="shared" si="11"/>
        <v>104.87600791115167</v>
      </c>
      <c r="W36" s="59">
        <f t="shared" si="12"/>
        <v>97.354568218943498</v>
      </c>
      <c r="X36" s="59">
        <f t="shared" si="13"/>
        <v>79.787189851804953</v>
      </c>
      <c r="Y36" s="59">
        <f t="shared" si="14"/>
        <v>98.525868011223665</v>
      </c>
    </row>
    <row r="37" spans="1:25" x14ac:dyDescent="0.25">
      <c r="A37" t="s">
        <v>11</v>
      </c>
      <c r="B37" s="16">
        <f>B15</f>
        <v>67000000000</v>
      </c>
      <c r="F37" t="s">
        <v>10</v>
      </c>
      <c r="G37" s="12">
        <f>B14</f>
        <v>84710000000</v>
      </c>
      <c r="L37" t="s">
        <v>54</v>
      </c>
      <c r="M37" s="18">
        <f>(B40/B12)-1</f>
        <v>-0.5483217202762134</v>
      </c>
      <c r="P37" s="56">
        <v>44958</v>
      </c>
      <c r="Q37" s="6">
        <v>151.03</v>
      </c>
      <c r="R37" s="6">
        <v>4045.64</v>
      </c>
      <c r="S37" s="6">
        <v>11689.01</v>
      </c>
      <c r="T37" s="6">
        <v>32816.92</v>
      </c>
      <c r="U37" s="56">
        <v>44958</v>
      </c>
      <c r="V37" s="59">
        <f t="shared" si="11"/>
        <v>114.88665753841471</v>
      </c>
      <c r="W37" s="59">
        <f t="shared" si="12"/>
        <v>96.758562794624467</v>
      </c>
      <c r="X37" s="59">
        <f t="shared" si="13"/>
        <v>83.716091753159134</v>
      </c>
      <c r="Y37" s="59">
        <f t="shared" si="14"/>
        <v>96.876945580570833</v>
      </c>
    </row>
    <row r="38" spans="1:25" x14ac:dyDescent="0.25">
      <c r="A38" t="s">
        <v>10</v>
      </c>
      <c r="B38" s="16">
        <f>B14</f>
        <v>84710000000</v>
      </c>
      <c r="C38" s="3"/>
      <c r="F38" t="s">
        <v>11</v>
      </c>
      <c r="G38" s="12">
        <f>B15</f>
        <v>67000000000</v>
      </c>
      <c r="L38" t="s">
        <v>55</v>
      </c>
      <c r="M38" s="20">
        <f>IRR(C33:J33)</f>
        <v>-1.2077542361222826E-2</v>
      </c>
      <c r="N38" t="s">
        <v>59</v>
      </c>
      <c r="P38" s="56">
        <v>44986</v>
      </c>
      <c r="Q38" s="6">
        <v>164.9</v>
      </c>
      <c r="R38" s="6">
        <v>3970.99</v>
      </c>
      <c r="S38" s="6">
        <v>11823.96</v>
      </c>
      <c r="T38" s="6">
        <v>33274.15</v>
      </c>
      <c r="U38" s="56">
        <v>44986</v>
      </c>
      <c r="V38" s="59">
        <f t="shared" si="11"/>
        <v>125.43739540544652</v>
      </c>
      <c r="W38" s="59">
        <f t="shared" si="12"/>
        <v>94.97317736423058</v>
      </c>
      <c r="X38" s="59">
        <f t="shared" si="13"/>
        <v>84.682596750767033</v>
      </c>
      <c r="Y38" s="59">
        <f t="shared" si="14"/>
        <v>98.226708014943256</v>
      </c>
    </row>
    <row r="39" spans="1:25" x14ac:dyDescent="0.25">
      <c r="A39" t="s">
        <v>45</v>
      </c>
      <c r="B39" s="15">
        <f>(((B36+B37)-B38)+(M22))/2</f>
        <v>1774869800174.6196</v>
      </c>
      <c r="C39" t="s">
        <v>78</v>
      </c>
      <c r="F39" t="s">
        <v>31</v>
      </c>
      <c r="G39" s="11">
        <f>G36+G37-G38</f>
        <v>3947210000000</v>
      </c>
      <c r="H39" t="s">
        <v>33</v>
      </c>
      <c r="P39" s="56">
        <v>45017</v>
      </c>
      <c r="Q39" s="6">
        <v>165.02</v>
      </c>
      <c r="R39" s="6">
        <v>4133.5200000000004</v>
      </c>
      <c r="S39" s="6">
        <v>12072.46</v>
      </c>
      <c r="T39" s="6">
        <v>33808.959999999999</v>
      </c>
      <c r="U39" s="56">
        <v>45017</v>
      </c>
      <c r="V39" s="59">
        <f>(Q39/$Q$15)*100</f>
        <v>125.52867792484406</v>
      </c>
      <c r="W39" s="59">
        <f>(R39/$R$15)*100</f>
        <v>98.860366835120317</v>
      </c>
      <c r="X39" s="59">
        <f>(S39/$S$15)*100</f>
        <v>86.462341040545226</v>
      </c>
      <c r="Y39" s="59">
        <f t="shared" si="14"/>
        <v>99.805489913608483</v>
      </c>
    </row>
    <row r="40" spans="1:25" x14ac:dyDescent="0.25">
      <c r="A40" t="s">
        <v>77</v>
      </c>
      <c r="B40" s="17">
        <f>B39/B13</f>
        <v>122.40481380514618</v>
      </c>
      <c r="C40" t="s">
        <v>47</v>
      </c>
      <c r="F40" t="s">
        <v>50</v>
      </c>
      <c r="G40" s="14">
        <f>G39/B13</f>
        <v>272.22137931034484</v>
      </c>
      <c r="H40" t="s">
        <v>51</v>
      </c>
      <c r="L40" s="46" t="s">
        <v>100</v>
      </c>
      <c r="M40" s="47"/>
      <c r="P40" s="56">
        <v>45047</v>
      </c>
      <c r="Q40" s="6">
        <v>180.95</v>
      </c>
      <c r="R40" s="6">
        <v>4282.37</v>
      </c>
      <c r="S40" s="6">
        <v>13240.77</v>
      </c>
      <c r="T40" s="6">
        <v>33093.339999999997</v>
      </c>
      <c r="U40" s="56">
        <v>45047</v>
      </c>
      <c r="V40" s="59">
        <f t="shared" ref="V40:V50" si="18">(Q40/$Q$15)*100</f>
        <v>137.64643237486686</v>
      </c>
      <c r="W40" s="59">
        <f t="shared" ref="W40:W50" si="19">(R40/$R$15)*100</f>
        <v>102.4203751581495</v>
      </c>
      <c r="X40" s="59">
        <f t="shared" ref="X40:X50" si="20">(S40/$S$15)*100</f>
        <v>94.829717504089473</v>
      </c>
      <c r="Y40" s="59">
        <f t="shared" si="14"/>
        <v>97.692949193870959</v>
      </c>
    </row>
    <row r="41" spans="1:25" x14ac:dyDescent="0.25">
      <c r="A41" t="s">
        <v>48</v>
      </c>
      <c r="B41" s="19">
        <f>(B40/B12)-1</f>
        <v>-0.5483217202762134</v>
      </c>
      <c r="C41" t="s">
        <v>49</v>
      </c>
      <c r="F41" t="s">
        <v>48</v>
      </c>
      <c r="G41" s="18">
        <f>(G40/B12)-1</f>
        <v>4.5069347245196845E-3</v>
      </c>
      <c r="H41" t="s">
        <v>52</v>
      </c>
      <c r="L41" s="48" t="s">
        <v>42</v>
      </c>
      <c r="M41" s="49">
        <f>B40</f>
        <v>122.40481380514618</v>
      </c>
      <c r="P41" s="56">
        <v>45078</v>
      </c>
      <c r="Q41" s="6">
        <v>193.97</v>
      </c>
      <c r="R41" s="6">
        <v>4450.38</v>
      </c>
      <c r="S41" s="6">
        <v>13492.52</v>
      </c>
      <c r="T41" s="6">
        <v>33727.43</v>
      </c>
      <c r="U41" s="56">
        <v>45078</v>
      </c>
      <c r="V41" s="59">
        <f t="shared" si="18"/>
        <v>147.55058572949946</v>
      </c>
      <c r="W41" s="59">
        <f t="shared" si="19"/>
        <v>106.43862842218806</v>
      </c>
      <c r="X41" s="59">
        <f t="shared" si="20"/>
        <v>96.632738127637381</v>
      </c>
      <c r="Y41" s="59">
        <f t="shared" si="14"/>
        <v>99.564809881076968</v>
      </c>
    </row>
    <row r="42" spans="1:25" x14ac:dyDescent="0.25">
      <c r="L42" s="48" t="s">
        <v>8</v>
      </c>
      <c r="M42" s="49">
        <f>B12</f>
        <v>271</v>
      </c>
      <c r="P42" s="56">
        <v>45108</v>
      </c>
      <c r="Q42" s="6">
        <v>181.99</v>
      </c>
      <c r="R42" s="6">
        <v>4582.2299999999996</v>
      </c>
      <c r="S42" s="6">
        <v>14032.81</v>
      </c>
      <c r="T42" s="6">
        <v>35065.620000000003</v>
      </c>
      <c r="U42" s="56">
        <v>45108</v>
      </c>
      <c r="V42" s="59">
        <f t="shared" si="18"/>
        <v>138.43754754297885</v>
      </c>
      <c r="W42" s="59">
        <f t="shared" si="19"/>
        <v>109.59205198544903</v>
      </c>
      <c r="X42" s="59">
        <f t="shared" si="20"/>
        <v>100.50226747300661</v>
      </c>
      <c r="Y42" s="59">
        <f t="shared" si="14"/>
        <v>103.51520375735983</v>
      </c>
    </row>
    <row r="43" spans="1:25" x14ac:dyDescent="0.25">
      <c r="L43" s="48" t="s">
        <v>101</v>
      </c>
      <c r="M43" s="49">
        <f>(B40-B12)</f>
        <v>-148.59518619485382</v>
      </c>
      <c r="P43" s="56">
        <v>45139</v>
      </c>
      <c r="Q43" s="6">
        <v>189.46</v>
      </c>
      <c r="R43" s="6">
        <v>4515.7700000000004</v>
      </c>
      <c r="S43" s="6">
        <v>13590.65</v>
      </c>
      <c r="T43" s="6">
        <v>34837.71</v>
      </c>
      <c r="U43" s="56">
        <v>45139</v>
      </c>
      <c r="V43" s="59">
        <f t="shared" si="18"/>
        <v>144.11988437547544</v>
      </c>
      <c r="W43" s="59">
        <f t="shared" si="19"/>
        <v>108.00254474226114</v>
      </c>
      <c r="X43" s="59">
        <f t="shared" si="20"/>
        <v>97.335540168506327</v>
      </c>
      <c r="Y43" s="59">
        <f t="shared" si="14"/>
        <v>102.84240373020101</v>
      </c>
    </row>
    <row r="44" spans="1:25" x14ac:dyDescent="0.25">
      <c r="L44" s="48" t="s">
        <v>102</v>
      </c>
      <c r="M44" s="55">
        <f>((B40-B12)/(B12))</f>
        <v>-0.5483217202762134</v>
      </c>
      <c r="P44" s="56">
        <v>45170</v>
      </c>
      <c r="Q44" s="6">
        <v>174.79</v>
      </c>
      <c r="R44" s="6">
        <v>4320.0600000000004</v>
      </c>
      <c r="S44" s="6">
        <v>13211.81</v>
      </c>
      <c r="T44" s="6">
        <v>33507.5</v>
      </c>
      <c r="U44" s="56">
        <v>45170</v>
      </c>
      <c r="V44" s="59">
        <f t="shared" si="18"/>
        <v>132.96059637912671</v>
      </c>
      <c r="W44" s="59">
        <f t="shared" si="19"/>
        <v>103.32179748730618</v>
      </c>
      <c r="X44" s="59">
        <f t="shared" si="20"/>
        <v>94.622307465329001</v>
      </c>
      <c r="Y44" s="59">
        <f t="shared" si="14"/>
        <v>98.915567153802897</v>
      </c>
    </row>
    <row r="45" spans="1:25" x14ac:dyDescent="0.25">
      <c r="L45" s="51"/>
      <c r="M45" s="50"/>
      <c r="P45" s="56">
        <v>45200</v>
      </c>
      <c r="Q45" s="6">
        <v>176.65</v>
      </c>
      <c r="R45" s="6">
        <v>4117.37</v>
      </c>
      <c r="S45" s="6">
        <v>12643.01</v>
      </c>
      <c r="T45" s="6">
        <v>34061.32</v>
      </c>
      <c r="U45" s="56">
        <v>45200</v>
      </c>
      <c r="V45" s="59">
        <f t="shared" si="18"/>
        <v>134.37547542978851</v>
      </c>
      <c r="W45" s="59">
        <f t="shared" si="19"/>
        <v>98.474111313340515</v>
      </c>
      <c r="X45" s="59">
        <f t="shared" si="20"/>
        <v>90.548590958182814</v>
      </c>
      <c r="Y45" s="59">
        <f t="shared" si="14"/>
        <v>100.5504673821434</v>
      </c>
    </row>
    <row r="46" spans="1:25" x14ac:dyDescent="0.25">
      <c r="L46" s="51" t="s">
        <v>56</v>
      </c>
      <c r="M46" s="49"/>
      <c r="P46" s="56">
        <v>45231</v>
      </c>
      <c r="Q46" s="6">
        <v>191.24</v>
      </c>
      <c r="R46" s="6">
        <v>4559.34</v>
      </c>
      <c r="S46" s="6">
        <v>14250.85</v>
      </c>
      <c r="T46" s="6">
        <v>36245.5</v>
      </c>
      <c r="U46" s="56">
        <v>45231</v>
      </c>
      <c r="V46" s="59">
        <f t="shared" si="18"/>
        <v>145.47390841320552</v>
      </c>
      <c r="W46" s="59">
        <f t="shared" si="19"/>
        <v>109.04459756479645</v>
      </c>
      <c r="X46" s="59">
        <f t="shared" si="20"/>
        <v>102.063858800746</v>
      </c>
      <c r="Y46" s="59">
        <f t="shared" si="14"/>
        <v>106.99825977089196</v>
      </c>
    </row>
    <row r="47" spans="1:25" x14ac:dyDescent="0.25">
      <c r="L47" s="48" t="s">
        <v>42</v>
      </c>
      <c r="M47" s="49">
        <f>B40</f>
        <v>122.40481380514618</v>
      </c>
      <c r="P47" s="56">
        <v>45261</v>
      </c>
      <c r="Q47" s="6">
        <v>193.6</v>
      </c>
      <c r="R47" s="6">
        <v>4769.83</v>
      </c>
      <c r="S47" s="6">
        <v>14992.97</v>
      </c>
      <c r="T47" s="6">
        <v>37689.54</v>
      </c>
      <c r="U47" s="56">
        <v>45261</v>
      </c>
      <c r="V47" s="59">
        <f t="shared" si="18"/>
        <v>147.2691312946904</v>
      </c>
      <c r="W47" s="59">
        <f t="shared" si="19"/>
        <v>114.07883439324399</v>
      </c>
      <c r="X47" s="59">
        <f t="shared" si="20"/>
        <v>107.37888428296</v>
      </c>
      <c r="Y47" s="59">
        <f t="shared" si="14"/>
        <v>111.2611273555455</v>
      </c>
    </row>
    <row r="48" spans="1:25" x14ac:dyDescent="0.25">
      <c r="L48" s="48" t="s">
        <v>32</v>
      </c>
      <c r="M48" s="49">
        <f>G40</f>
        <v>272.22137931034484</v>
      </c>
      <c r="P48" s="56">
        <v>45292</v>
      </c>
      <c r="Q48" s="6">
        <v>185.85</v>
      </c>
      <c r="R48" s="6">
        <v>4958.6099999999997</v>
      </c>
      <c r="S48" s="6">
        <v>15628.95</v>
      </c>
      <c r="T48" s="6">
        <v>38109.43</v>
      </c>
      <c r="U48" s="56">
        <v>45292</v>
      </c>
      <c r="V48" s="59">
        <f t="shared" si="18"/>
        <v>141.3738019169329</v>
      </c>
      <c r="W48" s="59">
        <f t="shared" si="19"/>
        <v>118.59383856671697</v>
      </c>
      <c r="X48" s="59">
        <f t="shared" si="20"/>
        <v>111.93374051399876</v>
      </c>
      <c r="Y48" s="59">
        <f t="shared" si="14"/>
        <v>112.50066051952999</v>
      </c>
    </row>
    <row r="49" spans="12:25" x14ac:dyDescent="0.25">
      <c r="L49" s="48" t="s">
        <v>101</v>
      </c>
      <c r="M49" s="49">
        <f>-(G40-B40)</f>
        <v>-149.81656550519867</v>
      </c>
      <c r="P49" s="56">
        <v>45323</v>
      </c>
      <c r="Q49" s="6">
        <v>179.66</v>
      </c>
      <c r="R49" s="6">
        <v>5137.08</v>
      </c>
      <c r="S49" s="6">
        <v>16274.94</v>
      </c>
      <c r="T49" s="6">
        <v>39087.379999999997</v>
      </c>
      <c r="U49" s="56">
        <v>45323</v>
      </c>
      <c r="V49" s="59">
        <f t="shared" si="18"/>
        <v>136.66514529134338</v>
      </c>
      <c r="W49" s="59">
        <f t="shared" si="19"/>
        <v>122.86226104176581</v>
      </c>
      <c r="X49" s="59">
        <f t="shared" si="20"/>
        <v>116.56028785304827</v>
      </c>
      <c r="Y49" s="59">
        <f t="shared" si="14"/>
        <v>115.38761057244533</v>
      </c>
    </row>
    <row r="50" spans="12:25" x14ac:dyDescent="0.25">
      <c r="L50" s="52" t="s">
        <v>102</v>
      </c>
      <c r="M50" s="54">
        <f>((B40-G40)/(G40))</f>
        <v>-0.55034827126638319</v>
      </c>
      <c r="P50" s="56">
        <v>45352</v>
      </c>
      <c r="Q50" s="6">
        <v>171.48</v>
      </c>
      <c r="R50" s="6">
        <v>5234.18</v>
      </c>
      <c r="S50" s="6">
        <v>16428.82</v>
      </c>
      <c r="T50" s="6">
        <v>39807.370000000003</v>
      </c>
      <c r="U50" s="56">
        <v>45352</v>
      </c>
      <c r="V50" s="59">
        <f t="shared" si="18"/>
        <v>130.44272021907804</v>
      </c>
      <c r="W50" s="59">
        <f t="shared" si="19"/>
        <v>125.18457752255947</v>
      </c>
      <c r="X50" s="59">
        <f t="shared" si="20"/>
        <v>117.66236854242882</v>
      </c>
      <c r="Y50" s="59">
        <f t="shared" si="14"/>
        <v>117.51305171831021</v>
      </c>
    </row>
    <row r="51" spans="12:25" x14ac:dyDescent="0.25">
      <c r="P51" s="56">
        <v>45383</v>
      </c>
      <c r="Q51" s="6">
        <v>165</v>
      </c>
      <c r="R51" s="6">
        <v>4967.2299999999996</v>
      </c>
      <c r="S51" s="6">
        <v>15282.01</v>
      </c>
      <c r="T51" s="6">
        <v>37986.400000000001</v>
      </c>
      <c r="U51" s="56">
        <v>45383</v>
      </c>
      <c r="V51" s="59">
        <f>(Q51/$Q$15)*100</f>
        <v>125.51346417161113</v>
      </c>
      <c r="W51" s="59">
        <f>(R51/$R$15)*100</f>
        <v>118.80000095667</v>
      </c>
      <c r="X51" s="59">
        <f>(S51/$S$15)*100</f>
        <v>109.44897397920744</v>
      </c>
      <c r="Y51" s="59">
        <f>(T51/$T$15)*100</f>
        <v>112.13747071942754</v>
      </c>
    </row>
    <row r="52" spans="12:25" x14ac:dyDescent="0.25">
      <c r="P52" s="56">
        <v>45413</v>
      </c>
      <c r="Q52" s="6">
        <v>189.87</v>
      </c>
      <c r="R52" s="6">
        <v>5277.51</v>
      </c>
      <c r="S52" s="6">
        <v>16735.02</v>
      </c>
      <c r="T52" s="6">
        <v>38686.32</v>
      </c>
      <c r="U52" s="56">
        <v>45413</v>
      </c>
      <c r="V52" s="59">
        <f t="shared" ref="V52:V62" si="21">(Q52/$Q$15)*100</f>
        <v>144.43176631675036</v>
      </c>
      <c r="W52" s="59">
        <f t="shared" ref="W52:W62" si="22">(R52/$R$15)*100</f>
        <v>126.2208903249569</v>
      </c>
      <c r="X52" s="59">
        <f t="shared" ref="X52:X62" si="23">(S52/$S$15)*100</f>
        <v>119.85535728098044</v>
      </c>
      <c r="Y52" s="59">
        <f t="shared" ref="Y52:Y62" si="24">(T52/$T$15)*100</f>
        <v>114.20366437046954</v>
      </c>
    </row>
    <row r="53" spans="12:25" x14ac:dyDescent="0.25">
      <c r="P53" s="56">
        <v>45444</v>
      </c>
      <c r="Q53" s="6">
        <v>207.49</v>
      </c>
      <c r="R53" s="6">
        <v>5464.62</v>
      </c>
      <c r="S53" s="6">
        <v>17689.36</v>
      </c>
      <c r="T53" s="6">
        <v>39150.33</v>
      </c>
      <c r="U53" s="56">
        <v>45444</v>
      </c>
      <c r="V53" s="59">
        <f t="shared" si="21"/>
        <v>157.83508291495511</v>
      </c>
      <c r="W53" s="59">
        <f t="shared" si="22"/>
        <v>130.69595352497026</v>
      </c>
      <c r="X53" s="59">
        <f t="shared" si="23"/>
        <v>126.69029154861389</v>
      </c>
      <c r="Y53" s="59">
        <f t="shared" si="24"/>
        <v>115.57344165361619</v>
      </c>
    </row>
    <row r="54" spans="12:25" x14ac:dyDescent="0.25">
      <c r="P54" s="56">
        <v>45474</v>
      </c>
      <c r="Q54" s="6">
        <v>219.86</v>
      </c>
      <c r="R54" s="6">
        <v>5459.1</v>
      </c>
      <c r="S54" s="6">
        <v>17357.88</v>
      </c>
      <c r="T54" s="6">
        <v>40287.53</v>
      </c>
      <c r="U54" s="56">
        <v>45474</v>
      </c>
      <c r="V54" s="59">
        <f t="shared" si="21"/>
        <v>167.24478928951771</v>
      </c>
      <c r="W54" s="59">
        <f t="shared" si="22"/>
        <v>130.56393306179851</v>
      </c>
      <c r="X54" s="59">
        <f t="shared" si="23"/>
        <v>124.31624874307798</v>
      </c>
      <c r="Y54" s="59">
        <f t="shared" si="24"/>
        <v>118.93050448931876</v>
      </c>
    </row>
    <row r="55" spans="12:25" x14ac:dyDescent="0.25">
      <c r="P55" s="56">
        <v>45505</v>
      </c>
      <c r="Q55" s="6">
        <v>226.84</v>
      </c>
      <c r="R55" s="6">
        <v>5648.4</v>
      </c>
      <c r="S55" s="6">
        <v>17877.79</v>
      </c>
      <c r="T55" s="6">
        <v>41175.08</v>
      </c>
      <c r="U55" s="56">
        <v>45505</v>
      </c>
      <c r="V55" s="59">
        <f t="shared" si="21"/>
        <v>172.5543891678077</v>
      </c>
      <c r="W55" s="59">
        <f t="shared" si="22"/>
        <v>135.09137394557024</v>
      </c>
      <c r="X55" s="59">
        <f t="shared" si="23"/>
        <v>128.03981757083884</v>
      </c>
      <c r="Y55" s="59">
        <f t="shared" si="24"/>
        <v>121.55058989191096</v>
      </c>
    </row>
    <row r="56" spans="12:25" x14ac:dyDescent="0.25">
      <c r="P56" s="56">
        <v>45536</v>
      </c>
      <c r="Q56" s="6">
        <v>226.8</v>
      </c>
      <c r="R56" s="6">
        <v>5751.07</v>
      </c>
      <c r="S56" s="6">
        <v>18137.849999999999</v>
      </c>
      <c r="T56" s="6">
        <v>42313</v>
      </c>
      <c r="U56" s="56">
        <v>45536</v>
      </c>
      <c r="V56" s="59">
        <f t="shared" si="21"/>
        <v>172.52396166134184</v>
      </c>
      <c r="W56" s="59">
        <f t="shared" si="22"/>
        <v>137.54690672706442</v>
      </c>
      <c r="X56" s="59">
        <f t="shared" si="23"/>
        <v>129.90235398934874</v>
      </c>
      <c r="Y56" s="59">
        <f t="shared" si="24"/>
        <v>124.90977819827984</v>
      </c>
    </row>
    <row r="57" spans="12:25" x14ac:dyDescent="0.25">
      <c r="P57" s="56">
        <v>45566</v>
      </c>
      <c r="Q57" s="6">
        <v>231.41</v>
      </c>
      <c r="R57" s="6">
        <v>5728.8</v>
      </c>
      <c r="S57" s="6">
        <v>18518.61</v>
      </c>
      <c r="T57" s="6">
        <v>42052.19</v>
      </c>
      <c r="U57" s="56">
        <v>45566</v>
      </c>
      <c r="V57" s="59">
        <f t="shared" si="21"/>
        <v>176.03073178153048</v>
      </c>
      <c r="W57" s="59">
        <f t="shared" si="22"/>
        <v>137.01428069176808</v>
      </c>
      <c r="X57" s="59">
        <f t="shared" si="23"/>
        <v>132.62933763432235</v>
      </c>
      <c r="Y57" s="59">
        <f t="shared" si="24"/>
        <v>124.13985596984193</v>
      </c>
    </row>
    <row r="58" spans="12:25" x14ac:dyDescent="0.25">
      <c r="P58" s="56">
        <v>45597</v>
      </c>
      <c r="Q58" s="6">
        <v>237.33</v>
      </c>
      <c r="R58" s="6">
        <v>5969.34</v>
      </c>
      <c r="S58" s="6">
        <v>19003.650000000001</v>
      </c>
      <c r="T58" s="6">
        <v>44296.51</v>
      </c>
      <c r="U58" s="56">
        <v>45597</v>
      </c>
      <c r="V58" s="59">
        <f>(Q58/$Q$15)*100</f>
        <v>180.53400273847558</v>
      </c>
      <c r="W58" s="59">
        <f t="shared" si="22"/>
        <v>142.76721587498236</v>
      </c>
      <c r="X58" s="59">
        <f t="shared" si="23"/>
        <v>136.10316930560609</v>
      </c>
      <c r="Y58" s="59">
        <f t="shared" si="24"/>
        <v>130.76518420007767</v>
      </c>
    </row>
    <row r="59" spans="12:25" x14ac:dyDescent="0.25">
      <c r="P59" s="56">
        <v>45627</v>
      </c>
      <c r="Q59" s="6">
        <v>243.36</v>
      </c>
      <c r="R59" s="6">
        <v>5942.47</v>
      </c>
      <c r="S59" s="6">
        <v>19722.03</v>
      </c>
      <c r="T59" s="6">
        <v>42840.26</v>
      </c>
      <c r="U59" s="56">
        <v>45627</v>
      </c>
      <c r="V59" s="59">
        <f t="shared" si="21"/>
        <v>185.12094933820174</v>
      </c>
      <c r="W59" s="59">
        <f t="shared" si="22"/>
        <v>142.12457278704287</v>
      </c>
      <c r="X59" s="59">
        <f t="shared" si="23"/>
        <v>141.24817012206825</v>
      </c>
      <c r="Y59" s="59">
        <f t="shared" si="24"/>
        <v>126.46627217537497</v>
      </c>
    </row>
    <row r="60" spans="12:25" x14ac:dyDescent="0.25">
      <c r="P60" s="56">
        <v>45658</v>
      </c>
      <c r="Q60" s="6">
        <v>229.98</v>
      </c>
      <c r="R60" s="6">
        <v>6040.53</v>
      </c>
      <c r="S60" s="6">
        <v>19627.439999999999</v>
      </c>
      <c r="T60" s="6">
        <v>44424.25</v>
      </c>
      <c r="U60" s="56">
        <v>45658</v>
      </c>
      <c r="V60" s="59">
        <f t="shared" si="21"/>
        <v>174.94294842537653</v>
      </c>
      <c r="W60" s="59">
        <f t="shared" si="22"/>
        <v>144.46984934838812</v>
      </c>
      <c r="X60" s="59">
        <f t="shared" si="23"/>
        <v>140.57072138013618</v>
      </c>
      <c r="Y60" s="59">
        <f t="shared" si="24"/>
        <v>131.14227812078875</v>
      </c>
    </row>
    <row r="61" spans="12:25" x14ac:dyDescent="0.25">
      <c r="P61" s="56">
        <v>45689</v>
      </c>
      <c r="Q61" s="6">
        <v>245.55</v>
      </c>
      <c r="R61" s="6">
        <v>5954.5</v>
      </c>
      <c r="S61" s="6">
        <v>19524.009999999998</v>
      </c>
      <c r="T61" s="6">
        <v>43840.91</v>
      </c>
      <c r="U61" s="56">
        <v>45689</v>
      </c>
      <c r="V61" s="59">
        <f t="shared" si="21"/>
        <v>186.78685531720674</v>
      </c>
      <c r="W61" s="59">
        <f t="shared" si="22"/>
        <v>142.41229129645529</v>
      </c>
      <c r="X61" s="59">
        <f t="shared" si="23"/>
        <v>139.82996101035044</v>
      </c>
      <c r="Y61" s="59">
        <f t="shared" si="24"/>
        <v>129.42023359513033</v>
      </c>
    </row>
    <row r="62" spans="12:25" x14ac:dyDescent="0.25">
      <c r="P62" s="56">
        <v>45717</v>
      </c>
      <c r="Q62" s="6">
        <v>217.9</v>
      </c>
      <c r="R62" s="6">
        <v>5074.08</v>
      </c>
      <c r="S62" s="6">
        <v>15587.79</v>
      </c>
      <c r="T62" s="6">
        <v>38314.86</v>
      </c>
      <c r="U62" s="56">
        <v>45717</v>
      </c>
      <c r="V62" s="59">
        <f t="shared" si="21"/>
        <v>165.75384147269131</v>
      </c>
      <c r="W62" s="59">
        <f t="shared" si="22"/>
        <v>121.35550575556601</v>
      </c>
      <c r="X62" s="59">
        <f t="shared" si="23"/>
        <v>111.63895469924113</v>
      </c>
      <c r="Y62" s="59">
        <f t="shared" si="24"/>
        <v>113.10709862921904</v>
      </c>
    </row>
    <row r="63" spans="12:25" x14ac:dyDescent="0.25">
      <c r="P63" s="56">
        <v>45748</v>
      </c>
      <c r="Q63" s="6">
        <v>209.28</v>
      </c>
      <c r="R63" s="6">
        <v>5282.7</v>
      </c>
      <c r="S63" s="6">
        <v>16286.45</v>
      </c>
      <c r="T63" s="6">
        <v>39142.230000000003</v>
      </c>
      <c r="U63" s="56">
        <v>45748</v>
      </c>
      <c r="V63" s="59">
        <f>(Q63/$Q$15)*100</f>
        <v>159.19671382930167</v>
      </c>
      <c r="W63" s="59">
        <f>(R63/$R$15)*100</f>
        <v>126.34501826043906</v>
      </c>
      <c r="X63" s="59">
        <f>(S63/$S$15)*100</f>
        <v>116.64272188433739</v>
      </c>
      <c r="Y63" s="59">
        <f>(T63/$T$15)*100</f>
        <v>115.54953010862042</v>
      </c>
    </row>
    <row r="64" spans="12:25" x14ac:dyDescent="0.25">
      <c r="P64" s="56">
        <v>45778</v>
      </c>
      <c r="Q64" s="6">
        <v>195.27</v>
      </c>
      <c r="R64" s="6">
        <v>5802.82</v>
      </c>
      <c r="S64" s="6">
        <v>19113.77</v>
      </c>
      <c r="T64" s="6">
        <v>41603.07</v>
      </c>
      <c r="U64" s="56">
        <v>45778</v>
      </c>
      <c r="V64" s="59">
        <f t="shared" ref="V64:V74" si="25">(Q64/$Q$15)*100</f>
        <v>148.53947968963942</v>
      </c>
      <c r="W64" s="59">
        <f t="shared" ref="W64:W74" si="26">(R64/$R$15)*100</f>
        <v>138.78459856929996</v>
      </c>
      <c r="X64" s="59">
        <f t="shared" ref="X64:X74" si="27">(S64/$S$15)*100</f>
        <v>136.89184311321324</v>
      </c>
      <c r="Y64" s="59">
        <f t="shared" ref="Y64:Y74" si="28">(T64/$T$15)*100</f>
        <v>122.81403460089122</v>
      </c>
    </row>
    <row r="65" spans="16:25" x14ac:dyDescent="0.25">
      <c r="P65" s="56">
        <v>45809</v>
      </c>
      <c r="Q65" s="6">
        <v>213.55</v>
      </c>
      <c r="R65" s="6">
        <v>6279.35</v>
      </c>
      <c r="S65" s="6">
        <v>19447.41</v>
      </c>
      <c r="T65" s="6">
        <v>42206.82</v>
      </c>
      <c r="U65" s="56">
        <v>45809</v>
      </c>
      <c r="V65" s="59">
        <f t="shared" si="25"/>
        <v>162.44485014453065</v>
      </c>
      <c r="W65" s="59">
        <f t="shared" si="26"/>
        <v>150.18164772061408</v>
      </c>
      <c r="X65" s="59">
        <f t="shared" si="27"/>
        <v>139.28135572826992</v>
      </c>
      <c r="Y65" s="59">
        <f t="shared" si="28"/>
        <v>124.59633031585381</v>
      </c>
    </row>
    <row r="66" spans="16:25" x14ac:dyDescent="0.25">
      <c r="P66" s="56">
        <v>45839</v>
      </c>
      <c r="Q66" s="6">
        <v>213.88</v>
      </c>
      <c r="R66" s="6">
        <v>6238.01</v>
      </c>
      <c r="S66" s="6">
        <v>20650.13</v>
      </c>
      <c r="T66" s="6">
        <v>44901.919999999998</v>
      </c>
      <c r="U66" s="56">
        <v>45839</v>
      </c>
      <c r="V66" s="59">
        <f t="shared" si="25"/>
        <v>162.69587707287388</v>
      </c>
      <c r="W66" s="59">
        <f t="shared" si="26"/>
        <v>149.19292925186011</v>
      </c>
      <c r="X66" s="59">
        <f t="shared" si="27"/>
        <v>147.89517485181929</v>
      </c>
      <c r="Y66" s="59">
        <f t="shared" si="28"/>
        <v>132.55238030574304</v>
      </c>
    </row>
    <row r="67" spans="16:25" x14ac:dyDescent="0.25">
      <c r="P67" s="56">
        <v>45870</v>
      </c>
      <c r="Q67" s="6">
        <v>232.14</v>
      </c>
      <c r="R67" s="6">
        <v>6460.26</v>
      </c>
      <c r="S67" s="6">
        <v>21496.54</v>
      </c>
      <c r="T67" s="6">
        <v>45544.88</v>
      </c>
      <c r="U67" s="56">
        <v>45870</v>
      </c>
      <c r="V67" s="59">
        <f t="shared" si="25"/>
        <v>176.58603377453215</v>
      </c>
      <c r="W67" s="59">
        <f t="shared" si="26"/>
        <v>154.50842706706496</v>
      </c>
      <c r="X67" s="59">
        <f t="shared" si="27"/>
        <v>153.95711997983196</v>
      </c>
      <c r="Y67" s="59">
        <f t="shared" si="28"/>
        <v>134.45042561074072</v>
      </c>
    </row>
    <row r="68" spans="16:25" x14ac:dyDescent="0.25">
      <c r="P68" s="56">
        <v>45901</v>
      </c>
      <c r="Q68" s="6">
        <v>255.46</v>
      </c>
      <c r="R68" s="6">
        <v>6715.79</v>
      </c>
      <c r="S68" s="6">
        <v>22780.51</v>
      </c>
      <c r="T68" s="6">
        <v>46758.28</v>
      </c>
      <c r="U68" s="56">
        <v>45901</v>
      </c>
      <c r="V68" s="59">
        <f t="shared" si="25"/>
        <v>194.32527004411989</v>
      </c>
      <c r="W68" s="59">
        <f t="shared" si="26"/>
        <v>160.61987434139249</v>
      </c>
      <c r="X68" s="59">
        <f t="shared" si="27"/>
        <v>163.15284744762465</v>
      </c>
      <c r="Y68" s="59">
        <f t="shared" si="28"/>
        <v>138.03243409195909</v>
      </c>
    </row>
    <row r="69" spans="16:25" x14ac:dyDescent="0.25">
      <c r="P69" s="56">
        <v>45931</v>
      </c>
      <c r="Q69" s="6">
        <v>262.82</v>
      </c>
      <c r="R69" s="6">
        <v>6840.2</v>
      </c>
      <c r="S69" s="6">
        <v>23204.87</v>
      </c>
      <c r="T69" s="6">
        <v>47207.12</v>
      </c>
      <c r="U69" s="56">
        <v>45931</v>
      </c>
      <c r="V69" s="59">
        <f t="shared" si="25"/>
        <v>199.92393123383536</v>
      </c>
      <c r="W69" s="59">
        <f t="shared" si="26"/>
        <v>163.59535728037847</v>
      </c>
      <c r="X69" s="59">
        <f t="shared" si="27"/>
        <v>166.19209206255533</v>
      </c>
      <c r="Y69" s="59">
        <f t="shared" si="28"/>
        <v>139.357428888984</v>
      </c>
    </row>
    <row r="70" spans="16:25" x14ac:dyDescent="0.25">
      <c r="P70" s="56">
        <v>45962</v>
      </c>
      <c r="Q70" s="6">
        <v>271.49</v>
      </c>
      <c r="R70" s="6">
        <v>6849.09</v>
      </c>
      <c r="S70" s="6">
        <v>23365.69</v>
      </c>
      <c r="T70" s="6">
        <v>46245.41</v>
      </c>
      <c r="U70" s="56">
        <v>45962</v>
      </c>
      <c r="V70" s="59">
        <f t="shared" si="25"/>
        <v>206.51909326030733</v>
      </c>
      <c r="W70" s="59">
        <f t="shared" si="26"/>
        <v>163.80797719298664</v>
      </c>
      <c r="X70" s="59">
        <f t="shared" si="27"/>
        <v>167.3438766769703</v>
      </c>
      <c r="Y70" s="59">
        <f t="shared" si="28"/>
        <v>136.51842000776389</v>
      </c>
    </row>
    <row r="71" spans="16:25" x14ac:dyDescent="0.25">
      <c r="P71" s="56">
        <v>45992</v>
      </c>
      <c r="Q71" s="6">
        <v>271.01</v>
      </c>
      <c r="R71" s="6">
        <v>6929.94</v>
      </c>
      <c r="S71" s="6">
        <v>23593.1</v>
      </c>
      <c r="T71" s="6">
        <v>48134.89</v>
      </c>
      <c r="U71" s="56">
        <v>45992</v>
      </c>
      <c r="V71" s="59">
        <f t="shared" si="25"/>
        <v>206.15396318271718</v>
      </c>
      <c r="W71" s="59">
        <f t="shared" si="26"/>
        <v>165.74164647694306</v>
      </c>
      <c r="X71" s="59">
        <f t="shared" si="27"/>
        <v>168.97257546545504</v>
      </c>
      <c r="Y71" s="59">
        <f t="shared" si="28"/>
        <v>142.09624544462929</v>
      </c>
    </row>
    <row r="72" spans="16:25" x14ac:dyDescent="0.25">
      <c r="P72" s="56">
        <v>46023</v>
      </c>
      <c r="Q72" s="6">
        <v>248.04</v>
      </c>
      <c r="R72" s="6">
        <v>6939.03</v>
      </c>
      <c r="S72" s="6">
        <v>23461.82</v>
      </c>
      <c r="T72" s="6">
        <v>49098.71</v>
      </c>
      <c r="U72" s="56">
        <v>46023</v>
      </c>
      <c r="V72" s="59">
        <f t="shared" si="25"/>
        <v>188.68096759470561</v>
      </c>
      <c r="W72" s="59">
        <f t="shared" si="26"/>
        <v>165.95904973966614</v>
      </c>
      <c r="X72" s="59">
        <f t="shared" si="27"/>
        <v>168.0323548201348</v>
      </c>
      <c r="Y72" s="59">
        <f t="shared" si="28"/>
        <v>144.9414831357187</v>
      </c>
    </row>
    <row r="73" spans="16:25" x14ac:dyDescent="0.25">
      <c r="P73" s="56">
        <v>46054</v>
      </c>
      <c r="Q73" s="6">
        <v>264.18</v>
      </c>
      <c r="R73" s="6">
        <v>6909.51</v>
      </c>
      <c r="S73" s="6">
        <v>22668.21</v>
      </c>
      <c r="T73" s="6">
        <v>48977.919999999998</v>
      </c>
      <c r="U73" s="56">
        <v>46054</v>
      </c>
      <c r="V73" s="59">
        <f t="shared" si="25"/>
        <v>200.95846645367411</v>
      </c>
      <c r="W73" s="59">
        <f t="shared" si="26"/>
        <v>165.25302726270399</v>
      </c>
      <c r="X73" s="59">
        <f t="shared" si="27"/>
        <v>162.34856059151969</v>
      </c>
      <c r="Y73" s="59">
        <f t="shared" si="28"/>
        <v>144.58490591102247</v>
      </c>
    </row>
    <row r="74" spans="16:25" x14ac:dyDescent="0.25">
      <c r="P74" s="56">
        <v>46082</v>
      </c>
      <c r="Q74" s="6">
        <v>247.99</v>
      </c>
      <c r="R74" s="6">
        <v>6368.85</v>
      </c>
      <c r="S74" s="6">
        <v>20948.36</v>
      </c>
      <c r="T74" s="6">
        <v>45577.47</v>
      </c>
      <c r="U74" s="56">
        <v>46082</v>
      </c>
      <c r="V74" s="59">
        <f t="shared" si="25"/>
        <v>188.6429332116233</v>
      </c>
      <c r="W74" s="59">
        <f t="shared" si="26"/>
        <v>152.32219689704078</v>
      </c>
      <c r="X74" s="59">
        <f t="shared" si="27"/>
        <v>150.03108285801866</v>
      </c>
      <c r="Y74" s="59">
        <f t="shared" si="28"/>
        <v>134.54663267881631</v>
      </c>
    </row>
    <row r="75" spans="16:25" x14ac:dyDescent="0.25">
      <c r="P75" s="56">
        <v>46113</v>
      </c>
      <c r="Q75" s="60">
        <v>271.06</v>
      </c>
      <c r="R75" s="6">
        <v>7123.06</v>
      </c>
      <c r="S75" s="6">
        <v>24468.48</v>
      </c>
      <c r="T75" s="6">
        <v>49447.43</v>
      </c>
      <c r="U75" s="56">
        <v>46113</v>
      </c>
      <c r="V75" s="59">
        <f>(Q75/$Q$15)*100</f>
        <v>206.19199756579948</v>
      </c>
      <c r="W75" s="59">
        <f>(R75/$R$15)*100</f>
        <v>170.36044934790979</v>
      </c>
      <c r="X75" s="59">
        <f>(S75/$S$15)*100</f>
        <v>175.24200225171671</v>
      </c>
      <c r="Y75" s="59">
        <f>(T75/$T$15)*100</f>
        <v>145.97091942842553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E803-E8A3-49F7-ADA7-8913344A4429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1.42578125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4" customFormat="1" ht="33.75" x14ac:dyDescent="0.5">
      <c r="A1" s="23" t="s">
        <v>0</v>
      </c>
    </row>
    <row r="3" spans="1:26" s="1" customFormat="1" ht="21" x14ac:dyDescent="0.35">
      <c r="A3" s="2" t="s">
        <v>65</v>
      </c>
    </row>
    <row r="5" spans="1:26" x14ac:dyDescent="0.25">
      <c r="A5" s="31" t="s">
        <v>1</v>
      </c>
      <c r="B5" s="32"/>
      <c r="C5" s="33"/>
      <c r="P5" t="s">
        <v>60</v>
      </c>
    </row>
    <row r="6" spans="1:26" x14ac:dyDescent="0.25">
      <c r="A6" s="34" t="s">
        <v>2</v>
      </c>
      <c r="B6" s="35">
        <v>0.15</v>
      </c>
      <c r="C6" s="36"/>
      <c r="P6" t="s">
        <v>61</v>
      </c>
      <c r="Q6" t="s">
        <v>62</v>
      </c>
      <c r="S6" t="s">
        <v>63</v>
      </c>
      <c r="T6" t="s">
        <v>64</v>
      </c>
    </row>
    <row r="7" spans="1:26" x14ac:dyDescent="0.25">
      <c r="A7" s="34" t="s">
        <v>3</v>
      </c>
      <c r="B7" s="44">
        <v>8.2799999999999999E-2</v>
      </c>
      <c r="C7" s="36"/>
      <c r="P7">
        <v>2026</v>
      </c>
      <c r="Q7" s="22">
        <f>D28</f>
        <v>145656350000</v>
      </c>
      <c r="R7" s="22"/>
      <c r="S7" t="s">
        <v>42</v>
      </c>
      <c r="T7" s="14">
        <f>B40</f>
        <v>396.84127601400462</v>
      </c>
    </row>
    <row r="8" spans="1:26" x14ac:dyDescent="0.25">
      <c r="A8" s="34" t="s">
        <v>4</v>
      </c>
      <c r="B8" s="44">
        <v>4.4999999999999998E-2</v>
      </c>
      <c r="C8" s="36"/>
      <c r="P8">
        <v>2027</v>
      </c>
      <c r="Q8" s="22">
        <f>E28</f>
        <v>176244183500</v>
      </c>
      <c r="R8" s="22"/>
      <c r="S8" t="s">
        <v>57</v>
      </c>
      <c r="T8" s="14">
        <v>125.84</v>
      </c>
    </row>
    <row r="9" spans="1:26" x14ac:dyDescent="0.25">
      <c r="A9" s="34" t="s">
        <v>5</v>
      </c>
      <c r="B9" s="37" t="s">
        <v>98</v>
      </c>
      <c r="C9" s="36"/>
      <c r="P9">
        <v>2028</v>
      </c>
      <c r="Q9" s="22">
        <f>F28</f>
        <v>206205694695</v>
      </c>
      <c r="R9" s="22"/>
      <c r="S9" t="s">
        <v>8</v>
      </c>
      <c r="T9" s="14">
        <f>B12</f>
        <v>271</v>
      </c>
    </row>
    <row r="10" spans="1:26" x14ac:dyDescent="0.25">
      <c r="A10" s="34" t="s">
        <v>6</v>
      </c>
      <c r="B10" s="38">
        <v>46142</v>
      </c>
      <c r="C10" s="36"/>
      <c r="P10">
        <v>2029</v>
      </c>
      <c r="Q10" s="22">
        <f>G28</f>
        <v>239198605846.19998</v>
      </c>
      <c r="R10" s="22"/>
    </row>
    <row r="11" spans="1:26" x14ac:dyDescent="0.25">
      <c r="A11" s="34" t="s">
        <v>7</v>
      </c>
      <c r="B11" s="38">
        <v>46291</v>
      </c>
      <c r="C11" s="36"/>
      <c r="P11">
        <v>2030</v>
      </c>
      <c r="Q11" s="22">
        <f>H28</f>
        <v>275078396723.13</v>
      </c>
      <c r="R11" s="22"/>
    </row>
    <row r="12" spans="1:26" x14ac:dyDescent="0.25">
      <c r="A12" s="34" t="s">
        <v>8</v>
      </c>
      <c r="B12" s="39">
        <v>271</v>
      </c>
      <c r="C12" s="36" t="s">
        <v>86</v>
      </c>
      <c r="P12">
        <v>2031</v>
      </c>
      <c r="Q12" s="22">
        <f>I28</f>
        <v>305337020362.67432</v>
      </c>
      <c r="R12" s="22"/>
    </row>
    <row r="13" spans="1:26" x14ac:dyDescent="0.25">
      <c r="A13" s="34" t="s">
        <v>9</v>
      </c>
      <c r="B13" s="40">
        <v>14500000000</v>
      </c>
      <c r="C13" s="36"/>
    </row>
    <row r="14" spans="1:26" x14ac:dyDescent="0.25">
      <c r="A14" s="34" t="s">
        <v>10</v>
      </c>
      <c r="B14" s="39">
        <v>84710000000</v>
      </c>
      <c r="C14" s="36"/>
      <c r="P14" s="6" t="s">
        <v>16</v>
      </c>
      <c r="Q14" s="6" t="s">
        <v>75</v>
      </c>
      <c r="R14" s="6" t="s">
        <v>66</v>
      </c>
      <c r="S14" s="6" t="s">
        <v>72</v>
      </c>
      <c r="T14" s="6" t="s">
        <v>67</v>
      </c>
      <c r="U14" s="6" t="s">
        <v>16</v>
      </c>
      <c r="V14" s="6" t="s">
        <v>80</v>
      </c>
      <c r="W14" s="6" t="s">
        <v>68</v>
      </c>
      <c r="X14" s="6" t="s">
        <v>73</v>
      </c>
      <c r="Y14" s="6" t="s">
        <v>69</v>
      </c>
      <c r="Z14" t="s">
        <v>70</v>
      </c>
    </row>
    <row r="15" spans="1:26" x14ac:dyDescent="0.25">
      <c r="A15" s="34" t="s">
        <v>11</v>
      </c>
      <c r="B15" s="39">
        <v>67000000000</v>
      </c>
      <c r="C15" s="36"/>
      <c r="P15" s="56">
        <v>44287</v>
      </c>
      <c r="Q15" s="57">
        <v>131.46</v>
      </c>
      <c r="R15" s="6">
        <v>4181.17</v>
      </c>
      <c r="S15" s="6">
        <v>13962.68</v>
      </c>
      <c r="T15" s="6">
        <v>33874.85</v>
      </c>
      <c r="U15" s="56">
        <v>44287</v>
      </c>
      <c r="V15" s="58">
        <f t="shared" ref="V15:V26" si="0">(Q15/$Q$15)*100</f>
        <v>100</v>
      </c>
      <c r="W15" s="58">
        <f t="shared" ref="W15:W26" si="1">(R15/$R$15)*100</f>
        <v>100</v>
      </c>
      <c r="X15" s="58">
        <f t="shared" ref="X15:X26" si="2">(S15/$S$15)*100</f>
        <v>100</v>
      </c>
      <c r="Y15" s="58">
        <f t="shared" ref="Y15:Y26" si="3">(T15/$T$15)*100</f>
        <v>100</v>
      </c>
      <c r="Z15" t="s">
        <v>71</v>
      </c>
    </row>
    <row r="16" spans="1:26" x14ac:dyDescent="0.25">
      <c r="A16" s="34" t="s">
        <v>12</v>
      </c>
      <c r="B16" s="39" t="s">
        <v>125</v>
      </c>
      <c r="C16" s="36"/>
      <c r="P16" s="56">
        <v>44317</v>
      </c>
      <c r="Q16" s="6">
        <v>125.89</v>
      </c>
      <c r="R16" s="6">
        <v>4229.8900000000003</v>
      </c>
      <c r="S16" s="6">
        <v>13814.49</v>
      </c>
      <c r="T16" s="6">
        <v>34529.449999999997</v>
      </c>
      <c r="U16" s="56">
        <v>44317</v>
      </c>
      <c r="V16" s="59">
        <f t="shared" si="0"/>
        <v>95.762969724631063</v>
      </c>
      <c r="W16" s="59">
        <f t="shared" si="1"/>
        <v>101.16522408799452</v>
      </c>
      <c r="X16" s="59">
        <f t="shared" si="2"/>
        <v>98.938670799588607</v>
      </c>
      <c r="Y16" s="59">
        <f t="shared" si="3"/>
        <v>101.93240708076937</v>
      </c>
      <c r="Z16" t="s">
        <v>81</v>
      </c>
    </row>
    <row r="17" spans="1:25" x14ac:dyDescent="0.25">
      <c r="A17" s="41" t="s">
        <v>90</v>
      </c>
      <c r="B17" s="42"/>
      <c r="C17" s="43"/>
      <c r="P17" s="56">
        <v>44348</v>
      </c>
      <c r="Q17" s="6">
        <v>133.11000000000001</v>
      </c>
      <c r="R17" s="6">
        <v>4352.34</v>
      </c>
      <c r="S17" s="6">
        <v>14639.33</v>
      </c>
      <c r="T17" s="6">
        <v>34433.839999999997</v>
      </c>
      <c r="U17" s="56">
        <v>44348</v>
      </c>
      <c r="V17" s="59">
        <f t="shared" si="0"/>
        <v>101.25513464171611</v>
      </c>
      <c r="W17" s="59">
        <f t="shared" si="1"/>
        <v>104.09383019585428</v>
      </c>
      <c r="X17" s="59">
        <f t="shared" si="2"/>
        <v>104.84613269085877</v>
      </c>
      <c r="Y17" s="59">
        <f t="shared" si="3"/>
        <v>101.65016228854149</v>
      </c>
    </row>
    <row r="18" spans="1:25" x14ac:dyDescent="0.25">
      <c r="P18" s="56">
        <v>44378</v>
      </c>
      <c r="Q18" s="6">
        <v>148.56</v>
      </c>
      <c r="R18" s="6">
        <v>4395.26</v>
      </c>
      <c r="S18" s="6">
        <v>14672.68</v>
      </c>
      <c r="T18" s="6">
        <v>35061.550000000003</v>
      </c>
      <c r="U18" s="56">
        <v>44378</v>
      </c>
      <c r="V18" s="59">
        <f t="shared" si="0"/>
        <v>113.00775901414879</v>
      </c>
      <c r="W18" s="59">
        <f t="shared" si="1"/>
        <v>105.12033713051609</v>
      </c>
      <c r="X18" s="59">
        <f t="shared" si="2"/>
        <v>105.08498368508053</v>
      </c>
      <c r="Y18" s="59">
        <f t="shared" si="3"/>
        <v>103.50318894401009</v>
      </c>
    </row>
    <row r="19" spans="1:25" x14ac:dyDescent="0.25">
      <c r="A19" s="10" t="s">
        <v>44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44409</v>
      </c>
      <c r="Q19" s="6">
        <v>148.6</v>
      </c>
      <c r="R19" s="6">
        <v>4509.37</v>
      </c>
      <c r="S19" s="6">
        <v>14714.66</v>
      </c>
      <c r="T19" s="6">
        <v>35120.080000000002</v>
      </c>
      <c r="U19" s="56">
        <v>44409</v>
      </c>
      <c r="V19" s="59">
        <f t="shared" si="0"/>
        <v>113.03818652061462</v>
      </c>
      <c r="W19" s="59">
        <f t="shared" si="1"/>
        <v>107.8494775385837</v>
      </c>
      <c r="X19" s="59">
        <f t="shared" si="2"/>
        <v>105.38564229789695</v>
      </c>
      <c r="Y19" s="59">
        <f t="shared" si="3"/>
        <v>103.67597199692398</v>
      </c>
    </row>
    <row r="20" spans="1:25" x14ac:dyDescent="0.25">
      <c r="A20" t="s">
        <v>16</v>
      </c>
      <c r="C20" s="7">
        <v>46142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1">
        <f>I28*(1+B8)/(B7-B8)</f>
        <v>8441195404206.207</v>
      </c>
      <c r="P20" s="56">
        <v>44440</v>
      </c>
      <c r="Q20" s="6">
        <v>142.65</v>
      </c>
      <c r="R20" s="6">
        <v>4455.4799999999996</v>
      </c>
      <c r="S20" s="6">
        <v>15047.7</v>
      </c>
      <c r="T20" s="6">
        <v>34326.46</v>
      </c>
      <c r="U20" s="56">
        <v>44440</v>
      </c>
      <c r="V20" s="59">
        <f t="shared" si="0"/>
        <v>108.51209493382017</v>
      </c>
      <c r="W20" s="59">
        <f t="shared" si="1"/>
        <v>106.5606038501185</v>
      </c>
      <c r="X20" s="59">
        <f t="shared" si="2"/>
        <v>107.77085774364235</v>
      </c>
      <c r="Y20" s="59">
        <f t="shared" si="3"/>
        <v>101.33317195500497</v>
      </c>
    </row>
    <row r="21" spans="1:25" x14ac:dyDescent="0.25">
      <c r="A21" t="s">
        <v>18</v>
      </c>
      <c r="B21" t="s">
        <v>74</v>
      </c>
      <c r="C21" s="28"/>
      <c r="D21" s="5">
        <v>416161000000</v>
      </c>
      <c r="E21" s="5">
        <f>D21*1.21</f>
        <v>503554810000</v>
      </c>
      <c r="F21" s="5">
        <f>E21*1.17</f>
        <v>589159127700</v>
      </c>
      <c r="G21" s="5">
        <f>F21*1.16</f>
        <v>683424588132</v>
      </c>
      <c r="H21" s="5">
        <f>G21*1.15</f>
        <v>785938276351.79993</v>
      </c>
      <c r="I21" s="5">
        <f>H21*1.11</f>
        <v>872391486750.49805</v>
      </c>
      <c r="L21" t="s">
        <v>19</v>
      </c>
      <c r="M21" s="11">
        <f>(I22+I25)*33</f>
        <v>12523179792303.4</v>
      </c>
      <c r="P21" s="56">
        <v>44470</v>
      </c>
      <c r="Q21" s="6">
        <v>149.80000000000001</v>
      </c>
      <c r="R21" s="6">
        <v>4544.8999999999996</v>
      </c>
      <c r="S21" s="6">
        <v>15498.39</v>
      </c>
      <c r="T21" s="6">
        <v>35677.019999999997</v>
      </c>
      <c r="U21" s="56">
        <v>44470</v>
      </c>
      <c r="V21" s="59">
        <f t="shared" si="0"/>
        <v>113.95101171459</v>
      </c>
      <c r="W21" s="59">
        <f t="shared" si="1"/>
        <v>108.69923968649921</v>
      </c>
      <c r="X21" s="59">
        <f t="shared" si="2"/>
        <v>110.99867647185211</v>
      </c>
      <c r="Y21" s="59">
        <f t="shared" si="3"/>
        <v>105.32008259815173</v>
      </c>
    </row>
    <row r="22" spans="1:25" x14ac:dyDescent="0.25">
      <c r="A22" t="s">
        <v>20</v>
      </c>
      <c r="B22" t="s">
        <v>124</v>
      </c>
      <c r="C22" s="29">
        <v>0.4</v>
      </c>
      <c r="D22" s="5">
        <f>D21*$C$22</f>
        <v>166464400000</v>
      </c>
      <c r="E22" s="5">
        <f t="shared" ref="E22:I22" si="4">E21*$C$22</f>
        <v>201421924000</v>
      </c>
      <c r="F22" s="5">
        <f t="shared" si="4"/>
        <v>235663651080</v>
      </c>
      <c r="G22" s="5">
        <f t="shared" si="4"/>
        <v>273369835252.80002</v>
      </c>
      <c r="H22" s="5">
        <f t="shared" si="4"/>
        <v>314375310540.71997</v>
      </c>
      <c r="I22" s="5">
        <f t="shared" si="4"/>
        <v>348956594700.19922</v>
      </c>
      <c r="L22" t="s">
        <v>21</v>
      </c>
      <c r="M22" s="11">
        <f>(M20+M21)/2</f>
        <v>10482187598254.805</v>
      </c>
      <c r="P22" s="56">
        <v>44501</v>
      </c>
      <c r="Q22" s="6">
        <v>156.81</v>
      </c>
      <c r="R22" s="6">
        <v>4594.62</v>
      </c>
      <c r="S22" s="6">
        <v>15085.47</v>
      </c>
      <c r="T22" s="6">
        <v>34889.339999999997</v>
      </c>
      <c r="U22" s="56">
        <v>44501</v>
      </c>
      <c r="V22" s="59">
        <f t="shared" si="0"/>
        <v>119.28343222272935</v>
      </c>
      <c r="W22" s="59">
        <f t="shared" si="1"/>
        <v>109.88838052506833</v>
      </c>
      <c r="X22" s="59">
        <f t="shared" si="2"/>
        <v>108.04136455179092</v>
      </c>
      <c r="Y22" s="59">
        <f t="shared" si="3"/>
        <v>102.99481768922962</v>
      </c>
    </row>
    <row r="23" spans="1:25" x14ac:dyDescent="0.25">
      <c r="A23" t="s">
        <v>22</v>
      </c>
      <c r="B23" t="s">
        <v>23</v>
      </c>
      <c r="C23" s="29"/>
      <c r="D23" s="5">
        <f>D22*$B$6</f>
        <v>24969660000</v>
      </c>
      <c r="E23" s="5">
        <f t="shared" ref="E23:I23" si="5">E22*$B$6</f>
        <v>30213288600</v>
      </c>
      <c r="F23" s="5">
        <f t="shared" si="5"/>
        <v>35349547662</v>
      </c>
      <c r="G23" s="5">
        <f t="shared" si="5"/>
        <v>41005475287.919998</v>
      </c>
      <c r="H23" s="5">
        <f t="shared" si="5"/>
        <v>47156296581.107994</v>
      </c>
      <c r="I23" s="5">
        <f t="shared" si="5"/>
        <v>52343489205.029884</v>
      </c>
      <c r="P23" s="56">
        <v>44531</v>
      </c>
      <c r="Q23" s="6">
        <v>177.57</v>
      </c>
      <c r="R23" s="6">
        <v>4766.18</v>
      </c>
      <c r="S23" s="6">
        <v>15653.37</v>
      </c>
      <c r="T23" s="6">
        <v>35950.559999999998</v>
      </c>
      <c r="U23" s="56">
        <v>44531</v>
      </c>
      <c r="V23" s="59">
        <f t="shared" si="0"/>
        <v>135.07530807850293</v>
      </c>
      <c r="W23" s="59">
        <f t="shared" si="1"/>
        <v>113.99153825364672</v>
      </c>
      <c r="X23" s="59">
        <f t="shared" si="2"/>
        <v>112.10863530497011</v>
      </c>
      <c r="Y23" s="59">
        <f t="shared" si="3"/>
        <v>106.12758432878668</v>
      </c>
    </row>
    <row r="24" spans="1:25" x14ac:dyDescent="0.25">
      <c r="A24" t="s">
        <v>24</v>
      </c>
      <c r="B24" t="s">
        <v>25</v>
      </c>
      <c r="C24" s="29"/>
      <c r="D24" s="5">
        <f>D22*(1-$B$6)</f>
        <v>141494740000</v>
      </c>
      <c r="E24" s="5">
        <f t="shared" ref="E24:I24" si="6">E22*(1-$B$6)</f>
        <v>171208635400</v>
      </c>
      <c r="F24" s="5">
        <f t="shared" si="6"/>
        <v>200314103418</v>
      </c>
      <c r="G24" s="5">
        <f t="shared" si="6"/>
        <v>232364359964.88</v>
      </c>
      <c r="H24" s="5">
        <f t="shared" si="6"/>
        <v>267219013959.61197</v>
      </c>
      <c r="I24" s="5">
        <f t="shared" si="6"/>
        <v>296613105495.16931</v>
      </c>
      <c r="P24" s="56">
        <v>44562</v>
      </c>
      <c r="Q24" s="6">
        <v>172.39</v>
      </c>
      <c r="R24" s="6">
        <v>4500.53</v>
      </c>
      <c r="S24" s="6">
        <v>13770.57</v>
      </c>
      <c r="T24" s="6">
        <v>34725.47</v>
      </c>
      <c r="U24" s="56">
        <v>44562</v>
      </c>
      <c r="V24" s="59">
        <f t="shared" si="0"/>
        <v>131.13494599117601</v>
      </c>
      <c r="W24" s="59">
        <f t="shared" si="1"/>
        <v>107.63805346350424</v>
      </c>
      <c r="X24" s="59">
        <f t="shared" si="2"/>
        <v>98.624118005998838</v>
      </c>
      <c r="Y24" s="59">
        <f t="shared" si="3"/>
        <v>102.51106646966703</v>
      </c>
    </row>
    <row r="25" spans="1:25" x14ac:dyDescent="0.25">
      <c r="A25" s="4" t="s">
        <v>26</v>
      </c>
      <c r="B25" s="8" t="s">
        <v>99</v>
      </c>
      <c r="C25" s="45">
        <v>3.5000000000000003E-2</v>
      </c>
      <c r="D25" s="26">
        <f>D21*$C$25</f>
        <v>14565635000.000002</v>
      </c>
      <c r="E25" s="26">
        <f t="shared" ref="E25:I25" si="7">E21*$C$25</f>
        <v>17624418350</v>
      </c>
      <c r="F25" s="26">
        <f t="shared" si="7"/>
        <v>20620569469.500004</v>
      </c>
      <c r="G25" s="26">
        <f t="shared" si="7"/>
        <v>23919860584.620003</v>
      </c>
      <c r="H25" s="26">
        <f t="shared" si="7"/>
        <v>27507839672.313</v>
      </c>
      <c r="I25" s="26">
        <f t="shared" si="7"/>
        <v>30533702036.267433</v>
      </c>
      <c r="P25" s="56">
        <v>44593</v>
      </c>
      <c r="Q25" s="6">
        <v>163.16999999999999</v>
      </c>
      <c r="R25" s="6">
        <v>4384.6499999999996</v>
      </c>
      <c r="S25" s="6">
        <v>13313.44</v>
      </c>
      <c r="T25" s="6">
        <v>34058.75</v>
      </c>
      <c r="U25" s="56">
        <v>44593</v>
      </c>
      <c r="V25" s="59">
        <f t="shared" si="0"/>
        <v>124.12140575079871</v>
      </c>
      <c r="W25" s="59">
        <f t="shared" si="1"/>
        <v>104.86658040691958</v>
      </c>
      <c r="X25" s="59">
        <f t="shared" si="2"/>
        <v>95.350176327180748</v>
      </c>
      <c r="Y25" s="59">
        <f t="shared" si="3"/>
        <v>100.54288063268177</v>
      </c>
    </row>
    <row r="26" spans="1:25" x14ac:dyDescent="0.25">
      <c r="A26" t="s">
        <v>27</v>
      </c>
      <c r="B26" t="s">
        <v>95</v>
      </c>
      <c r="C26" s="29">
        <v>0.02</v>
      </c>
      <c r="D26" s="27">
        <f>D21*$C$26</f>
        <v>8323220000</v>
      </c>
      <c r="E26" s="27">
        <f t="shared" ref="E26:I26" si="8">E21*$C$26</f>
        <v>10071096200</v>
      </c>
      <c r="F26" s="27">
        <f t="shared" si="8"/>
        <v>11783182554</v>
      </c>
      <c r="G26" s="27">
        <f t="shared" si="8"/>
        <v>13668491762.639999</v>
      </c>
      <c r="H26" s="27">
        <f t="shared" si="8"/>
        <v>15718765527.035999</v>
      </c>
      <c r="I26" s="27">
        <f t="shared" si="8"/>
        <v>17447829735.00996</v>
      </c>
      <c r="P26" s="56">
        <v>44621</v>
      </c>
      <c r="Q26" s="6">
        <v>174.31</v>
      </c>
      <c r="R26" s="6">
        <v>4543.0600000000004</v>
      </c>
      <c r="S26" s="6">
        <v>14169.3</v>
      </c>
      <c r="T26" s="6">
        <v>34861.24</v>
      </c>
      <c r="U26" s="56">
        <v>44621</v>
      </c>
      <c r="V26" s="59">
        <f t="shared" si="0"/>
        <v>132.59546630153659</v>
      </c>
      <c r="W26" s="59">
        <f t="shared" si="1"/>
        <v>108.65523286544199</v>
      </c>
      <c r="X26" s="59">
        <f t="shared" si="2"/>
        <v>101.47980187184696</v>
      </c>
      <c r="Y26" s="59">
        <f t="shared" si="3"/>
        <v>102.91186529239245</v>
      </c>
    </row>
    <row r="27" spans="1:25" x14ac:dyDescent="0.25">
      <c r="A27" t="s">
        <v>28</v>
      </c>
      <c r="B27" t="s">
        <v>93</v>
      </c>
      <c r="C27" s="45">
        <v>5.0000000000000001E-3</v>
      </c>
      <c r="D27" s="27">
        <f>D21*$C$27</f>
        <v>2080805000</v>
      </c>
      <c r="E27" s="27">
        <f t="shared" ref="E27:I27" si="9">E21*$C$27</f>
        <v>2517774050</v>
      </c>
      <c r="F27" s="27">
        <f t="shared" si="9"/>
        <v>2945795638.5</v>
      </c>
      <c r="G27" s="27">
        <f t="shared" si="9"/>
        <v>3417122940.6599998</v>
      </c>
      <c r="H27" s="27">
        <f t="shared" si="9"/>
        <v>3929691381.7589998</v>
      </c>
      <c r="I27" s="27">
        <f t="shared" si="9"/>
        <v>4361957433.75249</v>
      </c>
      <c r="P27" s="56">
        <v>44652</v>
      </c>
      <c r="Q27" s="59">
        <v>161.79</v>
      </c>
      <c r="R27" s="6">
        <v>4271.78</v>
      </c>
      <c r="S27" s="6">
        <v>12839.29</v>
      </c>
      <c r="T27" s="6">
        <v>33811.4</v>
      </c>
      <c r="U27" s="56">
        <v>44652</v>
      </c>
      <c r="V27" s="59">
        <f>(Q27/$Q$15)*100</f>
        <v>123.07165677772704</v>
      </c>
      <c r="W27" s="59">
        <f>(R27/$R$15)*100</f>
        <v>102.16709676956451</v>
      </c>
      <c r="X27" s="59">
        <f>(S27/$S$15)*100</f>
        <v>91.954338278897751</v>
      </c>
      <c r="Y27" s="59">
        <f>(T27/$T$15)*100</f>
        <v>99.81269289753314</v>
      </c>
    </row>
    <row r="28" spans="1:25" ht="30" x14ac:dyDescent="0.25">
      <c r="A28" s="8" t="s">
        <v>29</v>
      </c>
      <c r="B28" s="9" t="s">
        <v>30</v>
      </c>
      <c r="C28" s="30"/>
      <c r="D28" s="26">
        <f>D24+D25-D26-D27</f>
        <v>145656350000</v>
      </c>
      <c r="E28" s="26">
        <f t="shared" ref="E28:I28" si="10">E24+E25-E26-E27</f>
        <v>176244183500</v>
      </c>
      <c r="F28" s="26">
        <f t="shared" si="10"/>
        <v>206205694695</v>
      </c>
      <c r="G28" s="26">
        <f t="shared" si="10"/>
        <v>239198605846.19998</v>
      </c>
      <c r="H28" s="26">
        <f t="shared" si="10"/>
        <v>275078396723.13</v>
      </c>
      <c r="I28" s="26">
        <f t="shared" si="10"/>
        <v>305337020362.67432</v>
      </c>
      <c r="P28" s="56">
        <v>44682</v>
      </c>
      <c r="Q28" s="6">
        <v>149.63999999999999</v>
      </c>
      <c r="R28" s="6">
        <v>4158.24</v>
      </c>
      <c r="S28" s="6">
        <v>11354.62</v>
      </c>
      <c r="T28" s="6">
        <v>33212.959999999999</v>
      </c>
      <c r="U28" s="56">
        <v>44682</v>
      </c>
      <c r="V28" s="59">
        <f t="shared" ref="V28:V38" si="11">(Q28/$Q$15)*100</f>
        <v>113.82930168872659</v>
      </c>
      <c r="W28" s="59">
        <f t="shared" ref="W28:W38" si="12">(R28/$R$15)*100</f>
        <v>99.451588909324414</v>
      </c>
      <c r="X28" s="59">
        <f t="shared" ref="X28:X38" si="13">(S28/$S$15)*100</f>
        <v>81.32120767646326</v>
      </c>
      <c r="Y28" s="59">
        <f t="shared" ref="Y28:Y50" si="14">(T28/$T$15)*100</f>
        <v>98.046072528734456</v>
      </c>
    </row>
    <row r="29" spans="1:25" x14ac:dyDescent="0.25">
      <c r="A29" t="s">
        <v>36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44713</v>
      </c>
      <c r="Q29" s="6">
        <v>138.93</v>
      </c>
      <c r="R29" s="6">
        <v>3911.74</v>
      </c>
      <c r="S29" s="6">
        <v>11127.85</v>
      </c>
      <c r="T29" s="6">
        <v>31097.26</v>
      </c>
      <c r="U29" s="56">
        <v>44713</v>
      </c>
      <c r="V29" s="59">
        <f t="shared" si="11"/>
        <v>105.68233683249657</v>
      </c>
      <c r="W29" s="59">
        <f t="shared" si="12"/>
        <v>93.556109892685541</v>
      </c>
      <c r="X29" s="59">
        <f t="shared" si="13"/>
        <v>79.697092535243954</v>
      </c>
      <c r="Y29" s="59">
        <f t="shared" si="14"/>
        <v>91.800436016690838</v>
      </c>
    </row>
    <row r="30" spans="1:25" x14ac:dyDescent="0.25">
      <c r="A30" t="s">
        <v>37</v>
      </c>
      <c r="C30" s="11">
        <f>-G39</f>
        <v>-3947210000000</v>
      </c>
      <c r="D30" s="5">
        <f>D28</f>
        <v>145656350000</v>
      </c>
      <c r="E30" s="5">
        <f t="shared" ref="E30:I30" si="15">E28</f>
        <v>176244183500</v>
      </c>
      <c r="F30" s="5">
        <f t="shared" si="15"/>
        <v>206205694695</v>
      </c>
      <c r="G30" s="5">
        <f t="shared" si="15"/>
        <v>239198605846.19998</v>
      </c>
      <c r="H30" s="5">
        <f t="shared" si="15"/>
        <v>275078396723.13</v>
      </c>
      <c r="I30" s="5">
        <f t="shared" si="15"/>
        <v>305337020362.67432</v>
      </c>
      <c r="J30" s="11">
        <f>I28+M22</f>
        <v>10787524618617.479</v>
      </c>
      <c r="K30" t="s">
        <v>39</v>
      </c>
      <c r="P30" s="56">
        <v>44743</v>
      </c>
      <c r="Q30" s="6">
        <v>162.51</v>
      </c>
      <c r="R30" s="6">
        <v>4130.29</v>
      </c>
      <c r="S30" s="6">
        <v>12390.69</v>
      </c>
      <c r="T30" s="6">
        <v>32845.129999999997</v>
      </c>
      <c r="U30" s="56">
        <v>44743</v>
      </c>
      <c r="V30" s="59">
        <f t="shared" si="11"/>
        <v>123.61935189411226</v>
      </c>
      <c r="W30" s="59">
        <f t="shared" si="12"/>
        <v>98.783115730764351</v>
      </c>
      <c r="X30" s="59">
        <f t="shared" si="13"/>
        <v>88.741488023789131</v>
      </c>
      <c r="Y30" s="59">
        <f t="shared" si="14"/>
        <v>96.960222702093148</v>
      </c>
    </row>
    <row r="31" spans="1:25" x14ac:dyDescent="0.25">
      <c r="A31" t="s">
        <v>38</v>
      </c>
      <c r="D31" s="6">
        <f>1/(1+$B$7)^D29</f>
        <v>0.96100550715393895</v>
      </c>
      <c r="E31" s="6">
        <f t="shared" ref="E31:I31" si="16">1/(1+$B$7)^E29</f>
        <v>0.88751893900437662</v>
      </c>
      <c r="F31" s="6">
        <f t="shared" si="16"/>
        <v>0.81965177226115316</v>
      </c>
      <c r="G31" s="6">
        <f t="shared" si="16"/>
        <v>0.75697430020424195</v>
      </c>
      <c r="H31" s="6">
        <f t="shared" si="16"/>
        <v>0.69908967510550601</v>
      </c>
      <c r="I31" s="6">
        <f t="shared" si="16"/>
        <v>0.6718290277708493</v>
      </c>
      <c r="J31" t="s">
        <v>40</v>
      </c>
      <c r="P31" s="56">
        <v>44774</v>
      </c>
      <c r="Q31" s="6">
        <v>155.81</v>
      </c>
      <c r="R31" s="6">
        <v>3924.26</v>
      </c>
      <c r="S31" s="6">
        <v>12141.71</v>
      </c>
      <c r="T31" s="6">
        <v>31318.44</v>
      </c>
      <c r="U31" s="56">
        <v>44774</v>
      </c>
      <c r="V31" s="59">
        <f t="shared" si="11"/>
        <v>118.5227445610832</v>
      </c>
      <c r="W31" s="59">
        <f t="shared" si="12"/>
        <v>93.855547609879537</v>
      </c>
      <c r="X31" s="59">
        <f t="shared" si="13"/>
        <v>86.958305998561869</v>
      </c>
      <c r="Y31" s="59">
        <f t="shared" si="14"/>
        <v>92.453368797205002</v>
      </c>
    </row>
    <row r="32" spans="1:25" x14ac:dyDescent="0.25">
      <c r="A32" t="s">
        <v>41</v>
      </c>
      <c r="C32" s="11">
        <f>-G39</f>
        <v>-3947210000000</v>
      </c>
      <c r="D32" s="5">
        <f>D30*D31</f>
        <v>139976554501.94165</v>
      </c>
      <c r="E32" s="5">
        <f t="shared" ref="E32:I32" si="17">E30*E31</f>
        <v>156420050745.61267</v>
      </c>
      <c r="F32" s="5">
        <f t="shared" si="17"/>
        <v>169016863107.09903</v>
      </c>
      <c r="G32" s="5">
        <f t="shared" si="17"/>
        <v>181067197270.25754</v>
      </c>
      <c r="H32" s="5">
        <f t="shared" si="17"/>
        <v>192304466993.71643</v>
      </c>
      <c r="I32" s="5">
        <f t="shared" si="17"/>
        <v>205134273532.70349</v>
      </c>
      <c r="J32" s="12">
        <f>M22</f>
        <v>10482187598254.805</v>
      </c>
      <c r="P32" s="56">
        <v>44805</v>
      </c>
      <c r="Q32" s="6">
        <v>138.19999999999999</v>
      </c>
      <c r="R32" s="6">
        <v>3585.62</v>
      </c>
      <c r="S32" s="6">
        <v>10867.93</v>
      </c>
      <c r="T32" s="6">
        <v>30822.42</v>
      </c>
      <c r="U32" s="56">
        <v>44805</v>
      </c>
      <c r="V32" s="59">
        <f t="shared" si="11"/>
        <v>105.12703483949488</v>
      </c>
      <c r="W32" s="59">
        <f t="shared" si="12"/>
        <v>85.756379195297001</v>
      </c>
      <c r="X32" s="59">
        <f t="shared" si="13"/>
        <v>77.835558789573341</v>
      </c>
      <c r="Y32" s="59">
        <f t="shared" si="14"/>
        <v>90.989096630686177</v>
      </c>
    </row>
    <row r="33" spans="1:25" x14ac:dyDescent="0.25">
      <c r="A33" t="s">
        <v>58</v>
      </c>
      <c r="C33" s="25">
        <v>-3862500</v>
      </c>
      <c r="D33" s="21">
        <v>139977</v>
      </c>
      <c r="E33" s="21">
        <v>156420</v>
      </c>
      <c r="F33" s="21">
        <v>169017</v>
      </c>
      <c r="G33" s="21">
        <v>181067</v>
      </c>
      <c r="H33" s="21">
        <v>192304</v>
      </c>
      <c r="I33" s="21">
        <v>205134</v>
      </c>
      <c r="J33" s="21">
        <v>10482188</v>
      </c>
      <c r="P33" s="56">
        <v>44835</v>
      </c>
      <c r="Q33" s="6">
        <v>138.38</v>
      </c>
      <c r="R33" s="6">
        <v>3901.06</v>
      </c>
      <c r="S33" s="6">
        <v>11102.45</v>
      </c>
      <c r="T33" s="6">
        <v>32861.800000000003</v>
      </c>
      <c r="U33" s="56">
        <v>44835</v>
      </c>
      <c r="V33" s="59">
        <f t="shared" si="11"/>
        <v>105.26395861859119</v>
      </c>
      <c r="W33" s="59">
        <f t="shared" si="12"/>
        <v>93.300678996548811</v>
      </c>
      <c r="X33" s="59">
        <f t="shared" si="13"/>
        <v>79.515179034397406</v>
      </c>
      <c r="Y33" s="59">
        <f t="shared" si="14"/>
        <v>97.009433252102966</v>
      </c>
    </row>
    <row r="34" spans="1:25" x14ac:dyDescent="0.25">
      <c r="P34" s="56">
        <v>44866</v>
      </c>
      <c r="Q34" s="6">
        <v>147.81</v>
      </c>
      <c r="R34" s="6">
        <v>4026.12</v>
      </c>
      <c r="S34" s="6">
        <v>11226.36</v>
      </c>
      <c r="T34" s="6">
        <v>34429.879999999997</v>
      </c>
      <c r="U34" s="56">
        <v>44866</v>
      </c>
      <c r="V34" s="59">
        <f t="shared" si="11"/>
        <v>112.4372432679142</v>
      </c>
      <c r="W34" s="59">
        <f t="shared" si="12"/>
        <v>96.291707823408274</v>
      </c>
      <c r="X34" s="59">
        <f t="shared" si="13"/>
        <v>80.402616116676739</v>
      </c>
      <c r="Y34" s="59">
        <f t="shared" si="14"/>
        <v>101.6384721998769</v>
      </c>
    </row>
    <row r="35" spans="1:25" x14ac:dyDescent="0.25">
      <c r="A35" s="3" t="s">
        <v>42</v>
      </c>
      <c r="F35" s="3" t="s">
        <v>32</v>
      </c>
      <c r="P35" s="56">
        <v>44896</v>
      </c>
      <c r="Q35" s="6">
        <v>129.93</v>
      </c>
      <c r="R35" s="6">
        <v>3839.5</v>
      </c>
      <c r="S35" s="6">
        <v>10466.48</v>
      </c>
      <c r="T35" s="6">
        <v>33203.93</v>
      </c>
      <c r="U35" s="56">
        <v>44896</v>
      </c>
      <c r="V35" s="59">
        <f t="shared" si="11"/>
        <v>98.836147877681427</v>
      </c>
      <c r="W35" s="59">
        <f t="shared" si="12"/>
        <v>91.828363831176446</v>
      </c>
      <c r="X35" s="59">
        <f t="shared" si="13"/>
        <v>74.960394422847187</v>
      </c>
      <c r="Y35" s="59">
        <f t="shared" si="14"/>
        <v>98.019415584128055</v>
      </c>
    </row>
    <row r="36" spans="1:25" x14ac:dyDescent="0.25">
      <c r="A36" s="11" t="s">
        <v>43</v>
      </c>
      <c r="B36" s="15">
        <f>SUM(D32:I32)</f>
        <v>1043919406151.3308</v>
      </c>
      <c r="C36" t="s">
        <v>46</v>
      </c>
      <c r="F36" t="s">
        <v>34</v>
      </c>
      <c r="G36" s="13">
        <f>B13*B12</f>
        <v>3929500000000</v>
      </c>
      <c r="H36" t="s">
        <v>35</v>
      </c>
      <c r="L36" s="3" t="s">
        <v>53</v>
      </c>
      <c r="P36" s="56">
        <v>44927</v>
      </c>
      <c r="Q36" s="6">
        <v>137.87</v>
      </c>
      <c r="R36" s="6">
        <v>4070.56</v>
      </c>
      <c r="S36" s="6">
        <v>11140.43</v>
      </c>
      <c r="T36" s="6">
        <v>33375.49</v>
      </c>
      <c r="U36" s="56">
        <v>44927</v>
      </c>
      <c r="V36" s="59">
        <f t="shared" si="11"/>
        <v>104.87600791115167</v>
      </c>
      <c r="W36" s="59">
        <f t="shared" si="12"/>
        <v>97.354568218943498</v>
      </c>
      <c r="X36" s="59">
        <f t="shared" si="13"/>
        <v>79.787189851804953</v>
      </c>
      <c r="Y36" s="59">
        <f t="shared" si="14"/>
        <v>98.525868011223665</v>
      </c>
    </row>
    <row r="37" spans="1:25" x14ac:dyDescent="0.25">
      <c r="A37" t="s">
        <v>11</v>
      </c>
      <c r="B37" s="16">
        <f>B15</f>
        <v>67000000000</v>
      </c>
      <c r="F37" t="s">
        <v>10</v>
      </c>
      <c r="G37" s="12">
        <f>B14</f>
        <v>84710000000</v>
      </c>
      <c r="L37" t="s">
        <v>54</v>
      </c>
      <c r="M37" s="18">
        <f>(B40/B12)-1</f>
        <v>0.46435895208119793</v>
      </c>
      <c r="P37" s="56">
        <v>44958</v>
      </c>
      <c r="Q37" s="6">
        <v>151.03</v>
      </c>
      <c r="R37" s="6">
        <v>4045.64</v>
      </c>
      <c r="S37" s="6">
        <v>11689.01</v>
      </c>
      <c r="T37" s="6">
        <v>32816.92</v>
      </c>
      <c r="U37" s="56">
        <v>44958</v>
      </c>
      <c r="V37" s="59">
        <f t="shared" si="11"/>
        <v>114.88665753841471</v>
      </c>
      <c r="W37" s="59">
        <f t="shared" si="12"/>
        <v>96.758562794624467</v>
      </c>
      <c r="X37" s="59">
        <f t="shared" si="13"/>
        <v>83.716091753159134</v>
      </c>
      <c r="Y37" s="59">
        <f t="shared" si="14"/>
        <v>96.876945580570833</v>
      </c>
    </row>
    <row r="38" spans="1:25" x14ac:dyDescent="0.25">
      <c r="A38" t="s">
        <v>10</v>
      </c>
      <c r="B38" s="16">
        <f>B14</f>
        <v>84710000000</v>
      </c>
      <c r="C38" s="3"/>
      <c r="F38" t="s">
        <v>11</v>
      </c>
      <c r="G38" s="12">
        <f>B15</f>
        <v>67000000000</v>
      </c>
      <c r="L38" t="s">
        <v>55</v>
      </c>
      <c r="M38" s="20">
        <f>IRR(C33:J33)</f>
        <v>0.18073009433034737</v>
      </c>
      <c r="N38" t="s">
        <v>59</v>
      </c>
      <c r="P38" s="56">
        <v>44986</v>
      </c>
      <c r="Q38" s="6">
        <v>164.9</v>
      </c>
      <c r="R38" s="6">
        <v>3970.99</v>
      </c>
      <c r="S38" s="6">
        <v>11823.96</v>
      </c>
      <c r="T38" s="6">
        <v>33274.15</v>
      </c>
      <c r="U38" s="56">
        <v>44986</v>
      </c>
      <c r="V38" s="59">
        <f t="shared" si="11"/>
        <v>125.43739540544652</v>
      </c>
      <c r="W38" s="59">
        <f t="shared" si="12"/>
        <v>94.97317736423058</v>
      </c>
      <c r="X38" s="59">
        <f t="shared" si="13"/>
        <v>84.682596750767033</v>
      </c>
      <c r="Y38" s="59">
        <f t="shared" si="14"/>
        <v>98.226708014943256</v>
      </c>
    </row>
    <row r="39" spans="1:25" x14ac:dyDescent="0.25">
      <c r="A39" t="s">
        <v>45</v>
      </c>
      <c r="B39" s="15">
        <f>(((B36+B37)-B38)+(M22))/2</f>
        <v>5754198502203.0674</v>
      </c>
      <c r="C39" t="s">
        <v>78</v>
      </c>
      <c r="F39" t="s">
        <v>31</v>
      </c>
      <c r="G39" s="11">
        <f>G36+G37-G38</f>
        <v>3947210000000</v>
      </c>
      <c r="H39" t="s">
        <v>33</v>
      </c>
      <c r="P39" s="56">
        <v>45017</v>
      </c>
      <c r="Q39" s="6">
        <v>165.02</v>
      </c>
      <c r="R39" s="6">
        <v>4133.5200000000004</v>
      </c>
      <c r="S39" s="6">
        <v>12072.46</v>
      </c>
      <c r="T39" s="6">
        <v>33808.959999999999</v>
      </c>
      <c r="U39" s="56">
        <v>45017</v>
      </c>
      <c r="V39" s="59">
        <f>(Q39/$Q$15)*100</f>
        <v>125.52867792484406</v>
      </c>
      <c r="W39" s="59">
        <f>(R39/$R$15)*100</f>
        <v>98.860366835120317</v>
      </c>
      <c r="X39" s="59">
        <f>(S39/$S$15)*100</f>
        <v>86.462341040545226</v>
      </c>
      <c r="Y39" s="59">
        <f t="shared" si="14"/>
        <v>99.805489913608483</v>
      </c>
    </row>
    <row r="40" spans="1:25" x14ac:dyDescent="0.25">
      <c r="A40" t="s">
        <v>77</v>
      </c>
      <c r="B40" s="17">
        <f>B39/B13</f>
        <v>396.84127601400462</v>
      </c>
      <c r="C40" t="s">
        <v>47</v>
      </c>
      <c r="F40" t="s">
        <v>50</v>
      </c>
      <c r="G40" s="14">
        <f>G39/B13</f>
        <v>272.22137931034484</v>
      </c>
      <c r="H40" t="s">
        <v>51</v>
      </c>
      <c r="L40" s="46" t="s">
        <v>100</v>
      </c>
      <c r="M40" s="47"/>
      <c r="P40" s="56">
        <v>45047</v>
      </c>
      <c r="Q40" s="6">
        <v>180.95</v>
      </c>
      <c r="R40" s="6">
        <v>4282.37</v>
      </c>
      <c r="S40" s="6">
        <v>13240.77</v>
      </c>
      <c r="T40" s="6">
        <v>33093.339999999997</v>
      </c>
      <c r="U40" s="56">
        <v>45047</v>
      </c>
      <c r="V40" s="59">
        <f t="shared" ref="V40:V50" si="18">(Q40/$Q$15)*100</f>
        <v>137.64643237486686</v>
      </c>
      <c r="W40" s="59">
        <f t="shared" ref="W40:W50" si="19">(R40/$R$15)*100</f>
        <v>102.4203751581495</v>
      </c>
      <c r="X40" s="59">
        <f t="shared" ref="X40:X50" si="20">(S40/$S$15)*100</f>
        <v>94.829717504089473</v>
      </c>
      <c r="Y40" s="59">
        <f t="shared" si="14"/>
        <v>97.692949193870959</v>
      </c>
    </row>
    <row r="41" spans="1:25" x14ac:dyDescent="0.25">
      <c r="A41" t="s">
        <v>48</v>
      </c>
      <c r="B41" s="19">
        <f>(B40/B12)-1</f>
        <v>0.46435895208119793</v>
      </c>
      <c r="C41" t="s">
        <v>49</v>
      </c>
      <c r="F41" t="s">
        <v>48</v>
      </c>
      <c r="G41" s="18">
        <f>(G40/B12)-1</f>
        <v>4.5069347245196845E-3</v>
      </c>
      <c r="H41" t="s">
        <v>52</v>
      </c>
      <c r="L41" s="48" t="s">
        <v>42</v>
      </c>
      <c r="M41" s="49">
        <f>B40</f>
        <v>396.84127601400462</v>
      </c>
      <c r="P41" s="56">
        <v>45078</v>
      </c>
      <c r="Q41" s="6">
        <v>193.97</v>
      </c>
      <c r="R41" s="6">
        <v>4450.38</v>
      </c>
      <c r="S41" s="6">
        <v>13492.52</v>
      </c>
      <c r="T41" s="6">
        <v>33727.43</v>
      </c>
      <c r="U41" s="56">
        <v>45078</v>
      </c>
      <c r="V41" s="59">
        <f t="shared" si="18"/>
        <v>147.55058572949946</v>
      </c>
      <c r="W41" s="59">
        <f t="shared" si="19"/>
        <v>106.43862842218806</v>
      </c>
      <c r="X41" s="59">
        <f t="shared" si="20"/>
        <v>96.632738127637381</v>
      </c>
      <c r="Y41" s="59">
        <f t="shared" si="14"/>
        <v>99.564809881076968</v>
      </c>
    </row>
    <row r="42" spans="1:25" x14ac:dyDescent="0.25">
      <c r="L42" s="48" t="s">
        <v>8</v>
      </c>
      <c r="M42" s="49">
        <f>B12</f>
        <v>271</v>
      </c>
      <c r="P42" s="56">
        <v>45108</v>
      </c>
      <c r="Q42" s="6">
        <v>181.99</v>
      </c>
      <c r="R42" s="6">
        <v>4582.2299999999996</v>
      </c>
      <c r="S42" s="6">
        <v>14032.81</v>
      </c>
      <c r="T42" s="6">
        <v>35065.620000000003</v>
      </c>
      <c r="U42" s="56">
        <v>45108</v>
      </c>
      <c r="V42" s="59">
        <f t="shared" si="18"/>
        <v>138.43754754297885</v>
      </c>
      <c r="W42" s="59">
        <f t="shared" si="19"/>
        <v>109.59205198544903</v>
      </c>
      <c r="X42" s="59">
        <f t="shared" si="20"/>
        <v>100.50226747300661</v>
      </c>
      <c r="Y42" s="59">
        <f t="shared" si="14"/>
        <v>103.51520375735983</v>
      </c>
    </row>
    <row r="43" spans="1:25" x14ac:dyDescent="0.25">
      <c r="L43" s="48" t="s">
        <v>101</v>
      </c>
      <c r="M43" s="49">
        <f>(B40-B12)</f>
        <v>125.84127601400462</v>
      </c>
      <c r="P43" s="56">
        <v>45139</v>
      </c>
      <c r="Q43" s="6">
        <v>189.46</v>
      </c>
      <c r="R43" s="6">
        <v>4515.7700000000004</v>
      </c>
      <c r="S43" s="6">
        <v>13590.65</v>
      </c>
      <c r="T43" s="6">
        <v>34837.71</v>
      </c>
      <c r="U43" s="56">
        <v>45139</v>
      </c>
      <c r="V43" s="59">
        <f t="shared" si="18"/>
        <v>144.11988437547544</v>
      </c>
      <c r="W43" s="59">
        <f t="shared" si="19"/>
        <v>108.00254474226114</v>
      </c>
      <c r="X43" s="59">
        <f t="shared" si="20"/>
        <v>97.335540168506327</v>
      </c>
      <c r="Y43" s="59">
        <f t="shared" si="14"/>
        <v>102.84240373020101</v>
      </c>
    </row>
    <row r="44" spans="1:25" x14ac:dyDescent="0.25">
      <c r="L44" s="48" t="s">
        <v>102</v>
      </c>
      <c r="M44" s="55">
        <f>((B40-B12)/(B12))</f>
        <v>0.46435895208119787</v>
      </c>
      <c r="P44" s="56">
        <v>45170</v>
      </c>
      <c r="Q44" s="6">
        <v>174.79</v>
      </c>
      <c r="R44" s="6">
        <v>4320.0600000000004</v>
      </c>
      <c r="S44" s="6">
        <v>13211.81</v>
      </c>
      <c r="T44" s="6">
        <v>33507.5</v>
      </c>
      <c r="U44" s="56">
        <v>45170</v>
      </c>
      <c r="V44" s="59">
        <f t="shared" si="18"/>
        <v>132.96059637912671</v>
      </c>
      <c r="W44" s="59">
        <f t="shared" si="19"/>
        <v>103.32179748730618</v>
      </c>
      <c r="X44" s="59">
        <f t="shared" si="20"/>
        <v>94.622307465329001</v>
      </c>
      <c r="Y44" s="59">
        <f t="shared" si="14"/>
        <v>98.915567153802897</v>
      </c>
    </row>
    <row r="45" spans="1:25" x14ac:dyDescent="0.25">
      <c r="L45" s="51"/>
      <c r="M45" s="50"/>
      <c r="P45" s="56">
        <v>45200</v>
      </c>
      <c r="Q45" s="6">
        <v>176.65</v>
      </c>
      <c r="R45" s="6">
        <v>4117.37</v>
      </c>
      <c r="S45" s="6">
        <v>12643.01</v>
      </c>
      <c r="T45" s="6">
        <v>34061.32</v>
      </c>
      <c r="U45" s="56">
        <v>45200</v>
      </c>
      <c r="V45" s="59">
        <f t="shared" si="18"/>
        <v>134.37547542978851</v>
      </c>
      <c r="W45" s="59">
        <f t="shared" si="19"/>
        <v>98.474111313340515</v>
      </c>
      <c r="X45" s="59">
        <f t="shared" si="20"/>
        <v>90.548590958182814</v>
      </c>
      <c r="Y45" s="59">
        <f t="shared" si="14"/>
        <v>100.5504673821434</v>
      </c>
    </row>
    <row r="46" spans="1:25" x14ac:dyDescent="0.25">
      <c r="L46" s="51" t="s">
        <v>56</v>
      </c>
      <c r="M46" s="49"/>
      <c r="P46" s="56">
        <v>45231</v>
      </c>
      <c r="Q46" s="6">
        <v>191.24</v>
      </c>
      <c r="R46" s="6">
        <v>4559.34</v>
      </c>
      <c r="S46" s="6">
        <v>14250.85</v>
      </c>
      <c r="T46" s="6">
        <v>36245.5</v>
      </c>
      <c r="U46" s="56">
        <v>45231</v>
      </c>
      <c r="V46" s="59">
        <f t="shared" si="18"/>
        <v>145.47390841320552</v>
      </c>
      <c r="W46" s="59">
        <f t="shared" si="19"/>
        <v>109.04459756479645</v>
      </c>
      <c r="X46" s="59">
        <f t="shared" si="20"/>
        <v>102.063858800746</v>
      </c>
      <c r="Y46" s="59">
        <f t="shared" si="14"/>
        <v>106.99825977089196</v>
      </c>
    </row>
    <row r="47" spans="1:25" x14ac:dyDescent="0.25">
      <c r="L47" s="48" t="s">
        <v>42</v>
      </c>
      <c r="M47" s="49">
        <f>B40</f>
        <v>396.84127601400462</v>
      </c>
      <c r="P47" s="56">
        <v>45261</v>
      </c>
      <c r="Q47" s="6">
        <v>193.6</v>
      </c>
      <c r="R47" s="6">
        <v>4769.83</v>
      </c>
      <c r="S47" s="6">
        <v>14992.97</v>
      </c>
      <c r="T47" s="6">
        <v>37689.54</v>
      </c>
      <c r="U47" s="56">
        <v>45261</v>
      </c>
      <c r="V47" s="59">
        <f t="shared" si="18"/>
        <v>147.2691312946904</v>
      </c>
      <c r="W47" s="59">
        <f t="shared" si="19"/>
        <v>114.07883439324399</v>
      </c>
      <c r="X47" s="59">
        <f t="shared" si="20"/>
        <v>107.37888428296</v>
      </c>
      <c r="Y47" s="59">
        <f t="shared" si="14"/>
        <v>111.2611273555455</v>
      </c>
    </row>
    <row r="48" spans="1:25" x14ac:dyDescent="0.25">
      <c r="L48" s="48" t="s">
        <v>32</v>
      </c>
      <c r="M48" s="49">
        <f>G40</f>
        <v>272.22137931034484</v>
      </c>
      <c r="P48" s="56">
        <v>45292</v>
      </c>
      <c r="Q48" s="6">
        <v>185.85</v>
      </c>
      <c r="R48" s="6">
        <v>4958.6099999999997</v>
      </c>
      <c r="S48" s="6">
        <v>15628.95</v>
      </c>
      <c r="T48" s="6">
        <v>38109.43</v>
      </c>
      <c r="U48" s="56">
        <v>45292</v>
      </c>
      <c r="V48" s="59">
        <f t="shared" si="18"/>
        <v>141.3738019169329</v>
      </c>
      <c r="W48" s="59">
        <f t="shared" si="19"/>
        <v>118.59383856671697</v>
      </c>
      <c r="X48" s="59">
        <f t="shared" si="20"/>
        <v>111.93374051399876</v>
      </c>
      <c r="Y48" s="59">
        <f t="shared" si="14"/>
        <v>112.50066051952999</v>
      </c>
    </row>
    <row r="49" spans="12:25" x14ac:dyDescent="0.25">
      <c r="L49" s="48" t="s">
        <v>101</v>
      </c>
      <c r="M49" s="49">
        <f>-(G40-B40)</f>
        <v>124.61989670365978</v>
      </c>
      <c r="P49" s="56">
        <v>45323</v>
      </c>
      <c r="Q49" s="6">
        <v>179.66</v>
      </c>
      <c r="R49" s="6">
        <v>5137.08</v>
      </c>
      <c r="S49" s="6">
        <v>16274.94</v>
      </c>
      <c r="T49" s="6">
        <v>39087.379999999997</v>
      </c>
      <c r="U49" s="56">
        <v>45323</v>
      </c>
      <c r="V49" s="59">
        <f t="shared" si="18"/>
        <v>136.66514529134338</v>
      </c>
      <c r="W49" s="59">
        <f t="shared" si="19"/>
        <v>122.86226104176581</v>
      </c>
      <c r="X49" s="59">
        <f t="shared" si="20"/>
        <v>116.56028785304827</v>
      </c>
      <c r="Y49" s="59">
        <f t="shared" si="14"/>
        <v>115.38761057244533</v>
      </c>
    </row>
    <row r="50" spans="12:25" x14ac:dyDescent="0.25">
      <c r="L50" s="52" t="s">
        <v>102</v>
      </c>
      <c r="M50" s="54">
        <f>((B40-G40)/(G40))</f>
        <v>0.45778879314834192</v>
      </c>
      <c r="P50" s="56">
        <v>45352</v>
      </c>
      <c r="Q50" s="6">
        <v>171.48</v>
      </c>
      <c r="R50" s="6">
        <v>5234.18</v>
      </c>
      <c r="S50" s="6">
        <v>16428.82</v>
      </c>
      <c r="T50" s="6">
        <v>39807.370000000003</v>
      </c>
      <c r="U50" s="56">
        <v>45352</v>
      </c>
      <c r="V50" s="59">
        <f t="shared" si="18"/>
        <v>130.44272021907804</v>
      </c>
      <c r="W50" s="59">
        <f t="shared" si="19"/>
        <v>125.18457752255947</v>
      </c>
      <c r="X50" s="59">
        <f t="shared" si="20"/>
        <v>117.66236854242882</v>
      </c>
      <c r="Y50" s="59">
        <f t="shared" si="14"/>
        <v>117.51305171831021</v>
      </c>
    </row>
    <row r="51" spans="12:25" x14ac:dyDescent="0.25">
      <c r="P51" s="56">
        <v>45383</v>
      </c>
      <c r="Q51" s="6">
        <v>165</v>
      </c>
      <c r="R51" s="6">
        <v>4967.2299999999996</v>
      </c>
      <c r="S51" s="6">
        <v>15282.01</v>
      </c>
      <c r="T51" s="6">
        <v>37986.400000000001</v>
      </c>
      <c r="U51" s="56">
        <v>45383</v>
      </c>
      <c r="V51" s="59">
        <f>(Q51/$Q$15)*100</f>
        <v>125.51346417161113</v>
      </c>
      <c r="W51" s="59">
        <f>(R51/$R$15)*100</f>
        <v>118.80000095667</v>
      </c>
      <c r="X51" s="59">
        <f>(S51/$S$15)*100</f>
        <v>109.44897397920744</v>
      </c>
      <c r="Y51" s="59">
        <f>(T51/$T$15)*100</f>
        <v>112.13747071942754</v>
      </c>
    </row>
    <row r="52" spans="12:25" x14ac:dyDescent="0.25">
      <c r="P52" s="56">
        <v>45413</v>
      </c>
      <c r="Q52" s="6">
        <v>189.87</v>
      </c>
      <c r="R52" s="6">
        <v>5277.51</v>
      </c>
      <c r="S52" s="6">
        <v>16735.02</v>
      </c>
      <c r="T52" s="6">
        <v>38686.32</v>
      </c>
      <c r="U52" s="56">
        <v>45413</v>
      </c>
      <c r="V52" s="59">
        <f t="shared" ref="V52:V62" si="21">(Q52/$Q$15)*100</f>
        <v>144.43176631675036</v>
      </c>
      <c r="W52" s="59">
        <f t="shared" ref="W52:W62" si="22">(R52/$R$15)*100</f>
        <v>126.2208903249569</v>
      </c>
      <c r="X52" s="59">
        <f t="shared" ref="X52:X62" si="23">(S52/$S$15)*100</f>
        <v>119.85535728098044</v>
      </c>
      <c r="Y52" s="59">
        <f t="shared" ref="Y52:Y62" si="24">(T52/$T$15)*100</f>
        <v>114.20366437046954</v>
      </c>
    </row>
    <row r="53" spans="12:25" x14ac:dyDescent="0.25">
      <c r="P53" s="56">
        <v>45444</v>
      </c>
      <c r="Q53" s="6">
        <v>207.49</v>
      </c>
      <c r="R53" s="6">
        <v>5464.62</v>
      </c>
      <c r="S53" s="6">
        <v>17689.36</v>
      </c>
      <c r="T53" s="6">
        <v>39150.33</v>
      </c>
      <c r="U53" s="56">
        <v>45444</v>
      </c>
      <c r="V53" s="59">
        <f t="shared" si="21"/>
        <v>157.83508291495511</v>
      </c>
      <c r="W53" s="59">
        <f t="shared" si="22"/>
        <v>130.69595352497026</v>
      </c>
      <c r="X53" s="59">
        <f t="shared" si="23"/>
        <v>126.69029154861389</v>
      </c>
      <c r="Y53" s="59">
        <f t="shared" si="24"/>
        <v>115.57344165361619</v>
      </c>
    </row>
    <row r="54" spans="12:25" x14ac:dyDescent="0.25">
      <c r="P54" s="56">
        <v>45474</v>
      </c>
      <c r="Q54" s="6">
        <v>219.86</v>
      </c>
      <c r="R54" s="6">
        <v>5459.1</v>
      </c>
      <c r="S54" s="6">
        <v>17357.88</v>
      </c>
      <c r="T54" s="6">
        <v>40287.53</v>
      </c>
      <c r="U54" s="56">
        <v>45474</v>
      </c>
      <c r="V54" s="59">
        <f t="shared" si="21"/>
        <v>167.24478928951771</v>
      </c>
      <c r="W54" s="59">
        <f t="shared" si="22"/>
        <v>130.56393306179851</v>
      </c>
      <c r="X54" s="59">
        <f t="shared" si="23"/>
        <v>124.31624874307798</v>
      </c>
      <c r="Y54" s="59">
        <f t="shared" si="24"/>
        <v>118.93050448931876</v>
      </c>
    </row>
    <row r="55" spans="12:25" x14ac:dyDescent="0.25">
      <c r="P55" s="56">
        <v>45505</v>
      </c>
      <c r="Q55" s="6">
        <v>226.84</v>
      </c>
      <c r="R55" s="6">
        <v>5648.4</v>
      </c>
      <c r="S55" s="6">
        <v>17877.79</v>
      </c>
      <c r="T55" s="6">
        <v>41175.08</v>
      </c>
      <c r="U55" s="56">
        <v>45505</v>
      </c>
      <c r="V55" s="59">
        <f t="shared" si="21"/>
        <v>172.5543891678077</v>
      </c>
      <c r="W55" s="59">
        <f t="shared" si="22"/>
        <v>135.09137394557024</v>
      </c>
      <c r="X55" s="59">
        <f t="shared" si="23"/>
        <v>128.03981757083884</v>
      </c>
      <c r="Y55" s="59">
        <f t="shared" si="24"/>
        <v>121.55058989191096</v>
      </c>
    </row>
    <row r="56" spans="12:25" x14ac:dyDescent="0.25">
      <c r="P56" s="56">
        <v>45536</v>
      </c>
      <c r="Q56" s="6">
        <v>226.8</v>
      </c>
      <c r="R56" s="6">
        <v>5751.07</v>
      </c>
      <c r="S56" s="6">
        <v>18137.849999999999</v>
      </c>
      <c r="T56" s="6">
        <v>42313</v>
      </c>
      <c r="U56" s="56">
        <v>45536</v>
      </c>
      <c r="V56" s="59">
        <f t="shared" si="21"/>
        <v>172.52396166134184</v>
      </c>
      <c r="W56" s="59">
        <f t="shared" si="22"/>
        <v>137.54690672706442</v>
      </c>
      <c r="X56" s="59">
        <f t="shared" si="23"/>
        <v>129.90235398934874</v>
      </c>
      <c r="Y56" s="59">
        <f t="shared" si="24"/>
        <v>124.90977819827984</v>
      </c>
    </row>
    <row r="57" spans="12:25" x14ac:dyDescent="0.25">
      <c r="P57" s="56">
        <v>45566</v>
      </c>
      <c r="Q57" s="6">
        <v>231.41</v>
      </c>
      <c r="R57" s="6">
        <v>5728.8</v>
      </c>
      <c r="S57" s="6">
        <v>18518.61</v>
      </c>
      <c r="T57" s="6">
        <v>42052.19</v>
      </c>
      <c r="U57" s="56">
        <v>45566</v>
      </c>
      <c r="V57" s="59">
        <f t="shared" si="21"/>
        <v>176.03073178153048</v>
      </c>
      <c r="W57" s="59">
        <f t="shared" si="22"/>
        <v>137.01428069176808</v>
      </c>
      <c r="X57" s="59">
        <f t="shared" si="23"/>
        <v>132.62933763432235</v>
      </c>
      <c r="Y57" s="59">
        <f t="shared" si="24"/>
        <v>124.13985596984193</v>
      </c>
    </row>
    <row r="58" spans="12:25" x14ac:dyDescent="0.25">
      <c r="P58" s="56">
        <v>45597</v>
      </c>
      <c r="Q58" s="6">
        <v>237.33</v>
      </c>
      <c r="R58" s="6">
        <v>5969.34</v>
      </c>
      <c r="S58" s="6">
        <v>19003.650000000001</v>
      </c>
      <c r="T58" s="6">
        <v>44296.51</v>
      </c>
      <c r="U58" s="56">
        <v>45597</v>
      </c>
      <c r="V58" s="59">
        <f>(Q58/$Q$15)*100</f>
        <v>180.53400273847558</v>
      </c>
      <c r="W58" s="59">
        <f t="shared" si="22"/>
        <v>142.76721587498236</v>
      </c>
      <c r="X58" s="59">
        <f t="shared" si="23"/>
        <v>136.10316930560609</v>
      </c>
      <c r="Y58" s="59">
        <f t="shared" si="24"/>
        <v>130.76518420007767</v>
      </c>
    </row>
    <row r="59" spans="12:25" x14ac:dyDescent="0.25">
      <c r="P59" s="56">
        <v>45627</v>
      </c>
      <c r="Q59" s="6">
        <v>243.36</v>
      </c>
      <c r="R59" s="6">
        <v>5942.47</v>
      </c>
      <c r="S59" s="6">
        <v>19722.03</v>
      </c>
      <c r="T59" s="6">
        <v>42840.26</v>
      </c>
      <c r="U59" s="56">
        <v>45627</v>
      </c>
      <c r="V59" s="59">
        <f t="shared" si="21"/>
        <v>185.12094933820174</v>
      </c>
      <c r="W59" s="59">
        <f t="shared" si="22"/>
        <v>142.12457278704287</v>
      </c>
      <c r="X59" s="59">
        <f t="shared" si="23"/>
        <v>141.24817012206825</v>
      </c>
      <c r="Y59" s="59">
        <f t="shared" si="24"/>
        <v>126.46627217537497</v>
      </c>
    </row>
    <row r="60" spans="12:25" x14ac:dyDescent="0.25">
      <c r="P60" s="56">
        <v>45658</v>
      </c>
      <c r="Q60" s="6">
        <v>229.98</v>
      </c>
      <c r="R60" s="6">
        <v>6040.53</v>
      </c>
      <c r="S60" s="6">
        <v>19627.439999999999</v>
      </c>
      <c r="T60" s="6">
        <v>44424.25</v>
      </c>
      <c r="U60" s="56">
        <v>45658</v>
      </c>
      <c r="V60" s="59">
        <f t="shared" si="21"/>
        <v>174.94294842537653</v>
      </c>
      <c r="W60" s="59">
        <f t="shared" si="22"/>
        <v>144.46984934838812</v>
      </c>
      <c r="X60" s="59">
        <f t="shared" si="23"/>
        <v>140.57072138013618</v>
      </c>
      <c r="Y60" s="59">
        <f t="shared" si="24"/>
        <v>131.14227812078875</v>
      </c>
    </row>
    <row r="61" spans="12:25" x14ac:dyDescent="0.25">
      <c r="P61" s="56">
        <v>45689</v>
      </c>
      <c r="Q61" s="6">
        <v>245.55</v>
      </c>
      <c r="R61" s="6">
        <v>5954.5</v>
      </c>
      <c r="S61" s="6">
        <v>19524.009999999998</v>
      </c>
      <c r="T61" s="6">
        <v>43840.91</v>
      </c>
      <c r="U61" s="56">
        <v>45689</v>
      </c>
      <c r="V61" s="59">
        <f t="shared" si="21"/>
        <v>186.78685531720674</v>
      </c>
      <c r="W61" s="59">
        <f t="shared" si="22"/>
        <v>142.41229129645529</v>
      </c>
      <c r="X61" s="59">
        <f t="shared" si="23"/>
        <v>139.82996101035044</v>
      </c>
      <c r="Y61" s="59">
        <f t="shared" si="24"/>
        <v>129.42023359513033</v>
      </c>
    </row>
    <row r="62" spans="12:25" x14ac:dyDescent="0.25">
      <c r="P62" s="56">
        <v>45717</v>
      </c>
      <c r="Q62" s="6">
        <v>217.9</v>
      </c>
      <c r="R62" s="6">
        <v>5074.08</v>
      </c>
      <c r="S62" s="6">
        <v>15587.79</v>
      </c>
      <c r="T62" s="6">
        <v>38314.86</v>
      </c>
      <c r="U62" s="56">
        <v>45717</v>
      </c>
      <c r="V62" s="59">
        <f t="shared" si="21"/>
        <v>165.75384147269131</v>
      </c>
      <c r="W62" s="59">
        <f t="shared" si="22"/>
        <v>121.35550575556601</v>
      </c>
      <c r="X62" s="59">
        <f t="shared" si="23"/>
        <v>111.63895469924113</v>
      </c>
      <c r="Y62" s="59">
        <f t="shared" si="24"/>
        <v>113.10709862921904</v>
      </c>
    </row>
    <row r="63" spans="12:25" x14ac:dyDescent="0.25">
      <c r="P63" s="56">
        <v>45748</v>
      </c>
      <c r="Q63" s="6">
        <v>209.28</v>
      </c>
      <c r="R63" s="6">
        <v>5282.7</v>
      </c>
      <c r="S63" s="6">
        <v>16286.45</v>
      </c>
      <c r="T63" s="6">
        <v>39142.230000000003</v>
      </c>
      <c r="U63" s="56">
        <v>45748</v>
      </c>
      <c r="V63" s="59">
        <f>(Q63/$Q$15)*100</f>
        <v>159.19671382930167</v>
      </c>
      <c r="W63" s="59">
        <f>(R63/$R$15)*100</f>
        <v>126.34501826043906</v>
      </c>
      <c r="X63" s="59">
        <f>(S63/$S$15)*100</f>
        <v>116.64272188433739</v>
      </c>
      <c r="Y63" s="59">
        <f>(T63/$T$15)*100</f>
        <v>115.54953010862042</v>
      </c>
    </row>
    <row r="64" spans="12:25" x14ac:dyDescent="0.25">
      <c r="P64" s="56">
        <v>45778</v>
      </c>
      <c r="Q64" s="6">
        <v>195.27</v>
      </c>
      <c r="R64" s="6">
        <v>5802.82</v>
      </c>
      <c r="S64" s="6">
        <v>19113.77</v>
      </c>
      <c r="T64" s="6">
        <v>41603.07</v>
      </c>
      <c r="U64" s="56">
        <v>45778</v>
      </c>
      <c r="V64" s="59">
        <f t="shared" ref="V64:V74" si="25">(Q64/$Q$15)*100</f>
        <v>148.53947968963942</v>
      </c>
      <c r="W64" s="59">
        <f t="shared" ref="W64:W74" si="26">(R64/$R$15)*100</f>
        <v>138.78459856929996</v>
      </c>
      <c r="X64" s="59">
        <f t="shared" ref="X64:X74" si="27">(S64/$S$15)*100</f>
        <v>136.89184311321324</v>
      </c>
      <c r="Y64" s="59">
        <f t="shared" ref="Y64:Y74" si="28">(T64/$T$15)*100</f>
        <v>122.81403460089122</v>
      </c>
    </row>
    <row r="65" spans="16:25" x14ac:dyDescent="0.25">
      <c r="P65" s="56">
        <v>45809</v>
      </c>
      <c r="Q65" s="6">
        <v>213.55</v>
      </c>
      <c r="R65" s="6">
        <v>6279.35</v>
      </c>
      <c r="S65" s="6">
        <v>19447.41</v>
      </c>
      <c r="T65" s="6">
        <v>42206.82</v>
      </c>
      <c r="U65" s="56">
        <v>45809</v>
      </c>
      <c r="V65" s="59">
        <f t="shared" si="25"/>
        <v>162.44485014453065</v>
      </c>
      <c r="W65" s="59">
        <f t="shared" si="26"/>
        <v>150.18164772061408</v>
      </c>
      <c r="X65" s="59">
        <f t="shared" si="27"/>
        <v>139.28135572826992</v>
      </c>
      <c r="Y65" s="59">
        <f t="shared" si="28"/>
        <v>124.59633031585381</v>
      </c>
    </row>
    <row r="66" spans="16:25" x14ac:dyDescent="0.25">
      <c r="P66" s="56">
        <v>45839</v>
      </c>
      <c r="Q66" s="6">
        <v>213.88</v>
      </c>
      <c r="R66" s="6">
        <v>6238.01</v>
      </c>
      <c r="S66" s="6">
        <v>20650.13</v>
      </c>
      <c r="T66" s="6">
        <v>44901.919999999998</v>
      </c>
      <c r="U66" s="56">
        <v>45839</v>
      </c>
      <c r="V66" s="59">
        <f t="shared" si="25"/>
        <v>162.69587707287388</v>
      </c>
      <c r="W66" s="59">
        <f t="shared" si="26"/>
        <v>149.19292925186011</v>
      </c>
      <c r="X66" s="59">
        <f t="shared" si="27"/>
        <v>147.89517485181929</v>
      </c>
      <c r="Y66" s="59">
        <f t="shared" si="28"/>
        <v>132.55238030574304</v>
      </c>
    </row>
    <row r="67" spans="16:25" x14ac:dyDescent="0.25">
      <c r="P67" s="56">
        <v>45870</v>
      </c>
      <c r="Q67" s="6">
        <v>232.14</v>
      </c>
      <c r="R67" s="6">
        <v>6460.26</v>
      </c>
      <c r="S67" s="6">
        <v>21496.54</v>
      </c>
      <c r="T67" s="6">
        <v>45544.88</v>
      </c>
      <c r="U67" s="56">
        <v>45870</v>
      </c>
      <c r="V67" s="59">
        <f t="shared" si="25"/>
        <v>176.58603377453215</v>
      </c>
      <c r="W67" s="59">
        <f t="shared" si="26"/>
        <v>154.50842706706496</v>
      </c>
      <c r="X67" s="59">
        <f t="shared" si="27"/>
        <v>153.95711997983196</v>
      </c>
      <c r="Y67" s="59">
        <f t="shared" si="28"/>
        <v>134.45042561074072</v>
      </c>
    </row>
    <row r="68" spans="16:25" x14ac:dyDescent="0.25">
      <c r="P68" s="56">
        <v>45901</v>
      </c>
      <c r="Q68" s="6">
        <v>255.46</v>
      </c>
      <c r="R68" s="6">
        <v>6715.79</v>
      </c>
      <c r="S68" s="6">
        <v>22780.51</v>
      </c>
      <c r="T68" s="6">
        <v>46758.28</v>
      </c>
      <c r="U68" s="56">
        <v>45901</v>
      </c>
      <c r="V68" s="59">
        <f t="shared" si="25"/>
        <v>194.32527004411989</v>
      </c>
      <c r="W68" s="59">
        <f t="shared" si="26"/>
        <v>160.61987434139249</v>
      </c>
      <c r="X68" s="59">
        <f t="shared" si="27"/>
        <v>163.15284744762465</v>
      </c>
      <c r="Y68" s="59">
        <f t="shared" si="28"/>
        <v>138.03243409195909</v>
      </c>
    </row>
    <row r="69" spans="16:25" x14ac:dyDescent="0.25">
      <c r="P69" s="56">
        <v>45931</v>
      </c>
      <c r="Q69" s="6">
        <v>262.82</v>
      </c>
      <c r="R69" s="6">
        <v>6840.2</v>
      </c>
      <c r="S69" s="6">
        <v>23204.87</v>
      </c>
      <c r="T69" s="6">
        <v>47207.12</v>
      </c>
      <c r="U69" s="56">
        <v>45931</v>
      </c>
      <c r="V69" s="59">
        <f t="shared" si="25"/>
        <v>199.92393123383536</v>
      </c>
      <c r="W69" s="59">
        <f t="shared" si="26"/>
        <v>163.59535728037847</v>
      </c>
      <c r="X69" s="59">
        <f t="shared" si="27"/>
        <v>166.19209206255533</v>
      </c>
      <c r="Y69" s="59">
        <f t="shared" si="28"/>
        <v>139.357428888984</v>
      </c>
    </row>
    <row r="70" spans="16:25" x14ac:dyDescent="0.25">
      <c r="P70" s="56">
        <v>45962</v>
      </c>
      <c r="Q70" s="6">
        <v>271.49</v>
      </c>
      <c r="R70" s="6">
        <v>6849.09</v>
      </c>
      <c r="S70" s="6">
        <v>23365.69</v>
      </c>
      <c r="T70" s="6">
        <v>46245.41</v>
      </c>
      <c r="U70" s="56">
        <v>45962</v>
      </c>
      <c r="V70" s="59">
        <f t="shared" si="25"/>
        <v>206.51909326030733</v>
      </c>
      <c r="W70" s="59">
        <f t="shared" si="26"/>
        <v>163.80797719298664</v>
      </c>
      <c r="X70" s="59">
        <f t="shared" si="27"/>
        <v>167.3438766769703</v>
      </c>
      <c r="Y70" s="59">
        <f t="shared" si="28"/>
        <v>136.51842000776389</v>
      </c>
    </row>
    <row r="71" spans="16:25" x14ac:dyDescent="0.25">
      <c r="P71" s="56">
        <v>45992</v>
      </c>
      <c r="Q71" s="6">
        <v>271.01</v>
      </c>
      <c r="R71" s="6">
        <v>6929.94</v>
      </c>
      <c r="S71" s="6">
        <v>23593.1</v>
      </c>
      <c r="T71" s="6">
        <v>48134.89</v>
      </c>
      <c r="U71" s="56">
        <v>45992</v>
      </c>
      <c r="V71" s="59">
        <f t="shared" si="25"/>
        <v>206.15396318271718</v>
      </c>
      <c r="W71" s="59">
        <f t="shared" si="26"/>
        <v>165.74164647694306</v>
      </c>
      <c r="X71" s="59">
        <f t="shared" si="27"/>
        <v>168.97257546545504</v>
      </c>
      <c r="Y71" s="59">
        <f t="shared" si="28"/>
        <v>142.09624544462929</v>
      </c>
    </row>
    <row r="72" spans="16:25" x14ac:dyDescent="0.25">
      <c r="P72" s="56">
        <v>46023</v>
      </c>
      <c r="Q72" s="6">
        <v>248.04</v>
      </c>
      <c r="R72" s="6">
        <v>6939.03</v>
      </c>
      <c r="S72" s="6">
        <v>23461.82</v>
      </c>
      <c r="T72" s="6">
        <v>49098.71</v>
      </c>
      <c r="U72" s="56">
        <v>46023</v>
      </c>
      <c r="V72" s="59">
        <f t="shared" si="25"/>
        <v>188.68096759470561</v>
      </c>
      <c r="W72" s="59">
        <f t="shared" si="26"/>
        <v>165.95904973966614</v>
      </c>
      <c r="X72" s="59">
        <f t="shared" si="27"/>
        <v>168.0323548201348</v>
      </c>
      <c r="Y72" s="59">
        <f t="shared" si="28"/>
        <v>144.9414831357187</v>
      </c>
    </row>
    <row r="73" spans="16:25" x14ac:dyDescent="0.25">
      <c r="P73" s="56">
        <v>46054</v>
      </c>
      <c r="Q73" s="6">
        <v>264.18</v>
      </c>
      <c r="R73" s="6">
        <v>6909.51</v>
      </c>
      <c r="S73" s="6">
        <v>22668.21</v>
      </c>
      <c r="T73" s="6">
        <v>48977.919999999998</v>
      </c>
      <c r="U73" s="56">
        <v>46054</v>
      </c>
      <c r="V73" s="59">
        <f t="shared" si="25"/>
        <v>200.95846645367411</v>
      </c>
      <c r="W73" s="59">
        <f t="shared" si="26"/>
        <v>165.25302726270399</v>
      </c>
      <c r="X73" s="59">
        <f t="shared" si="27"/>
        <v>162.34856059151969</v>
      </c>
      <c r="Y73" s="59">
        <f t="shared" si="28"/>
        <v>144.58490591102247</v>
      </c>
    </row>
    <row r="74" spans="16:25" x14ac:dyDescent="0.25">
      <c r="P74" s="56">
        <v>46082</v>
      </c>
      <c r="Q74" s="6">
        <v>247.99</v>
      </c>
      <c r="R74" s="6">
        <v>6368.85</v>
      </c>
      <c r="S74" s="6">
        <v>20948.36</v>
      </c>
      <c r="T74" s="6">
        <v>45577.47</v>
      </c>
      <c r="U74" s="56">
        <v>46082</v>
      </c>
      <c r="V74" s="59">
        <f t="shared" si="25"/>
        <v>188.6429332116233</v>
      </c>
      <c r="W74" s="59">
        <f t="shared" si="26"/>
        <v>152.32219689704078</v>
      </c>
      <c r="X74" s="59">
        <f t="shared" si="27"/>
        <v>150.03108285801866</v>
      </c>
      <c r="Y74" s="59">
        <f t="shared" si="28"/>
        <v>134.54663267881631</v>
      </c>
    </row>
    <row r="75" spans="16:25" x14ac:dyDescent="0.25">
      <c r="P75" s="56">
        <v>46113</v>
      </c>
      <c r="Q75" s="60">
        <v>271.06</v>
      </c>
      <c r="R75" s="6">
        <v>7123.06</v>
      </c>
      <c r="S75" s="6">
        <v>24468.48</v>
      </c>
      <c r="T75" s="6">
        <v>49447.43</v>
      </c>
      <c r="U75" s="56">
        <v>46113</v>
      </c>
      <c r="V75" s="59">
        <f>(Q75/$Q$15)*100</f>
        <v>206.19199756579948</v>
      </c>
      <c r="W75" s="59">
        <f>(R75/$R$15)*100</f>
        <v>170.36044934790979</v>
      </c>
      <c r="X75" s="59">
        <f>(S75/$S$15)*100</f>
        <v>175.24200225171671</v>
      </c>
      <c r="Y75" s="59">
        <f>(T75/$T$15)*100</f>
        <v>145.97091942842553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B37F-559C-47CD-A9EF-C43A369167A7}">
  <dimension ref="A1"/>
  <sheetViews>
    <sheetView showGridLines="0" workbookViewId="0">
      <selection activeCell="F6" sqref="F6:G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2026-04-17T02:06:44Z</cp:lastPrinted>
  <dcterms:created xsi:type="dcterms:W3CDTF">2026-04-12T21:29:31Z</dcterms:created>
  <dcterms:modified xsi:type="dcterms:W3CDTF">2026-08-31T23:36:30Z</dcterms:modified>
  <cp:category/>
  <cp:contentStatus/>
</cp:coreProperties>
</file>