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5D29ACCB-9335-4404-B850-47175D6E382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13" r:id="rId1"/>
    <sheet name="Base Assumptions" sheetId="1" r:id="rId2"/>
    <sheet name="Bear Assumptions" sheetId="11" r:id="rId3"/>
    <sheet name="Bull Assumptions" sheetId="12" r:id="rId4"/>
    <sheet name="Export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B7" i="1"/>
  <c r="C19" i="13"/>
  <c r="C22" i="13"/>
  <c r="C24" i="13" s="1"/>
  <c r="C18" i="13"/>
  <c r="C12" i="13"/>
  <c r="C14" i="13" s="1"/>
  <c r="I21" i="12"/>
  <c r="H21" i="12"/>
  <c r="G21" i="12"/>
  <c r="F21" i="12"/>
  <c r="E21" i="12"/>
  <c r="I21" i="11"/>
  <c r="H21" i="11"/>
  <c r="G21" i="11"/>
  <c r="F21" i="11"/>
  <c r="F26" i="11" s="1"/>
  <c r="E21" i="11"/>
  <c r="E26" i="11" s="1"/>
  <c r="Y75" i="12"/>
  <c r="X75" i="12"/>
  <c r="W75" i="12"/>
  <c r="V75" i="12"/>
  <c r="Y74" i="12"/>
  <c r="X74" i="12"/>
  <c r="W74" i="12"/>
  <c r="V74" i="12"/>
  <c r="Y73" i="12"/>
  <c r="X73" i="12"/>
  <c r="W73" i="12"/>
  <c r="V73" i="12"/>
  <c r="Y72" i="12"/>
  <c r="X72" i="12"/>
  <c r="W72" i="12"/>
  <c r="V72" i="12"/>
  <c r="Y71" i="12"/>
  <c r="X71" i="12"/>
  <c r="W71" i="12"/>
  <c r="V71" i="12"/>
  <c r="Y70" i="12"/>
  <c r="X70" i="12"/>
  <c r="W70" i="12"/>
  <c r="V70" i="12"/>
  <c r="Y69" i="12"/>
  <c r="X69" i="12"/>
  <c r="W69" i="12"/>
  <c r="V69" i="12"/>
  <c r="Y68" i="12"/>
  <c r="X68" i="12"/>
  <c r="W68" i="12"/>
  <c r="V68" i="12"/>
  <c r="Y67" i="12"/>
  <c r="X67" i="12"/>
  <c r="W67" i="12"/>
  <c r="V67" i="12"/>
  <c r="Y66" i="12"/>
  <c r="X66" i="12"/>
  <c r="W66" i="12"/>
  <c r="V66" i="12"/>
  <c r="Y65" i="12"/>
  <c r="X65" i="12"/>
  <c r="W65" i="12"/>
  <c r="V65" i="12"/>
  <c r="Y64" i="12"/>
  <c r="X64" i="12"/>
  <c r="W64" i="12"/>
  <c r="V64" i="12"/>
  <c r="Y63" i="12"/>
  <c r="X63" i="12"/>
  <c r="W63" i="12"/>
  <c r="V63" i="12"/>
  <c r="Y62" i="12"/>
  <c r="X62" i="12"/>
  <c r="W62" i="12"/>
  <c r="V62" i="12"/>
  <c r="Y61" i="12"/>
  <c r="X61" i="12"/>
  <c r="W61" i="12"/>
  <c r="V61" i="12"/>
  <c r="Y60" i="12"/>
  <c r="X60" i="12"/>
  <c r="W60" i="12"/>
  <c r="V60" i="12"/>
  <c r="Y59" i="12"/>
  <c r="X59" i="12"/>
  <c r="W59" i="12"/>
  <c r="V59" i="12"/>
  <c r="Y58" i="12"/>
  <c r="X58" i="12"/>
  <c r="W58" i="12"/>
  <c r="V58" i="12"/>
  <c r="Y57" i="12"/>
  <c r="X57" i="12"/>
  <c r="W57" i="12"/>
  <c r="V57" i="12"/>
  <c r="Y56" i="12"/>
  <c r="X56" i="12"/>
  <c r="W56" i="12"/>
  <c r="V56" i="12"/>
  <c r="Y55" i="12"/>
  <c r="X55" i="12"/>
  <c r="W55" i="12"/>
  <c r="V55" i="12"/>
  <c r="Y54" i="12"/>
  <c r="X54" i="12"/>
  <c r="W54" i="12"/>
  <c r="V54" i="12"/>
  <c r="Y53" i="12"/>
  <c r="X53" i="12"/>
  <c r="W53" i="12"/>
  <c r="V53" i="12"/>
  <c r="Y52" i="12"/>
  <c r="X52" i="12"/>
  <c r="W52" i="12"/>
  <c r="V52" i="12"/>
  <c r="Y51" i="12"/>
  <c r="X51" i="12"/>
  <c r="W51" i="12"/>
  <c r="V51" i="12"/>
  <c r="Y50" i="12"/>
  <c r="X50" i="12"/>
  <c r="W50" i="12"/>
  <c r="V50" i="12"/>
  <c r="Y49" i="12"/>
  <c r="X49" i="12"/>
  <c r="W49" i="12"/>
  <c r="V49" i="12"/>
  <c r="Y48" i="12"/>
  <c r="X48" i="12"/>
  <c r="W48" i="12"/>
  <c r="V48" i="12"/>
  <c r="Y47" i="12"/>
  <c r="X47" i="12"/>
  <c r="W47" i="12"/>
  <c r="V47" i="12"/>
  <c r="Y46" i="12"/>
  <c r="X46" i="12"/>
  <c r="W46" i="12"/>
  <c r="V46" i="12"/>
  <c r="Y45" i="12"/>
  <c r="X45" i="12"/>
  <c r="W45" i="12"/>
  <c r="V45" i="12"/>
  <c r="Y44" i="12"/>
  <c r="X44" i="12"/>
  <c r="W44" i="12"/>
  <c r="V44" i="12"/>
  <c r="Y43" i="12"/>
  <c r="X43" i="12"/>
  <c r="W43" i="12"/>
  <c r="V43" i="12"/>
  <c r="Y42" i="12"/>
  <c r="X42" i="12"/>
  <c r="W42" i="12"/>
  <c r="V42" i="12"/>
  <c r="M42" i="12"/>
  <c r="Y41" i="12"/>
  <c r="X41" i="12"/>
  <c r="W41" i="12"/>
  <c r="V41" i="12"/>
  <c r="Y40" i="12"/>
  <c r="X40" i="12"/>
  <c r="W40" i="12"/>
  <c r="V40" i="12"/>
  <c r="Y39" i="12"/>
  <c r="X39" i="12"/>
  <c r="W39" i="12"/>
  <c r="V39" i="12"/>
  <c r="Y38" i="12"/>
  <c r="X38" i="12"/>
  <c r="W38" i="12"/>
  <c r="V38" i="12"/>
  <c r="M38" i="12"/>
  <c r="G38" i="12"/>
  <c r="B38" i="12"/>
  <c r="Y37" i="12"/>
  <c r="X37" i="12"/>
  <c r="W37" i="12"/>
  <c r="V37" i="12"/>
  <c r="G37" i="12"/>
  <c r="B37" i="12"/>
  <c r="Y36" i="12"/>
  <c r="X36" i="12"/>
  <c r="W36" i="12"/>
  <c r="V36" i="12"/>
  <c r="G36" i="12"/>
  <c r="G39" i="12" s="1"/>
  <c r="Y35" i="12"/>
  <c r="X35" i="12"/>
  <c r="W35" i="12"/>
  <c r="V35" i="12"/>
  <c r="Y34" i="12"/>
  <c r="X34" i="12"/>
  <c r="W34" i="12"/>
  <c r="V34" i="12"/>
  <c r="Y33" i="12"/>
  <c r="X33" i="12"/>
  <c r="W33" i="12"/>
  <c r="V33" i="12"/>
  <c r="Y32" i="12"/>
  <c r="X32" i="12"/>
  <c r="W32" i="12"/>
  <c r="V32" i="12"/>
  <c r="Y31" i="12"/>
  <c r="X31" i="12"/>
  <c r="W31" i="12"/>
  <c r="V31" i="12"/>
  <c r="I31" i="12"/>
  <c r="H31" i="12"/>
  <c r="G31" i="12"/>
  <c r="F31" i="12"/>
  <c r="E31" i="12"/>
  <c r="D31" i="12"/>
  <c r="Y30" i="12"/>
  <c r="X30" i="12"/>
  <c r="W30" i="12"/>
  <c r="V30" i="12"/>
  <c r="Y29" i="12"/>
  <c r="X29" i="12"/>
  <c r="W29" i="12"/>
  <c r="V29" i="12"/>
  <c r="Y28" i="12"/>
  <c r="X28" i="12"/>
  <c r="W28" i="12"/>
  <c r="V28" i="12"/>
  <c r="Y27" i="12"/>
  <c r="X27" i="12"/>
  <c r="W27" i="12"/>
  <c r="V27" i="12"/>
  <c r="E27" i="12"/>
  <c r="D27" i="12"/>
  <c r="Y26" i="12"/>
  <c r="X26" i="12"/>
  <c r="W26" i="12"/>
  <c r="V26" i="12"/>
  <c r="E26" i="12"/>
  <c r="D26" i="12"/>
  <c r="Y25" i="12"/>
  <c r="X25" i="12"/>
  <c r="W25" i="12"/>
  <c r="V25" i="12"/>
  <c r="E25" i="12"/>
  <c r="D25" i="12"/>
  <c r="Y24" i="12"/>
  <c r="X24" i="12"/>
  <c r="W24" i="12"/>
  <c r="V24" i="12"/>
  <c r="Y23" i="12"/>
  <c r="X23" i="12"/>
  <c r="W23" i="12"/>
  <c r="V23" i="12"/>
  <c r="Y22" i="12"/>
  <c r="X22" i="12"/>
  <c r="W22" i="12"/>
  <c r="V22" i="12"/>
  <c r="E22" i="12"/>
  <c r="E24" i="12" s="1"/>
  <c r="D22" i="12"/>
  <c r="D23" i="12" s="1"/>
  <c r="Y21" i="12"/>
  <c r="X21" i="12"/>
  <c r="W21" i="12"/>
  <c r="V21" i="12"/>
  <c r="F22" i="12"/>
  <c r="Y20" i="12"/>
  <c r="X20" i="12"/>
  <c r="W20" i="12"/>
  <c r="V20" i="12"/>
  <c r="Y19" i="12"/>
  <c r="X19" i="12"/>
  <c r="W19" i="12"/>
  <c r="V19" i="12"/>
  <c r="Y18" i="12"/>
  <c r="X18" i="12"/>
  <c r="W18" i="12"/>
  <c r="V18" i="12"/>
  <c r="Y17" i="12"/>
  <c r="X17" i="12"/>
  <c r="W17" i="12"/>
  <c r="V17" i="12"/>
  <c r="Y16" i="12"/>
  <c r="X16" i="12"/>
  <c r="W16" i="12"/>
  <c r="V16" i="12"/>
  <c r="Y15" i="12"/>
  <c r="X15" i="12"/>
  <c r="W15" i="12"/>
  <c r="V15" i="12"/>
  <c r="T9" i="12"/>
  <c r="Y75" i="11"/>
  <c r="X75" i="11"/>
  <c r="W75" i="11"/>
  <c r="V75" i="11"/>
  <c r="Y74" i="11"/>
  <c r="X74" i="11"/>
  <c r="W74" i="11"/>
  <c r="V74" i="11"/>
  <c r="Y73" i="11"/>
  <c r="X73" i="11"/>
  <c r="W73" i="11"/>
  <c r="V73" i="11"/>
  <c r="Y72" i="11"/>
  <c r="X72" i="11"/>
  <c r="W72" i="11"/>
  <c r="V72" i="11"/>
  <c r="Y71" i="11"/>
  <c r="X71" i="11"/>
  <c r="W71" i="11"/>
  <c r="V71" i="11"/>
  <c r="Y70" i="11"/>
  <c r="X70" i="11"/>
  <c r="W70" i="11"/>
  <c r="V70" i="11"/>
  <c r="Y69" i="11"/>
  <c r="X69" i="11"/>
  <c r="W69" i="11"/>
  <c r="V69" i="11"/>
  <c r="Y68" i="11"/>
  <c r="X68" i="11"/>
  <c r="W68" i="11"/>
  <c r="V68" i="11"/>
  <c r="Y67" i="11"/>
  <c r="X67" i="11"/>
  <c r="W67" i="11"/>
  <c r="V67" i="11"/>
  <c r="Y66" i="11"/>
  <c r="X66" i="11"/>
  <c r="W66" i="11"/>
  <c r="V66" i="11"/>
  <c r="Y65" i="11"/>
  <c r="X65" i="11"/>
  <c r="W65" i="11"/>
  <c r="V65" i="11"/>
  <c r="Y64" i="11"/>
  <c r="X64" i="11"/>
  <c r="W64" i="11"/>
  <c r="V64" i="11"/>
  <c r="Y63" i="11"/>
  <c r="X63" i="11"/>
  <c r="W63" i="11"/>
  <c r="V63" i="11"/>
  <c r="Y62" i="11"/>
  <c r="X62" i="11"/>
  <c r="W62" i="11"/>
  <c r="V62" i="11"/>
  <c r="Y61" i="11"/>
  <c r="X61" i="11"/>
  <c r="W61" i="11"/>
  <c r="V61" i="11"/>
  <c r="Y60" i="11"/>
  <c r="X60" i="11"/>
  <c r="W60" i="11"/>
  <c r="V60" i="11"/>
  <c r="Y59" i="11"/>
  <c r="X59" i="11"/>
  <c r="W59" i="11"/>
  <c r="V59" i="11"/>
  <c r="Y58" i="11"/>
  <c r="X58" i="11"/>
  <c r="W58" i="11"/>
  <c r="V58" i="11"/>
  <c r="Y57" i="11"/>
  <c r="X57" i="11"/>
  <c r="W57" i="11"/>
  <c r="V57" i="11"/>
  <c r="Y56" i="11"/>
  <c r="X56" i="11"/>
  <c r="W56" i="11"/>
  <c r="V56" i="11"/>
  <c r="Y55" i="11"/>
  <c r="X55" i="11"/>
  <c r="W55" i="11"/>
  <c r="V55" i="11"/>
  <c r="Y54" i="11"/>
  <c r="X54" i="11"/>
  <c r="W54" i="11"/>
  <c r="V54" i="11"/>
  <c r="Y53" i="11"/>
  <c r="X53" i="11"/>
  <c r="W53" i="11"/>
  <c r="V53" i="11"/>
  <c r="Y52" i="11"/>
  <c r="X52" i="11"/>
  <c r="W52" i="11"/>
  <c r="V52" i="11"/>
  <c r="Y51" i="11"/>
  <c r="X51" i="11"/>
  <c r="W51" i="11"/>
  <c r="V51" i="11"/>
  <c r="Y50" i="11"/>
  <c r="X50" i="11"/>
  <c r="W50" i="11"/>
  <c r="V50" i="11"/>
  <c r="Y49" i="11"/>
  <c r="X49" i="11"/>
  <c r="W49" i="11"/>
  <c r="V49" i="11"/>
  <c r="Y48" i="11"/>
  <c r="X48" i="11"/>
  <c r="W48" i="11"/>
  <c r="V48" i="11"/>
  <c r="Y47" i="11"/>
  <c r="X47" i="11"/>
  <c r="W47" i="11"/>
  <c r="V47" i="11"/>
  <c r="Y46" i="11"/>
  <c r="X46" i="11"/>
  <c r="W46" i="11"/>
  <c r="V46" i="11"/>
  <c r="Y45" i="11"/>
  <c r="X45" i="11"/>
  <c r="W45" i="11"/>
  <c r="V45" i="11"/>
  <c r="Y44" i="11"/>
  <c r="X44" i="11"/>
  <c r="W44" i="11"/>
  <c r="V44" i="11"/>
  <c r="Y43" i="11"/>
  <c r="X43" i="11"/>
  <c r="W43" i="11"/>
  <c r="V43" i="11"/>
  <c r="Y42" i="11"/>
  <c r="X42" i="11"/>
  <c r="W42" i="11"/>
  <c r="V42" i="11"/>
  <c r="M42" i="11"/>
  <c r="Y41" i="11"/>
  <c r="X41" i="11"/>
  <c r="W41" i="11"/>
  <c r="V41" i="11"/>
  <c r="Y40" i="11"/>
  <c r="X40" i="11"/>
  <c r="W40" i="11"/>
  <c r="V40" i="11"/>
  <c r="Y39" i="11"/>
  <c r="X39" i="11"/>
  <c r="W39" i="11"/>
  <c r="V39" i="11"/>
  <c r="Y38" i="11"/>
  <c r="X38" i="11"/>
  <c r="W38" i="11"/>
  <c r="V38" i="11"/>
  <c r="M38" i="11"/>
  <c r="G38" i="11"/>
  <c r="B38" i="11"/>
  <c r="Y37" i="11"/>
  <c r="X37" i="11"/>
  <c r="W37" i="11"/>
  <c r="V37" i="11"/>
  <c r="G37" i="11"/>
  <c r="B37" i="11"/>
  <c r="Y36" i="11"/>
  <c r="X36" i="11"/>
  <c r="W36" i="11"/>
  <c r="V36" i="11"/>
  <c r="G36" i="11"/>
  <c r="G39" i="11" s="1"/>
  <c r="Y35" i="11"/>
  <c r="X35" i="11"/>
  <c r="W35" i="11"/>
  <c r="V35" i="11"/>
  <c r="Y34" i="11"/>
  <c r="X34" i="11"/>
  <c r="W34" i="11"/>
  <c r="V34" i="11"/>
  <c r="Y33" i="11"/>
  <c r="X33" i="11"/>
  <c r="W33" i="11"/>
  <c r="V33" i="11"/>
  <c r="Y32" i="11"/>
  <c r="X32" i="11"/>
  <c r="W32" i="11"/>
  <c r="V32" i="11"/>
  <c r="Y31" i="11"/>
  <c r="X31" i="11"/>
  <c r="W31" i="11"/>
  <c r="V31" i="11"/>
  <c r="I31" i="11"/>
  <c r="H31" i="11"/>
  <c r="G31" i="11"/>
  <c r="F31" i="11"/>
  <c r="E31" i="11"/>
  <c r="D31" i="11"/>
  <c r="Y30" i="11"/>
  <c r="X30" i="11"/>
  <c r="W30" i="11"/>
  <c r="V30" i="11"/>
  <c r="Y29" i="11"/>
  <c r="X29" i="11"/>
  <c r="W29" i="11"/>
  <c r="V29" i="11"/>
  <c r="Y28" i="11"/>
  <c r="X28" i="11"/>
  <c r="W28" i="11"/>
  <c r="V28" i="11"/>
  <c r="Y27" i="11"/>
  <c r="X27" i="11"/>
  <c r="W27" i="11"/>
  <c r="V27" i="11"/>
  <c r="E27" i="11"/>
  <c r="D27" i="11"/>
  <c r="Y26" i="11"/>
  <c r="X26" i="11"/>
  <c r="W26" i="11"/>
  <c r="V26" i="11"/>
  <c r="D26" i="11"/>
  <c r="Y25" i="11"/>
  <c r="X25" i="11"/>
  <c r="W25" i="11"/>
  <c r="V25" i="11"/>
  <c r="E25" i="11"/>
  <c r="D25" i="11"/>
  <c r="Y24" i="11"/>
  <c r="X24" i="11"/>
  <c r="W24" i="11"/>
  <c r="V24" i="11"/>
  <c r="Y23" i="11"/>
  <c r="X23" i="11"/>
  <c r="W23" i="11"/>
  <c r="V23" i="11"/>
  <c r="Y22" i="11"/>
  <c r="X22" i="11"/>
  <c r="W22" i="11"/>
  <c r="V22" i="11"/>
  <c r="E22" i="11"/>
  <c r="E24" i="11" s="1"/>
  <c r="D22" i="11"/>
  <c r="D23" i="11" s="1"/>
  <c r="Y21" i="11"/>
  <c r="X21" i="11"/>
  <c r="W21" i="11"/>
  <c r="V21" i="11"/>
  <c r="Y20" i="11"/>
  <c r="X20" i="11"/>
  <c r="W20" i="11"/>
  <c r="V20" i="11"/>
  <c r="Y19" i="11"/>
  <c r="X19" i="11"/>
  <c r="W19" i="11"/>
  <c r="V19" i="11"/>
  <c r="Y18" i="11"/>
  <c r="X18" i="11"/>
  <c r="W18" i="11"/>
  <c r="V18" i="11"/>
  <c r="Y17" i="11"/>
  <c r="X17" i="11"/>
  <c r="W17" i="11"/>
  <c r="V17" i="11"/>
  <c r="Y16" i="11"/>
  <c r="X16" i="11"/>
  <c r="W16" i="11"/>
  <c r="V16" i="11"/>
  <c r="Y15" i="11"/>
  <c r="X15" i="11"/>
  <c r="W15" i="11"/>
  <c r="V15" i="11"/>
  <c r="T9" i="11"/>
  <c r="C13" i="13" l="1"/>
  <c r="C28" i="13" s="1"/>
  <c r="E28" i="12"/>
  <c r="E30" i="12" s="1"/>
  <c r="E32" i="12" s="1"/>
  <c r="E28" i="11"/>
  <c r="C32" i="12"/>
  <c r="G40" i="12"/>
  <c r="C30" i="12"/>
  <c r="F23" i="12"/>
  <c r="F24" i="12"/>
  <c r="F26" i="12"/>
  <c r="E23" i="12"/>
  <c r="D24" i="12"/>
  <c r="D28" i="12" s="1"/>
  <c r="F27" i="12"/>
  <c r="F25" i="12"/>
  <c r="C30" i="11"/>
  <c r="G40" i="11"/>
  <c r="C32" i="11"/>
  <c r="Q8" i="11"/>
  <c r="E30" i="11"/>
  <c r="E32" i="11" s="1"/>
  <c r="F25" i="11"/>
  <c r="F22" i="11"/>
  <c r="E23" i="11"/>
  <c r="D24" i="11"/>
  <c r="D28" i="11" s="1"/>
  <c r="F27" i="11"/>
  <c r="F21" i="1"/>
  <c r="Q8" i="12" l="1"/>
  <c r="F28" i="12"/>
  <c r="F30" i="12" s="1"/>
  <c r="F32" i="12" s="1"/>
  <c r="G27" i="12"/>
  <c r="G26" i="12"/>
  <c r="G22" i="12"/>
  <c r="G25" i="12"/>
  <c r="Q7" i="12"/>
  <c r="D30" i="12"/>
  <c r="D32" i="12" s="1"/>
  <c r="M48" i="12"/>
  <c r="G41" i="12"/>
  <c r="M48" i="11"/>
  <c r="G41" i="11"/>
  <c r="F23" i="11"/>
  <c r="F24" i="11"/>
  <c r="F28" i="11" s="1"/>
  <c r="G27" i="11"/>
  <c r="G25" i="11"/>
  <c r="G26" i="11"/>
  <c r="G22" i="11"/>
  <c r="D30" i="11"/>
  <c r="D32" i="11" s="1"/>
  <c r="Q7" i="11"/>
  <c r="G21" i="1"/>
  <c r="Q9" i="12" l="1"/>
  <c r="H26" i="12"/>
  <c r="H22" i="12"/>
  <c r="H25" i="12"/>
  <c r="H27" i="12"/>
  <c r="G23" i="12"/>
  <c r="G24" i="12"/>
  <c r="G28" i="12" s="1"/>
  <c r="F30" i="11"/>
  <c r="F32" i="11" s="1"/>
  <c r="Q9" i="11"/>
  <c r="H26" i="11"/>
  <c r="H22" i="11"/>
  <c r="H25" i="11"/>
  <c r="H27" i="11"/>
  <c r="G23" i="11"/>
  <c r="G24" i="11"/>
  <c r="G28" i="11" s="1"/>
  <c r="H21" i="1"/>
  <c r="I21" i="1" s="1"/>
  <c r="Q10" i="12" l="1"/>
  <c r="G30" i="12"/>
  <c r="G32" i="12" s="1"/>
  <c r="I26" i="12"/>
  <c r="I22" i="12"/>
  <c r="I25" i="12"/>
  <c r="I27" i="12"/>
  <c r="H24" i="12"/>
  <c r="H28" i="12" s="1"/>
  <c r="H23" i="12"/>
  <c r="H23" i="11"/>
  <c r="H24" i="11"/>
  <c r="H28" i="11" s="1"/>
  <c r="I26" i="11"/>
  <c r="I25" i="11"/>
  <c r="I27" i="11"/>
  <c r="I22" i="11"/>
  <c r="M21" i="11" s="1"/>
  <c r="Q10" i="11"/>
  <c r="G30" i="11"/>
  <c r="G32" i="11" s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Y17" i="1"/>
  <c r="X17" i="1"/>
  <c r="W17" i="1"/>
  <c r="Y16" i="1"/>
  <c r="X16" i="1"/>
  <c r="W16" i="1"/>
  <c r="Y15" i="1"/>
  <c r="X15" i="1"/>
  <c r="W15" i="1"/>
  <c r="M21" i="12" l="1"/>
  <c r="Q11" i="12"/>
  <c r="H30" i="12"/>
  <c r="H32" i="12" s="1"/>
  <c r="I24" i="12"/>
  <c r="I28" i="12" s="1"/>
  <c r="I23" i="12"/>
  <c r="Q11" i="11"/>
  <c r="H30" i="11"/>
  <c r="H32" i="11" s="1"/>
  <c r="I24" i="11"/>
  <c r="I28" i="11" s="1"/>
  <c r="I23" i="11"/>
  <c r="M42" i="1"/>
  <c r="T9" i="1"/>
  <c r="V16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Q12" i="12" l="1"/>
  <c r="I30" i="12"/>
  <c r="I32" i="12" s="1"/>
  <c r="B36" i="12" s="1"/>
  <c r="M20" i="12"/>
  <c r="M22" i="12" s="1"/>
  <c r="J32" i="12" s="1"/>
  <c r="Q12" i="11"/>
  <c r="I30" i="11"/>
  <c r="I32" i="11" s="1"/>
  <c r="B36" i="11" s="1"/>
  <c r="M20" i="11"/>
  <c r="M22" i="11" s="1"/>
  <c r="J32" i="11" s="1"/>
  <c r="D22" i="1"/>
  <c r="D27" i="1"/>
  <c r="D26" i="1"/>
  <c r="D25" i="1"/>
  <c r="G36" i="1"/>
  <c r="B39" i="11" l="1"/>
  <c r="B40" i="11" s="1"/>
  <c r="M44" i="11" s="1"/>
  <c r="B39" i="12"/>
  <c r="B40" i="12" s="1"/>
  <c r="J30" i="12"/>
  <c r="J30" i="11"/>
  <c r="E27" i="1"/>
  <c r="E25" i="1"/>
  <c r="E26" i="1"/>
  <c r="F26" i="1"/>
  <c r="F27" i="1"/>
  <c r="G27" i="1"/>
  <c r="G25" i="1"/>
  <c r="G26" i="1"/>
  <c r="F25" i="1"/>
  <c r="M47" i="11" l="1"/>
  <c r="M41" i="11"/>
  <c r="M43" i="11"/>
  <c r="B41" i="11"/>
  <c r="T7" i="11"/>
  <c r="M49" i="11"/>
  <c r="M50" i="11"/>
  <c r="M37" i="11"/>
  <c r="M50" i="12"/>
  <c r="T7" i="12"/>
  <c r="B41" i="12"/>
  <c r="M43" i="12"/>
  <c r="M41" i="12"/>
  <c r="M44" i="12"/>
  <c r="M47" i="12"/>
  <c r="M37" i="12"/>
  <c r="M49" i="12"/>
  <c r="H26" i="1"/>
  <c r="H27" i="1"/>
  <c r="H25" i="1"/>
  <c r="I26" i="1" l="1"/>
  <c r="I27" i="1"/>
  <c r="I25" i="1"/>
  <c r="E22" i="1"/>
  <c r="B38" i="1"/>
  <c r="F22" i="1" l="1"/>
  <c r="D23" i="1"/>
  <c r="V15" i="1"/>
  <c r="M38" i="1"/>
  <c r="B37" i="1"/>
  <c r="G37" i="1"/>
  <c r="G38" i="1"/>
  <c r="E31" i="1"/>
  <c r="F31" i="1"/>
  <c r="G31" i="1"/>
  <c r="H31" i="1"/>
  <c r="I31" i="1"/>
  <c r="D31" i="1"/>
  <c r="G22" i="1" l="1"/>
  <c r="D24" i="1"/>
  <c r="G39" i="1"/>
  <c r="C30" i="1" s="1"/>
  <c r="H22" i="1" l="1"/>
  <c r="D28" i="1"/>
  <c r="Q7" i="1" s="1"/>
  <c r="G40" i="1"/>
  <c r="C32" i="1"/>
  <c r="E24" i="1"/>
  <c r="E28" i="1" s="1"/>
  <c r="E23" i="1"/>
  <c r="G41" i="1" l="1"/>
  <c r="I22" i="1"/>
  <c r="M21" i="1" s="1"/>
  <c r="D30" i="1"/>
  <c r="D32" i="1" s="1"/>
  <c r="M48" i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44" i="1"/>
  <c r="M50" i="1"/>
  <c r="M41" i="1"/>
  <c r="M43" i="1"/>
  <c r="M37" i="1"/>
  <c r="B41" i="1"/>
  <c r="M47" i="1"/>
  <c r="M49" i="1"/>
</calcChain>
</file>

<file path=xl/sharedStrings.xml><?xml version="1.0" encoding="utf-8"?>
<sst xmlns="http://schemas.openxmlformats.org/spreadsheetml/2006/main" count="343" uniqueCount="127">
  <si>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</si>
  <si>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</si>
  <si>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</si>
  <si>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</si>
  <si>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</si>
  <si>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</si>
  <si>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</si>
  <si>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</si>
  <si>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</si>
  <si>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</si>
  <si>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</si>
  <si>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</si>
  <si>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</si>
  <si>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</si>
  <si>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</si>
  <si>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</si>
  <si>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</si>
  <si>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</si>
  <si>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</si>
  <si>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</si>
  <si>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</si>
  <si>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</si>
  <si>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</si>
  <si>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</si>
  <si>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</si>
  <si>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</si>
  <si>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</si>
  <si>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</si>
  <si>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</si>
  <si>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</si>
  <si>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</si>
  <si>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</si>
  <si>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</si>
  <si>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</si>
  <si>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</si>
  <si>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</si>
  <si>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</si>
  <si>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</si>
  <si>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</si>
  <si>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</si>
  <si>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</si>
  <si>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</si>
  <si>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</si>
  <si>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</si>
  <si>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</si>
  <si>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</si>
  <si>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</si>
  <si>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</si>
  <si>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</si>
  <si>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</si>
  <si>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</si>
  <si>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</si>
  <si>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</si>
  <si>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</si>
  <si>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</si>
  <si>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</si>
  <si>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</si>
  <si>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</si>
  <si>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</si>
  <si>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</si>
  <si>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</si>
  <si>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</si>
  <si>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</si>
  <si>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</si>
  <si>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</si>
  <si>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</si>
  <si>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</si>
  <si>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</si>
  <si>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</si>
  <si>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</si>
  <si>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</si>
  <si>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</si>
  <si>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</si>
  <si>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</si>
  <si>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</si>
  <si>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</si>
  <si>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</si>
  <si>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</si>
  <si>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*base-case assumptions</t>
  </si>
  <si>
    <t>*bear-case assumptions</t>
  </si>
  <si>
    <t>*bull-case assumptions</t>
  </si>
  <si>
    <t>(as of July 2026)</t>
  </si>
  <si>
    <t>(5% of Revenue)</t>
  </si>
  <si>
    <t>(4% of Revenue)</t>
  </si>
  <si>
    <t>Intrinsic Value vs Current Price</t>
  </si>
  <si>
    <t>(3% of Revenue)</t>
  </si>
  <si>
    <t>Upside (%)</t>
  </si>
  <si>
    <t>Upside ($)</t>
  </si>
  <si>
    <t>12.0x</t>
  </si>
  <si>
    <t>(Revenue * 0.25)</t>
  </si>
  <si>
    <t>(9% of Revenue)</t>
  </si>
  <si>
    <t>14.0x</t>
  </si>
  <si>
    <t>Fiserv Inc</t>
  </si>
  <si>
    <t>Fiserv Indexed</t>
  </si>
  <si>
    <t>(6% of Revenue)</t>
  </si>
  <si>
    <t>(Revenue * 0.23)</t>
  </si>
  <si>
    <t>(10% of Revenue)</t>
  </si>
  <si>
    <t>16.0x</t>
  </si>
  <si>
    <t>(8% of Revenue)</t>
  </si>
  <si>
    <t>(Following previous trend logic including negative YoY)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</si>
  <si>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</si>
  <si>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</si>
  <si>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</si>
  <si>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</si>
  <si>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</si>
  <si>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</si>
  <si>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</si>
  <si>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</si>
  <si>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</si>
  <si>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</si>
  <si>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</si>
  <si>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</si>
  <si>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</si>
  <si>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</si>
  <si>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</si>
  <si>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</si>
  <si>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</si>
  <si>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</si>
  <si>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</si>
  <si>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</si>
  <si>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</si>
  <si>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</si>
  <si>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FISV</t>
  </si>
  <si>
    <t>(Revenue * 0.21)</t>
  </si>
  <si>
    <t>1,907,100,000 (9% of Revenue)</t>
  </si>
  <si>
    <t>2,119,000,000 (10% of Revenue)</t>
  </si>
  <si>
    <t>1,695,200,000 (8%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</si>
</sst>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6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69" fontId="3" fillId="3" borderId="0" xfId="0" applyNumberFormat="1" applyFont="1" applyFill="1" applyAlignment="1">
      <alignment horizontal="left"/>
    </xf>
    <xf numFmtId="170" fontId="0" fillId="0" borderId="0" xfId="0" applyNumberFormat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  <xf numFmtId="169" fontId="0" fillId="0" borderId="5" xfId="0" applyNumberFormat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1804328500</c:v>
                </c:pt>
                <c:pt idx="1">
                  <c:v>1840415070</c:v>
                </c:pt>
                <c:pt idx="2">
                  <c:v>1858819220.6999998</c:v>
                </c:pt>
                <c:pt idx="3">
                  <c:v>1821642836.2859998</c:v>
                </c:pt>
                <c:pt idx="4">
                  <c:v>1912724978.1002996</c:v>
                </c:pt>
                <c:pt idx="5">
                  <c:v>1931852227.8813031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51.623069770358079</c:v>
                </c:pt>
                <c:pt idx="1">
                  <c:v>1.38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FISV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Fiserv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102.45851793936234</c:v>
                </c:pt>
                <c:pt idx="2">
                  <c:v>95.334897054990876</c:v>
                </c:pt>
                <c:pt idx="3">
                  <c:v>95.717140126835204</c:v>
                </c:pt>
                <c:pt idx="4">
                  <c:v>85.35314047432891</c:v>
                </c:pt>
                <c:pt idx="5">
                  <c:v>91.686213187385988</c:v>
                </c:pt>
                <c:pt idx="6">
                  <c:v>91.112848579619481</c:v>
                </c:pt>
                <c:pt idx="7">
                  <c:v>85.179393623490569</c:v>
                </c:pt>
                <c:pt idx="8">
                  <c:v>87.316479888802021</c:v>
                </c:pt>
                <c:pt idx="9">
                  <c:v>84.579966988098349</c:v>
                </c:pt>
                <c:pt idx="10">
                  <c:v>83.04230735817913</c:v>
                </c:pt>
                <c:pt idx="11">
                  <c:v>80.427417253062288</c:v>
                </c:pt>
                <c:pt idx="12">
                  <c:v>91.807835982972819</c:v>
                </c:pt>
                <c:pt idx="13">
                  <c:v>88.124402745200243</c:v>
                </c:pt>
                <c:pt idx="14">
                  <c:v>85.092520198071412</c:v>
                </c:pt>
                <c:pt idx="15">
                  <c:v>89.132134480062547</c:v>
                </c:pt>
                <c:pt idx="16">
                  <c:v>89.036573712101458</c:v>
                </c:pt>
                <c:pt idx="17">
                  <c:v>87.802971071149329</c:v>
                </c:pt>
                <c:pt idx="18">
                  <c:v>92.607071496829121</c:v>
                </c:pt>
                <c:pt idx="19">
                  <c:v>99.426635392233521</c:v>
                </c:pt>
                <c:pt idx="20">
                  <c:v>93.970984275909998</c:v>
                </c:pt>
                <c:pt idx="21">
                  <c:v>101.60715837025454</c:v>
                </c:pt>
                <c:pt idx="22">
                  <c:v>98.835896099383191</c:v>
                </c:pt>
                <c:pt idx="23">
                  <c:v>104.67379028755104</c:v>
                </c:pt>
                <c:pt idx="24">
                  <c:v>108.58309443141343</c:v>
                </c:pt>
                <c:pt idx="25">
                  <c:v>105.53383719920078</c:v>
                </c:pt>
                <c:pt idx="26">
                  <c:v>98.132221353487964</c:v>
                </c:pt>
                <c:pt idx="27">
                  <c:v>103.84849274606897</c:v>
                </c:pt>
                <c:pt idx="28">
                  <c:v>113.46538093997047</c:v>
                </c:pt>
                <c:pt idx="29">
                  <c:v>116.0715837025454</c:v>
                </c:pt>
                <c:pt idx="30">
                  <c:v>120.77143601772218</c:v>
                </c:pt>
                <c:pt idx="31">
                  <c:v>130.61419511771348</c:v>
                </c:pt>
                <c:pt idx="32">
                  <c:v>135.77447658761184</c:v>
                </c:pt>
                <c:pt idx="33">
                  <c:v>129.63252541047694</c:v>
                </c:pt>
                <c:pt idx="34">
                  <c:v>130.60550777517156</c:v>
                </c:pt>
                <c:pt idx="35">
                  <c:v>129.47615324472244</c:v>
                </c:pt>
                <c:pt idx="36">
                  <c:v>135.55729302406394</c:v>
                </c:pt>
                <c:pt idx="37">
                  <c:v>151.68100078186083</c:v>
                </c:pt>
                <c:pt idx="38">
                  <c:v>154.96481626270523</c:v>
                </c:pt>
                <c:pt idx="39">
                  <c:v>175.52775605942145</c:v>
                </c:pt>
                <c:pt idx="40">
                  <c:v>191.95552080618538</c:v>
                </c:pt>
                <c:pt idx="41">
                  <c:v>179.00269307618802</c:v>
                </c:pt>
                <c:pt idx="42">
                  <c:v>181.42646164538269</c:v>
                </c:pt>
                <c:pt idx="43">
                  <c:v>201.8417166188863</c:v>
                </c:pt>
                <c:pt idx="44">
                  <c:v>187.75953435843974</c:v>
                </c:pt>
                <c:pt idx="45">
                  <c:v>160.16853444531318</c:v>
                </c:pt>
                <c:pt idx="46">
                  <c:v>138.42411606289636</c:v>
                </c:pt>
                <c:pt idx="47">
                  <c:v>141.93380244983061</c:v>
                </c:pt>
                <c:pt idx="48">
                  <c:v>117.56580661975502</c:v>
                </c:pt>
                <c:pt idx="49">
                  <c:v>120.04169924420121</c:v>
                </c:pt>
                <c:pt idx="50">
                  <c:v>114.49917470245853</c:v>
                </c:pt>
                <c:pt idx="51">
                  <c:v>105.68152202241335</c:v>
                </c:pt>
                <c:pt idx="52">
                  <c:v>55.095126400833983</c:v>
                </c:pt>
                <c:pt idx="53">
                  <c:v>59.021805229780213</c:v>
                </c:pt>
                <c:pt idx="54">
                  <c:v>58.691686213187388</c:v>
                </c:pt>
                <c:pt idx="55">
                  <c:v>54.113456693597428</c:v>
                </c:pt>
                <c:pt idx="56">
                  <c:v>46.824776300929543</c:v>
                </c:pt>
                <c:pt idx="57">
                  <c:v>55.572930240639387</c:v>
                </c:pt>
                <c:pt idx="58">
                  <c:v>49.630787941968549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 formatCode="0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 formatCode="0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 formatCode="0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 formatCode="0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 formatCode="0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 formatCode="0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 formatCode="0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 formatCode="0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 formatCode="0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 formatCode="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 formatCode="0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 formatCode="0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 formatCode="0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 formatCode="0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 formatCode="0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 formatCode="0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 formatCode="0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 formatCode="0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 formatCode="0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 formatCode="0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 formatCode="0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 formatCode="0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 formatCode="0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 formatCode="0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 formatCode="0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 formatCode="0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 formatCode="0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 formatCode="0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 formatCode="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 formatCode="0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 formatCode="0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 formatCode="0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 formatCode="0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 formatCode="0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 formatCode="0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 formatCode="0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 formatCode="0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 formatCode="0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 formatCode="0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 formatCode="0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 formatCode="0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 formatCode="0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 formatCode="0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 formatCode="0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 formatCode="0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 formatCode="0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 formatCode="0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 formatCode="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 formatCode="0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 formatCode="0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 formatCode="0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 formatCode="0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 formatCode="0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 formatCode="0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 formatCode="0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 formatCode="0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 formatCode="0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782970500</c:v>
                </c:pt>
                <c:pt idx="1">
                  <c:v>798629910</c:v>
                </c:pt>
                <c:pt idx="2">
                  <c:v>798629910</c:v>
                </c:pt>
                <c:pt idx="3">
                  <c:v>774671012.70000029</c:v>
                </c:pt>
                <c:pt idx="4">
                  <c:v>797911143.08100057</c:v>
                </c:pt>
                <c:pt idx="5">
                  <c:v>805890254.51181006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1-4424-BCEB-EB9EF955E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6D-43D6-82ED-F0F838B65F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14.681333713233361</c:v>
                </c:pt>
                <c:pt idx="1">
                  <c:v>38.32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D-43D6-82ED-F0F838B6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FISV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Fiserv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102.45851793936234</c:v>
                </c:pt>
                <c:pt idx="2">
                  <c:v>95.334897054990876</c:v>
                </c:pt>
                <c:pt idx="3">
                  <c:v>95.717140126835204</c:v>
                </c:pt>
                <c:pt idx="4">
                  <c:v>85.35314047432891</c:v>
                </c:pt>
                <c:pt idx="5">
                  <c:v>91.686213187385988</c:v>
                </c:pt>
                <c:pt idx="6">
                  <c:v>91.112848579619481</c:v>
                </c:pt>
                <c:pt idx="7">
                  <c:v>85.179393623490569</c:v>
                </c:pt>
                <c:pt idx="8">
                  <c:v>87.316479888802021</c:v>
                </c:pt>
                <c:pt idx="9">
                  <c:v>84.579966988098349</c:v>
                </c:pt>
                <c:pt idx="10">
                  <c:v>83.04230735817913</c:v>
                </c:pt>
                <c:pt idx="11">
                  <c:v>80.427417253062288</c:v>
                </c:pt>
                <c:pt idx="12">
                  <c:v>91.807835982972819</c:v>
                </c:pt>
                <c:pt idx="13">
                  <c:v>88.124402745200243</c:v>
                </c:pt>
                <c:pt idx="14">
                  <c:v>85.092520198071412</c:v>
                </c:pt>
                <c:pt idx="15">
                  <c:v>89.132134480062547</c:v>
                </c:pt>
                <c:pt idx="16">
                  <c:v>89.036573712101458</c:v>
                </c:pt>
                <c:pt idx="17">
                  <c:v>87.802971071149329</c:v>
                </c:pt>
                <c:pt idx="18">
                  <c:v>92.607071496829121</c:v>
                </c:pt>
                <c:pt idx="19">
                  <c:v>99.426635392233521</c:v>
                </c:pt>
                <c:pt idx="20">
                  <c:v>93.970984275909998</c:v>
                </c:pt>
                <c:pt idx="21">
                  <c:v>101.60715837025454</c:v>
                </c:pt>
                <c:pt idx="22">
                  <c:v>98.835896099383191</c:v>
                </c:pt>
                <c:pt idx="23">
                  <c:v>104.67379028755104</c:v>
                </c:pt>
                <c:pt idx="24">
                  <c:v>108.58309443141343</c:v>
                </c:pt>
                <c:pt idx="25">
                  <c:v>105.53383719920078</c:v>
                </c:pt>
                <c:pt idx="26">
                  <c:v>98.132221353487964</c:v>
                </c:pt>
                <c:pt idx="27">
                  <c:v>103.84849274606897</c:v>
                </c:pt>
                <c:pt idx="28">
                  <c:v>113.46538093997047</c:v>
                </c:pt>
                <c:pt idx="29">
                  <c:v>116.0715837025454</c:v>
                </c:pt>
                <c:pt idx="30">
                  <c:v>120.77143601772218</c:v>
                </c:pt>
                <c:pt idx="31">
                  <c:v>130.61419511771348</c:v>
                </c:pt>
                <c:pt idx="32">
                  <c:v>135.77447658761184</c:v>
                </c:pt>
                <c:pt idx="33">
                  <c:v>129.63252541047694</c:v>
                </c:pt>
                <c:pt idx="34">
                  <c:v>130.60550777517156</c:v>
                </c:pt>
                <c:pt idx="35">
                  <c:v>129.47615324472244</c:v>
                </c:pt>
                <c:pt idx="36">
                  <c:v>135.55729302406394</c:v>
                </c:pt>
                <c:pt idx="37">
                  <c:v>151.68100078186083</c:v>
                </c:pt>
                <c:pt idx="38">
                  <c:v>154.96481626270523</c:v>
                </c:pt>
                <c:pt idx="39">
                  <c:v>175.52775605942145</c:v>
                </c:pt>
                <c:pt idx="40">
                  <c:v>191.95552080618538</c:v>
                </c:pt>
                <c:pt idx="41">
                  <c:v>179.00269307618802</c:v>
                </c:pt>
                <c:pt idx="42">
                  <c:v>181.42646164538269</c:v>
                </c:pt>
                <c:pt idx="43">
                  <c:v>201.8417166188863</c:v>
                </c:pt>
                <c:pt idx="44">
                  <c:v>187.75953435843974</c:v>
                </c:pt>
                <c:pt idx="45">
                  <c:v>160.16853444531318</c:v>
                </c:pt>
                <c:pt idx="46">
                  <c:v>138.42411606289636</c:v>
                </c:pt>
                <c:pt idx="47">
                  <c:v>141.93380244983061</c:v>
                </c:pt>
                <c:pt idx="48">
                  <c:v>117.56580661975502</c:v>
                </c:pt>
                <c:pt idx="49">
                  <c:v>120.04169924420121</c:v>
                </c:pt>
                <c:pt idx="50">
                  <c:v>114.49917470245853</c:v>
                </c:pt>
                <c:pt idx="51">
                  <c:v>105.68152202241335</c:v>
                </c:pt>
                <c:pt idx="52">
                  <c:v>55.095126400833983</c:v>
                </c:pt>
                <c:pt idx="53">
                  <c:v>59.021805229780213</c:v>
                </c:pt>
                <c:pt idx="54">
                  <c:v>58.691686213187388</c:v>
                </c:pt>
                <c:pt idx="55">
                  <c:v>54.113456693597428</c:v>
                </c:pt>
                <c:pt idx="56">
                  <c:v>46.824776300929543</c:v>
                </c:pt>
                <c:pt idx="57">
                  <c:v>55.572930240639387</c:v>
                </c:pt>
                <c:pt idx="58">
                  <c:v>49.630787941968549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8-4387-BE10-8210A627CC1F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 formatCode="0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 formatCode="0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 formatCode="0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 formatCode="0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 formatCode="0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 formatCode="0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 formatCode="0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 formatCode="0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 formatCode="0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 formatCode="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 formatCode="0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 formatCode="0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 formatCode="0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 formatCode="0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 formatCode="0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 formatCode="0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 formatCode="0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 formatCode="0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 formatCode="0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8-4387-BE10-8210A627CC1F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 formatCode="0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 formatCode="0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 formatCode="0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 formatCode="0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 formatCode="0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 formatCode="0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 formatCode="0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 formatCode="0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 formatCode="0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 formatCode="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 formatCode="0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 formatCode="0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 formatCode="0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 formatCode="0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 formatCode="0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 formatCode="0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 formatCode="0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 formatCode="0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 formatCode="0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8-4387-BE10-8210A627CC1F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 formatCode="0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 formatCode="0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 formatCode="0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 formatCode="0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 formatCode="0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 formatCode="0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 formatCode="0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 formatCode="0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 formatCode="0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 formatCode="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 formatCode="0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 formatCode="0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 formatCode="0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 formatCode="0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 formatCode="0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 formatCode="0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 formatCode="0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 formatCode="0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 formatCode="0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8-4387-BE10-8210A627C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2410362500</c:v>
                </c:pt>
                <c:pt idx="1">
                  <c:v>2506777000</c:v>
                </c:pt>
                <c:pt idx="2">
                  <c:v>2556912540</c:v>
                </c:pt>
                <c:pt idx="3">
                  <c:v>2531343414.5999994</c:v>
                </c:pt>
                <c:pt idx="4">
                  <c:v>2657910585.3299999</c:v>
                </c:pt>
                <c:pt idx="5">
                  <c:v>2737647902.8898993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E-41A6-A041-1A52734F8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3-4011-8D15-53BC374C6C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152.16546545288784</c:v>
                </c:pt>
                <c:pt idx="1">
                  <c:v>99.17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3-4011-8D15-53BC374C6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FISV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Fiserv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102.45851793936234</c:v>
                </c:pt>
                <c:pt idx="2">
                  <c:v>95.334897054990876</c:v>
                </c:pt>
                <c:pt idx="3">
                  <c:v>95.717140126835204</c:v>
                </c:pt>
                <c:pt idx="4">
                  <c:v>85.35314047432891</c:v>
                </c:pt>
                <c:pt idx="5">
                  <c:v>91.686213187385988</c:v>
                </c:pt>
                <c:pt idx="6">
                  <c:v>91.112848579619481</c:v>
                </c:pt>
                <c:pt idx="7">
                  <c:v>85.179393623490569</c:v>
                </c:pt>
                <c:pt idx="8">
                  <c:v>87.316479888802021</c:v>
                </c:pt>
                <c:pt idx="9">
                  <c:v>84.579966988098349</c:v>
                </c:pt>
                <c:pt idx="10">
                  <c:v>83.04230735817913</c:v>
                </c:pt>
                <c:pt idx="11">
                  <c:v>80.427417253062288</c:v>
                </c:pt>
                <c:pt idx="12">
                  <c:v>91.807835982972819</c:v>
                </c:pt>
                <c:pt idx="13">
                  <c:v>88.124402745200243</c:v>
                </c:pt>
                <c:pt idx="14">
                  <c:v>85.092520198071412</c:v>
                </c:pt>
                <c:pt idx="15">
                  <c:v>89.132134480062547</c:v>
                </c:pt>
                <c:pt idx="16">
                  <c:v>89.036573712101458</c:v>
                </c:pt>
                <c:pt idx="17">
                  <c:v>87.802971071149329</c:v>
                </c:pt>
                <c:pt idx="18">
                  <c:v>92.607071496829121</c:v>
                </c:pt>
                <c:pt idx="19">
                  <c:v>99.426635392233521</c:v>
                </c:pt>
                <c:pt idx="20">
                  <c:v>93.970984275909998</c:v>
                </c:pt>
                <c:pt idx="21">
                  <c:v>101.60715837025454</c:v>
                </c:pt>
                <c:pt idx="22">
                  <c:v>98.835896099383191</c:v>
                </c:pt>
                <c:pt idx="23">
                  <c:v>104.67379028755104</c:v>
                </c:pt>
                <c:pt idx="24">
                  <c:v>108.58309443141343</c:v>
                </c:pt>
                <c:pt idx="25">
                  <c:v>105.53383719920078</c:v>
                </c:pt>
                <c:pt idx="26">
                  <c:v>98.132221353487964</c:v>
                </c:pt>
                <c:pt idx="27">
                  <c:v>103.84849274606897</c:v>
                </c:pt>
                <c:pt idx="28">
                  <c:v>113.46538093997047</c:v>
                </c:pt>
                <c:pt idx="29">
                  <c:v>116.0715837025454</c:v>
                </c:pt>
                <c:pt idx="30">
                  <c:v>120.77143601772218</c:v>
                </c:pt>
                <c:pt idx="31">
                  <c:v>130.61419511771348</c:v>
                </c:pt>
                <c:pt idx="32">
                  <c:v>135.77447658761184</c:v>
                </c:pt>
                <c:pt idx="33">
                  <c:v>129.63252541047694</c:v>
                </c:pt>
                <c:pt idx="34">
                  <c:v>130.60550777517156</c:v>
                </c:pt>
                <c:pt idx="35">
                  <c:v>129.47615324472244</c:v>
                </c:pt>
                <c:pt idx="36">
                  <c:v>135.55729302406394</c:v>
                </c:pt>
                <c:pt idx="37">
                  <c:v>151.68100078186083</c:v>
                </c:pt>
                <c:pt idx="38">
                  <c:v>154.96481626270523</c:v>
                </c:pt>
                <c:pt idx="39">
                  <c:v>175.52775605942145</c:v>
                </c:pt>
                <c:pt idx="40">
                  <c:v>191.95552080618538</c:v>
                </c:pt>
                <c:pt idx="41">
                  <c:v>179.00269307618802</c:v>
                </c:pt>
                <c:pt idx="42">
                  <c:v>181.42646164538269</c:v>
                </c:pt>
                <c:pt idx="43">
                  <c:v>201.8417166188863</c:v>
                </c:pt>
                <c:pt idx="44">
                  <c:v>187.75953435843974</c:v>
                </c:pt>
                <c:pt idx="45">
                  <c:v>160.16853444531318</c:v>
                </c:pt>
                <c:pt idx="46">
                  <c:v>138.42411606289636</c:v>
                </c:pt>
                <c:pt idx="47">
                  <c:v>141.93380244983061</c:v>
                </c:pt>
                <c:pt idx="48">
                  <c:v>117.56580661975502</c:v>
                </c:pt>
                <c:pt idx="49">
                  <c:v>120.04169924420121</c:v>
                </c:pt>
                <c:pt idx="50">
                  <c:v>114.49917470245853</c:v>
                </c:pt>
                <c:pt idx="51">
                  <c:v>105.68152202241335</c:v>
                </c:pt>
                <c:pt idx="52">
                  <c:v>55.095126400833983</c:v>
                </c:pt>
                <c:pt idx="53">
                  <c:v>59.021805229780213</c:v>
                </c:pt>
                <c:pt idx="54">
                  <c:v>58.691686213187388</c:v>
                </c:pt>
                <c:pt idx="55">
                  <c:v>54.113456693597428</c:v>
                </c:pt>
                <c:pt idx="56">
                  <c:v>46.824776300929543</c:v>
                </c:pt>
                <c:pt idx="57">
                  <c:v>55.572930240639387</c:v>
                </c:pt>
                <c:pt idx="58">
                  <c:v>49.630787941968549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3-4736-B0FF-5C6DC89F6C15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 formatCode="0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 formatCode="0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 formatCode="0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 formatCode="0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 formatCode="0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 formatCode="0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 formatCode="0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 formatCode="0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 formatCode="0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 formatCode="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 formatCode="0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 formatCode="0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 formatCode="0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 formatCode="0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 formatCode="0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 formatCode="0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 formatCode="0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 formatCode="0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 formatCode="0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3-4736-B0FF-5C6DC89F6C15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 formatCode="0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 formatCode="0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 formatCode="0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 formatCode="0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 formatCode="0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 formatCode="0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 formatCode="0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 formatCode="0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 formatCode="0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 formatCode="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 formatCode="0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 formatCode="0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 formatCode="0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 formatCode="0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 formatCode="0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 formatCode="0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 formatCode="0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 formatCode="0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 formatCode="0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23-4736-B0FF-5C6DC89F6C15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 formatCode="0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 formatCode="0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 formatCode="0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 formatCode="0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 formatCode="0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 formatCode="0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 formatCode="0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 formatCode="0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 formatCode="0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 formatCode="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 formatCode="0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 formatCode="0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 formatCode="0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 formatCode="0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 formatCode="0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 formatCode="0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 formatCode="0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 formatCode="0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 formatCode="0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23-4736-B0FF-5C6DC89F6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EBD6B-7177-4728-BEC7-FA72C7A14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07377-4D11-4A90-9268-698BDD53E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A23A40-AE9E-4421-B299-A2E8CBFA9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3C4F7-178E-4E37-8AEB-0C67A20C9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F8C2D7-6DDA-4135-B357-38B7182FB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1F09A7-4336-4DDA-9750-BB0F16DAB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E419-FDED-4A6B-8E3F-F8185F519987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100</v>
      </c>
    </row>
    <row r="3" spans="2:3" x14ac:dyDescent="0.25">
      <c r="B3" s="62" t="s">
        <v>101</v>
      </c>
      <c r="C3" s="63" t="s">
        <v>122</v>
      </c>
    </row>
    <row r="4" spans="2:3" x14ac:dyDescent="0.25">
      <c r="B4" s="64" t="s">
        <v>102</v>
      </c>
      <c r="C4" s="65">
        <v>0.82</v>
      </c>
    </row>
    <row r="5" spans="2:3" x14ac:dyDescent="0.25">
      <c r="B5" s="64" t="s">
        <v>33</v>
      </c>
      <c r="C5" s="66">
        <v>28249000000</v>
      </c>
    </row>
    <row r="6" spans="2:3" x14ac:dyDescent="0.25">
      <c r="B6" s="64" t="s">
        <v>103</v>
      </c>
      <c r="C6" s="66">
        <v>29300000000</v>
      </c>
    </row>
    <row r="7" spans="2:3" x14ac:dyDescent="0.25">
      <c r="B7" s="64" t="s">
        <v>104</v>
      </c>
      <c r="C7" s="66">
        <v>1550000000</v>
      </c>
    </row>
    <row r="8" spans="2:3" x14ac:dyDescent="0.25">
      <c r="B8" s="64" t="s">
        <v>105</v>
      </c>
      <c r="C8" s="70">
        <v>0.19500000000000001</v>
      </c>
    </row>
    <row r="9" spans="2:3" x14ac:dyDescent="0.25">
      <c r="B9" s="41" t="s">
        <v>106</v>
      </c>
      <c r="C9" s="67">
        <v>4.48E-2</v>
      </c>
    </row>
    <row r="11" spans="2:3" x14ac:dyDescent="0.25">
      <c r="B11" s="3" t="s">
        <v>107</v>
      </c>
    </row>
    <row r="12" spans="2:3" x14ac:dyDescent="0.25">
      <c r="B12" t="s">
        <v>108</v>
      </c>
      <c r="C12" s="68">
        <f>C5+C6</f>
        <v>57549000000</v>
      </c>
    </row>
    <row r="13" spans="2:3" x14ac:dyDescent="0.25">
      <c r="B13" t="s">
        <v>109</v>
      </c>
      <c r="C13" s="69">
        <f>C5/C12</f>
        <v>0.49086865106257277</v>
      </c>
    </row>
    <row r="14" spans="2:3" x14ac:dyDescent="0.25">
      <c r="B14" t="s">
        <v>110</v>
      </c>
      <c r="C14" s="69">
        <f>C6/C12</f>
        <v>0.50913134893742729</v>
      </c>
    </row>
    <row r="16" spans="2:3" ht="18" x14ac:dyDescent="0.35">
      <c r="B16" s="3" t="s">
        <v>111</v>
      </c>
    </row>
    <row r="17" spans="2:3" x14ac:dyDescent="0.25">
      <c r="B17" t="s">
        <v>112</v>
      </c>
      <c r="C17" t="s">
        <v>113</v>
      </c>
    </row>
    <row r="18" spans="2:3" x14ac:dyDescent="0.25">
      <c r="B18" t="s">
        <v>114</v>
      </c>
      <c r="C18" s="21">
        <f>9%-C9</f>
        <v>4.5199999999999997E-2</v>
      </c>
    </row>
    <row r="19" spans="2:3" x14ac:dyDescent="0.25">
      <c r="B19" t="s">
        <v>115</v>
      </c>
      <c r="C19" s="21">
        <f>C9+(0.82*C18)</f>
        <v>8.1863999999999992E-2</v>
      </c>
    </row>
    <row r="21" spans="2:3" ht="18" x14ac:dyDescent="0.35">
      <c r="B21" s="3" t="s">
        <v>116</v>
      </c>
    </row>
    <row r="22" spans="2:3" x14ac:dyDescent="0.25">
      <c r="B22" t="s">
        <v>117</v>
      </c>
      <c r="C22" s="69">
        <f>C7/C6</f>
        <v>5.2901023890784986E-2</v>
      </c>
    </row>
    <row r="23" spans="2:3" x14ac:dyDescent="0.25">
      <c r="B23" t="s">
        <v>118</v>
      </c>
      <c r="C23" t="s">
        <v>119</v>
      </c>
    </row>
    <row r="24" spans="2:3" x14ac:dyDescent="0.25">
      <c r="B24" t="s">
        <v>115</v>
      </c>
      <c r="C24" s="69">
        <f>C22*(1-C8)</f>
        <v>4.258532423208191E-2</v>
      </c>
    </row>
    <row r="26" spans="2:3" x14ac:dyDescent="0.25">
      <c r="B26" s="3" t="s">
        <v>120</v>
      </c>
    </row>
    <row r="27" spans="2:3" ht="18" x14ac:dyDescent="0.35">
      <c r="B27" t="s">
        <v>112</v>
      </c>
      <c r="C27" t="s">
        <v>121</v>
      </c>
    </row>
    <row r="28" spans="2:3" x14ac:dyDescent="0.25">
      <c r="B28" t="s">
        <v>115</v>
      </c>
      <c r="C28" s="21">
        <f>(C13*C19)+(C14*C24)</f>
        <v>6.1865994821804021E-2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6" t="s">
        <v>1</v>
      </c>
      <c r="B5" s="37"/>
      <c r="C5" s="38"/>
      <c r="P5" t="s">
        <v>58</v>
      </c>
    </row>
    <row r="6" spans="1:26" x14ac:dyDescent="0.25">
      <c r="A6" s="39" t="s">
        <v>2</v>
      </c>
      <c r="B6" s="55">
        <v>0.19500000000000001</v>
      </c>
      <c r="C6" s="40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39" t="s">
        <v>3</v>
      </c>
      <c r="B7" s="31">
        <f>'WACC Input'!C28</f>
        <v>6.1865994821804021E-2</v>
      </c>
      <c r="C7" s="40"/>
      <c r="P7">
        <v>2026</v>
      </c>
      <c r="Q7" s="26">
        <f>D28</f>
        <v>1804328500</v>
      </c>
      <c r="R7" s="26"/>
      <c r="S7" t="s">
        <v>41</v>
      </c>
      <c r="T7" s="16">
        <f>B40</f>
        <v>51.623069770358079</v>
      </c>
    </row>
    <row r="8" spans="1:26" x14ac:dyDescent="0.25">
      <c r="A8" s="39" t="s">
        <v>4</v>
      </c>
      <c r="B8" s="31">
        <v>0.03</v>
      </c>
      <c r="C8" s="40"/>
      <c r="P8">
        <v>2027</v>
      </c>
      <c r="Q8" s="26">
        <f>E28</f>
        <v>1840415070</v>
      </c>
      <c r="R8" s="26"/>
      <c r="S8" t="s">
        <v>73</v>
      </c>
      <c r="T8" s="16">
        <v>1.38</v>
      </c>
    </row>
    <row r="9" spans="1:26" x14ac:dyDescent="0.25">
      <c r="A9" s="39" t="s">
        <v>5</v>
      </c>
      <c r="B9" s="32" t="s">
        <v>91</v>
      </c>
      <c r="C9" s="40"/>
      <c r="P9">
        <v>2028</v>
      </c>
      <c r="Q9" s="26">
        <f>F28</f>
        <v>1858819220.6999998</v>
      </c>
      <c r="R9" s="26"/>
      <c r="S9" t="s">
        <v>8</v>
      </c>
      <c r="T9" s="16">
        <f>B12</f>
        <v>53</v>
      </c>
    </row>
    <row r="10" spans="1:26" x14ac:dyDescent="0.25">
      <c r="A10" s="39" t="s">
        <v>6</v>
      </c>
      <c r="B10" s="33">
        <v>46210</v>
      </c>
      <c r="C10" s="40"/>
      <c r="P10">
        <v>2029</v>
      </c>
      <c r="Q10" s="26">
        <f>G28</f>
        <v>1821642836.2859998</v>
      </c>
      <c r="R10" s="26"/>
    </row>
    <row r="11" spans="1:26" x14ac:dyDescent="0.25">
      <c r="A11" s="39" t="s">
        <v>7</v>
      </c>
      <c r="B11" s="33">
        <v>46387</v>
      </c>
      <c r="C11" s="40"/>
      <c r="P11">
        <v>2030</v>
      </c>
      <c r="Q11" s="26">
        <f>H28</f>
        <v>1912724978.1002996</v>
      </c>
      <c r="R11" s="26"/>
    </row>
    <row r="12" spans="1:26" x14ac:dyDescent="0.25">
      <c r="A12" s="39" t="s">
        <v>8</v>
      </c>
      <c r="B12" s="34">
        <v>53</v>
      </c>
      <c r="C12" s="40" t="s">
        <v>81</v>
      </c>
      <c r="P12">
        <v>2031</v>
      </c>
      <c r="Q12" s="26">
        <f>I28</f>
        <v>1931852227.8813031</v>
      </c>
      <c r="R12" s="26"/>
    </row>
    <row r="13" spans="1:26" x14ac:dyDescent="0.25">
      <c r="A13" s="39" t="s">
        <v>9</v>
      </c>
      <c r="B13" s="35">
        <v>533000000</v>
      </c>
      <c r="C13" s="40"/>
    </row>
    <row r="14" spans="1:26" x14ac:dyDescent="0.25">
      <c r="A14" s="39" t="s">
        <v>10</v>
      </c>
      <c r="B14" s="34">
        <v>29300000000</v>
      </c>
      <c r="C14" s="40"/>
      <c r="P14" s="6" t="s">
        <v>16</v>
      </c>
      <c r="Q14" s="6" t="s">
        <v>92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93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39" t="s">
        <v>11</v>
      </c>
      <c r="B15" s="34">
        <v>829000000</v>
      </c>
      <c r="C15" s="40"/>
      <c r="P15" s="57">
        <v>44378</v>
      </c>
      <c r="Q15" s="58">
        <v>115.11</v>
      </c>
      <c r="R15" s="6">
        <v>4395.26</v>
      </c>
      <c r="S15" s="6">
        <v>14672.68</v>
      </c>
      <c r="T15" s="6">
        <v>35061.550000000003</v>
      </c>
      <c r="U15" s="57">
        <v>44378</v>
      </c>
      <c r="V15" s="59">
        <f t="shared" ref="V15:V46" si="0"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39" t="s">
        <v>12</v>
      </c>
      <c r="B16" s="34" t="s">
        <v>124</v>
      </c>
      <c r="C16" s="40"/>
      <c r="P16" s="57">
        <v>44409</v>
      </c>
      <c r="Q16" s="6">
        <v>117.94</v>
      </c>
      <c r="R16" s="6">
        <v>4509.37</v>
      </c>
      <c r="S16" s="6">
        <v>14714.66</v>
      </c>
      <c r="T16" s="6">
        <v>35120.080000000002</v>
      </c>
      <c r="U16" s="57">
        <v>44409</v>
      </c>
      <c r="V16" s="60">
        <f t="shared" si="0"/>
        <v>102.45851793936234</v>
      </c>
      <c r="W16" s="60">
        <f>(R16/$R$15)*100</f>
        <v>102.59620591273327</v>
      </c>
      <c r="X16" s="60">
        <f>(S16/$S$15)*100</f>
        <v>100.28610996764054</v>
      </c>
      <c r="Y16" s="60">
        <f>(T16/$T$15)*100</f>
        <v>100.16693500429959</v>
      </c>
      <c r="Z16" t="s">
        <v>74</v>
      </c>
    </row>
    <row r="17" spans="1:25" x14ac:dyDescent="0.25">
      <c r="A17" s="41" t="s">
        <v>78</v>
      </c>
      <c r="B17" s="42"/>
      <c r="C17" s="43"/>
      <c r="P17" s="57">
        <v>44440</v>
      </c>
      <c r="Q17" s="6">
        <v>109.74</v>
      </c>
      <c r="R17" s="6">
        <v>4455.4799999999996</v>
      </c>
      <c r="S17" s="6">
        <v>15047.7</v>
      </c>
      <c r="T17" s="6">
        <v>34326.46</v>
      </c>
      <c r="U17" s="57">
        <v>44440</v>
      </c>
      <c r="V17" s="60">
        <f t="shared" si="0"/>
        <v>95.334897054990876</v>
      </c>
      <c r="W17" s="60">
        <f>(R17/$R$15)*100</f>
        <v>101.37011234830247</v>
      </c>
      <c r="X17" s="60">
        <f>(S17/$S$15)*100</f>
        <v>102.55590662373881</v>
      </c>
      <c r="Y17" s="60">
        <f>(T17/$T$15)*100</f>
        <v>97.903429825549622</v>
      </c>
    </row>
    <row r="18" spans="1:25" x14ac:dyDescent="0.25">
      <c r="P18" s="57">
        <v>44470</v>
      </c>
      <c r="Q18" s="6">
        <v>110.18</v>
      </c>
      <c r="R18" s="6">
        <v>4544.8999999999996</v>
      </c>
      <c r="S18" s="6">
        <v>15498.39</v>
      </c>
      <c r="T18" s="6">
        <v>35677.019999999997</v>
      </c>
      <c r="U18" s="57">
        <v>44470</v>
      </c>
      <c r="V18" s="60">
        <f t="shared" si="0"/>
        <v>95.717140126835204</v>
      </c>
      <c r="W18" s="59">
        <f t="shared" ref="W18:W75" si="1">(R18/$R$15)*100</f>
        <v>103.40457674858823</v>
      </c>
      <c r="X18" s="59">
        <f t="shared" ref="X18:X75" si="2">(S18/$S$15)*100</f>
        <v>105.62753362030656</v>
      </c>
      <c r="Y18" s="59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7">
        <v>44501</v>
      </c>
      <c r="Q19" s="6">
        <v>98.25</v>
      </c>
      <c r="R19" s="6">
        <v>4594.62</v>
      </c>
      <c r="S19" s="6">
        <v>15085.47</v>
      </c>
      <c r="T19" s="6">
        <v>34889.339999999997</v>
      </c>
      <c r="U19" s="57">
        <v>44501</v>
      </c>
      <c r="V19" s="60">
        <f t="shared" si="0"/>
        <v>85.35314047432891</v>
      </c>
      <c r="W19" s="60">
        <f t="shared" si="1"/>
        <v>104.53579537956799</v>
      </c>
      <c r="X19" s="60">
        <f t="shared" si="2"/>
        <v>102.81332380996517</v>
      </c>
      <c r="Y19" s="60">
        <f t="shared" si="3"/>
        <v>99.508835176995873</v>
      </c>
    </row>
    <row r="20" spans="1:25" x14ac:dyDescent="0.25">
      <c r="A20" t="s">
        <v>16</v>
      </c>
      <c r="C20" s="7">
        <v>46210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62442983683.541992</v>
      </c>
      <c r="P20" s="57">
        <v>44531</v>
      </c>
      <c r="Q20" s="6">
        <v>105.54</v>
      </c>
      <c r="R20" s="6">
        <v>4766.18</v>
      </c>
      <c r="S20" s="6">
        <v>15653.37</v>
      </c>
      <c r="T20" s="6">
        <v>35950.559999999998</v>
      </c>
      <c r="U20" s="57">
        <v>44531</v>
      </c>
      <c r="V20" s="60">
        <f t="shared" si="0"/>
        <v>91.686213187385988</v>
      </c>
      <c r="W20" s="60">
        <f t="shared" si="1"/>
        <v>108.43909120279574</v>
      </c>
      <c r="X20" s="60">
        <f t="shared" si="2"/>
        <v>106.68378237649836</v>
      </c>
      <c r="Y20" s="60">
        <f t="shared" si="3"/>
        <v>102.53556959119035</v>
      </c>
    </row>
    <row r="21" spans="1:25" x14ac:dyDescent="0.25">
      <c r="A21" t="s">
        <v>18</v>
      </c>
      <c r="B21" t="s">
        <v>99</v>
      </c>
      <c r="D21" s="5">
        <v>21190000000</v>
      </c>
      <c r="E21" s="5">
        <f>D21*1.02</f>
        <v>21613800000</v>
      </c>
      <c r="F21" s="5">
        <f>E21*1.01</f>
        <v>21829938000</v>
      </c>
      <c r="G21" s="5">
        <f>F21*0.98</f>
        <v>21393339240</v>
      </c>
      <c r="H21" s="5">
        <f>G21*1.05</f>
        <v>22463006202</v>
      </c>
      <c r="I21" s="5">
        <f>H21*1.01</f>
        <v>22687636264.02</v>
      </c>
      <c r="L21" t="s">
        <v>19</v>
      </c>
      <c r="M21" s="13">
        <f>(I22+I25)*14</f>
        <v>85759265077.995605</v>
      </c>
      <c r="P21" s="57">
        <v>44562</v>
      </c>
      <c r="Q21" s="6">
        <v>104.88</v>
      </c>
      <c r="R21" s="6">
        <v>4500.53</v>
      </c>
      <c r="S21" s="6">
        <v>13770.57</v>
      </c>
      <c r="T21" s="6">
        <v>34725.47</v>
      </c>
      <c r="U21" s="57">
        <v>44562</v>
      </c>
      <c r="V21" s="60">
        <f t="shared" si="0"/>
        <v>91.112848579619481</v>
      </c>
      <c r="W21" s="59">
        <f t="shared" si="1"/>
        <v>102.39508015453009</v>
      </c>
      <c r="X21" s="59">
        <f t="shared" si="2"/>
        <v>93.851770773982665</v>
      </c>
      <c r="Y21" s="59">
        <f t="shared" si="3"/>
        <v>99.041457094737666</v>
      </c>
    </row>
    <row r="22" spans="1:25" x14ac:dyDescent="0.25">
      <c r="A22" t="s">
        <v>77</v>
      </c>
      <c r="B22" t="s">
        <v>95</v>
      </c>
      <c r="C22" s="25">
        <v>0.23</v>
      </c>
      <c r="D22" s="5">
        <f>D21*$C$22</f>
        <v>4873700000</v>
      </c>
      <c r="E22" s="5">
        <f t="shared" ref="E22:I22" si="4">E21*$C$22</f>
        <v>4971174000</v>
      </c>
      <c r="F22" s="5">
        <f t="shared" si="4"/>
        <v>5020885740</v>
      </c>
      <c r="G22" s="5">
        <f t="shared" si="4"/>
        <v>4920468025.1999998</v>
      </c>
      <c r="H22" s="5">
        <f t="shared" si="4"/>
        <v>5166491426.46</v>
      </c>
      <c r="I22" s="5">
        <f t="shared" si="4"/>
        <v>5218156340.7246008</v>
      </c>
      <c r="L22" t="s">
        <v>20</v>
      </c>
      <c r="M22" s="13">
        <f>(M20+M21)/2</f>
        <v>74101124380.768799</v>
      </c>
      <c r="P22" s="57">
        <v>44593</v>
      </c>
      <c r="Q22" s="6">
        <v>98.05</v>
      </c>
      <c r="R22" s="6">
        <v>4384.6499999999996</v>
      </c>
      <c r="S22" s="6">
        <v>13313.44</v>
      </c>
      <c r="T22" s="6">
        <v>34058.75</v>
      </c>
      <c r="U22" s="57">
        <v>44593</v>
      </c>
      <c r="V22" s="60">
        <f t="shared" si="0"/>
        <v>85.179393623490569</v>
      </c>
      <c r="W22" s="60">
        <f t="shared" si="1"/>
        <v>99.758603586590993</v>
      </c>
      <c r="X22" s="60">
        <f t="shared" si="2"/>
        <v>90.736252681854992</v>
      </c>
      <c r="Y22" s="60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950371500</v>
      </c>
      <c r="E23" s="30">
        <f t="shared" ref="E23:I23" si="5">E22*$B$6</f>
        <v>969378930</v>
      </c>
      <c r="F23" s="5">
        <f t="shared" si="5"/>
        <v>979072719.30000007</v>
      </c>
      <c r="G23" s="30">
        <f t="shared" si="5"/>
        <v>959491264.91400003</v>
      </c>
      <c r="H23" s="30">
        <f t="shared" si="5"/>
        <v>1007465828.1597</v>
      </c>
      <c r="I23" s="5">
        <f t="shared" si="5"/>
        <v>1017540486.4412972</v>
      </c>
      <c r="P23" s="57">
        <v>44621</v>
      </c>
      <c r="Q23" s="6">
        <v>100.51</v>
      </c>
      <c r="R23" s="6">
        <v>4543.0600000000004</v>
      </c>
      <c r="S23" s="6">
        <v>14169.3</v>
      </c>
      <c r="T23" s="6">
        <v>34861.24</v>
      </c>
      <c r="U23" s="57">
        <v>44621</v>
      </c>
      <c r="V23" s="60">
        <f t="shared" si="0"/>
        <v>87.316479888802021</v>
      </c>
      <c r="W23" s="60">
        <f t="shared" si="1"/>
        <v>103.36271346860026</v>
      </c>
      <c r="X23" s="60">
        <f t="shared" si="2"/>
        <v>96.569270235567046</v>
      </c>
      <c r="Y23" s="60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3923328499.9999995</v>
      </c>
      <c r="E24" s="5">
        <f t="shared" ref="E24:I24" si="6">E22*(1-$B$6)</f>
        <v>4001795069.9999995</v>
      </c>
      <c r="F24" s="5">
        <f t="shared" si="6"/>
        <v>4041813020.6999998</v>
      </c>
      <c r="G24" s="5">
        <f t="shared" si="6"/>
        <v>3960976760.2859998</v>
      </c>
      <c r="H24" s="5">
        <f t="shared" si="6"/>
        <v>4159025598.3002996</v>
      </c>
      <c r="I24" s="5">
        <f t="shared" si="6"/>
        <v>4200615854.2833033</v>
      </c>
      <c r="P24" s="57">
        <v>44652</v>
      </c>
      <c r="Q24" s="6">
        <v>97.36</v>
      </c>
      <c r="R24" s="6">
        <v>4271.78</v>
      </c>
      <c r="S24" s="6">
        <v>12839.29</v>
      </c>
      <c r="T24" s="6">
        <v>33811.4</v>
      </c>
      <c r="U24" s="57">
        <v>44652</v>
      </c>
      <c r="V24" s="60">
        <f t="shared" si="0"/>
        <v>84.579966988098349</v>
      </c>
      <c r="W24" s="59">
        <f t="shared" si="1"/>
        <v>97.190609884284413</v>
      </c>
      <c r="X24" s="59">
        <f t="shared" si="2"/>
        <v>87.504736694318979</v>
      </c>
      <c r="Y24" s="59">
        <f t="shared" si="3"/>
        <v>96.434413196222067</v>
      </c>
    </row>
    <row r="25" spans="1:25" x14ac:dyDescent="0.25">
      <c r="A25" s="4" t="s">
        <v>25</v>
      </c>
      <c r="B25" s="8" t="s">
        <v>83</v>
      </c>
      <c r="C25" s="25">
        <v>0.04</v>
      </c>
      <c r="D25" s="12">
        <f>D21*$C$25</f>
        <v>847600000</v>
      </c>
      <c r="E25" s="12">
        <f t="shared" ref="E25:I25" si="7">E21*$C$25</f>
        <v>864552000</v>
      </c>
      <c r="F25" s="12">
        <f t="shared" si="7"/>
        <v>873197520</v>
      </c>
      <c r="G25" s="12">
        <f t="shared" si="7"/>
        <v>855733569.60000002</v>
      </c>
      <c r="H25" s="12">
        <f t="shared" si="7"/>
        <v>898520248.08000004</v>
      </c>
      <c r="I25" s="12">
        <f t="shared" si="7"/>
        <v>907505450.56080008</v>
      </c>
      <c r="P25" s="57">
        <v>44682</v>
      </c>
      <c r="Q25" s="6">
        <v>95.59</v>
      </c>
      <c r="R25" s="6">
        <v>4158.24</v>
      </c>
      <c r="S25" s="6">
        <v>11354.62</v>
      </c>
      <c r="T25" s="6">
        <v>33212.959999999999</v>
      </c>
      <c r="U25" s="57">
        <v>44682</v>
      </c>
      <c r="V25" s="60">
        <f t="shared" si="0"/>
        <v>83.04230735817913</v>
      </c>
      <c r="W25" s="60">
        <f t="shared" si="1"/>
        <v>94.607372487634393</v>
      </c>
      <c r="X25" s="60">
        <f t="shared" si="2"/>
        <v>77.386135320882076</v>
      </c>
      <c r="Y25" s="60">
        <f t="shared" si="3"/>
        <v>94.727586201979079</v>
      </c>
    </row>
    <row r="26" spans="1:25" x14ac:dyDescent="0.25">
      <c r="A26" t="s">
        <v>26</v>
      </c>
      <c r="B26" t="s">
        <v>90</v>
      </c>
      <c r="C26" s="25">
        <v>0.09</v>
      </c>
      <c r="D26" s="10">
        <f>D21*$C$26</f>
        <v>1907100000</v>
      </c>
      <c r="E26" s="10">
        <f t="shared" ref="E26:I26" si="8">E21*$C$26</f>
        <v>1945242000</v>
      </c>
      <c r="F26" s="10">
        <f t="shared" si="8"/>
        <v>1964694420</v>
      </c>
      <c r="G26" s="10">
        <f t="shared" si="8"/>
        <v>1925400531.5999999</v>
      </c>
      <c r="H26" s="10">
        <f t="shared" si="8"/>
        <v>2021670558.1799998</v>
      </c>
      <c r="I26" s="10">
        <f t="shared" si="8"/>
        <v>2041887263.7618001</v>
      </c>
      <c r="P26" s="57">
        <v>44713</v>
      </c>
      <c r="Q26" s="6">
        <v>92.58</v>
      </c>
      <c r="R26" s="6">
        <v>3911.74</v>
      </c>
      <c r="S26" s="6">
        <v>11127.85</v>
      </c>
      <c r="T26" s="6">
        <v>31097.26</v>
      </c>
      <c r="U26" s="57">
        <v>44713</v>
      </c>
      <c r="V26" s="60">
        <f t="shared" si="0"/>
        <v>80.427417253062288</v>
      </c>
      <c r="W26" s="60">
        <f t="shared" si="1"/>
        <v>88.999058076200271</v>
      </c>
      <c r="X26" s="60">
        <f t="shared" si="2"/>
        <v>75.840609895397435</v>
      </c>
      <c r="Y26" s="60">
        <f t="shared" si="3"/>
        <v>88.693340710835642</v>
      </c>
    </row>
    <row r="27" spans="1:25" x14ac:dyDescent="0.25">
      <c r="A27" t="s">
        <v>27</v>
      </c>
      <c r="B27" t="s">
        <v>82</v>
      </c>
      <c r="C27" s="25">
        <v>0.05</v>
      </c>
      <c r="D27" s="10">
        <f>D21*$C$27</f>
        <v>1059500000</v>
      </c>
      <c r="E27" s="10">
        <f t="shared" ref="E27:I27" si="9">E21*$C$27</f>
        <v>1080690000</v>
      </c>
      <c r="F27" s="10">
        <f t="shared" si="9"/>
        <v>1091496900</v>
      </c>
      <c r="G27" s="10">
        <f t="shared" si="9"/>
        <v>1069666962</v>
      </c>
      <c r="H27" s="10">
        <f t="shared" si="9"/>
        <v>1123150310.1000001</v>
      </c>
      <c r="I27" s="10">
        <f t="shared" si="9"/>
        <v>1134381813.201</v>
      </c>
      <c r="P27" s="57">
        <v>44743</v>
      </c>
      <c r="Q27" s="60">
        <v>105.68</v>
      </c>
      <c r="R27" s="6">
        <v>4130.29</v>
      </c>
      <c r="S27" s="6">
        <v>12390.69</v>
      </c>
      <c r="T27" s="6">
        <v>32845.129999999997</v>
      </c>
      <c r="U27" s="57">
        <v>44743</v>
      </c>
      <c r="V27" s="60">
        <f t="shared" si="0"/>
        <v>91.807835982972819</v>
      </c>
      <c r="W27" s="59">
        <f t="shared" si="1"/>
        <v>93.971460163903842</v>
      </c>
      <c r="X27" s="59">
        <f t="shared" si="2"/>
        <v>84.447353857645638</v>
      </c>
      <c r="Y27" s="59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1804328500</v>
      </c>
      <c r="E28" s="12">
        <f t="shared" ref="E28:I28" si="10">E24+E25-E26-E27</f>
        <v>1840415070</v>
      </c>
      <c r="F28" s="12">
        <f t="shared" si="10"/>
        <v>1858819220.6999998</v>
      </c>
      <c r="G28" s="12">
        <f t="shared" si="10"/>
        <v>1821642836.2859998</v>
      </c>
      <c r="H28" s="12">
        <f t="shared" si="10"/>
        <v>1912724978.1002996</v>
      </c>
      <c r="I28" s="12">
        <f t="shared" si="10"/>
        <v>1931852227.8813031</v>
      </c>
      <c r="P28" s="57">
        <v>44774</v>
      </c>
      <c r="Q28" s="6">
        <v>101.44</v>
      </c>
      <c r="R28" s="6">
        <v>3924.26</v>
      </c>
      <c r="S28" s="6">
        <v>12141.71</v>
      </c>
      <c r="T28" s="6">
        <v>31318.44</v>
      </c>
      <c r="U28" s="57">
        <v>44774</v>
      </c>
      <c r="V28" s="60">
        <f t="shared" si="0"/>
        <v>88.124402745200243</v>
      </c>
      <c r="W28" s="60">
        <f t="shared" si="1"/>
        <v>89.28391039437939</v>
      </c>
      <c r="X28" s="60">
        <f t="shared" si="2"/>
        <v>82.750458675579367</v>
      </c>
      <c r="Y28" s="60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7">
        <v>44805</v>
      </c>
      <c r="Q29" s="6">
        <v>97.95</v>
      </c>
      <c r="R29" s="6">
        <v>3585.62</v>
      </c>
      <c r="S29" s="6">
        <v>10867.93</v>
      </c>
      <c r="T29" s="6">
        <v>30822.42</v>
      </c>
      <c r="U29" s="57">
        <v>44805</v>
      </c>
      <c r="V29" s="60">
        <f t="shared" si="0"/>
        <v>85.092520198071412</v>
      </c>
      <c r="W29" s="60">
        <f t="shared" si="1"/>
        <v>81.579246733981606</v>
      </c>
      <c r="X29" s="60">
        <f t="shared" si="2"/>
        <v>74.069154373979401</v>
      </c>
      <c r="Y29" s="60">
        <f t="shared" si="3"/>
        <v>87.90946207455174</v>
      </c>
    </row>
    <row r="30" spans="1:25" x14ac:dyDescent="0.25">
      <c r="A30" t="s">
        <v>36</v>
      </c>
      <c r="C30" s="13">
        <f>-G39</f>
        <v>-56720000000</v>
      </c>
      <c r="D30" s="5">
        <f>D28</f>
        <v>1804328500</v>
      </c>
      <c r="E30" s="5">
        <f t="shared" ref="E30:I30" si="11">E28</f>
        <v>1840415070</v>
      </c>
      <c r="F30" s="5">
        <f t="shared" si="11"/>
        <v>1858819220.6999998</v>
      </c>
      <c r="G30" s="5">
        <f t="shared" si="11"/>
        <v>1821642836.2859998</v>
      </c>
      <c r="H30" s="5">
        <f t="shared" si="11"/>
        <v>1912724978.1002996</v>
      </c>
      <c r="I30" s="5">
        <f t="shared" si="11"/>
        <v>1931852227.8813031</v>
      </c>
      <c r="J30" s="13">
        <f>I28+M22</f>
        <v>76032976608.650101</v>
      </c>
      <c r="K30" t="s">
        <v>38</v>
      </c>
      <c r="P30" s="57">
        <v>44835</v>
      </c>
      <c r="Q30" s="6">
        <v>102.6</v>
      </c>
      <c r="R30" s="6">
        <v>3901.06</v>
      </c>
      <c r="S30" s="6">
        <v>11102.45</v>
      </c>
      <c r="T30" s="6">
        <v>32861.800000000003</v>
      </c>
      <c r="U30" s="57">
        <v>44835</v>
      </c>
      <c r="V30" s="60">
        <f t="shared" si="0"/>
        <v>89.132134480062547</v>
      </c>
      <c r="W30" s="59">
        <f t="shared" si="1"/>
        <v>88.756069038009116</v>
      </c>
      <c r="X30" s="59">
        <f t="shared" si="2"/>
        <v>75.667499052661142</v>
      </c>
      <c r="Y30" s="59">
        <f t="shared" si="3"/>
        <v>93.726033218725362</v>
      </c>
    </row>
    <row r="31" spans="1:25" x14ac:dyDescent="0.25">
      <c r="A31" t="s">
        <v>37</v>
      </c>
      <c r="D31" s="6">
        <f>1/(1+$B$7)^D29</f>
        <v>0.97043207697930667</v>
      </c>
      <c r="E31" s="6">
        <f t="shared" ref="E31:I31" si="12">1/(1+$B$7)^E29</f>
        <v>0.91389316703955537</v>
      </c>
      <c r="F31" s="6">
        <f t="shared" si="12"/>
        <v>0.86064830354881028</v>
      </c>
      <c r="G31" s="6">
        <f t="shared" si="12"/>
        <v>0.81050557014328262</v>
      </c>
      <c r="H31" s="6">
        <f t="shared" si="12"/>
        <v>0.76328423181052774</v>
      </c>
      <c r="I31" s="6">
        <f t="shared" si="12"/>
        <v>0.74071550240144501</v>
      </c>
      <c r="J31" t="s">
        <v>39</v>
      </c>
      <c r="P31" s="57">
        <v>44866</v>
      </c>
      <c r="Q31" s="6">
        <v>102.49</v>
      </c>
      <c r="R31" s="6">
        <v>4026.12</v>
      </c>
      <c r="S31" s="6">
        <v>11226.36</v>
      </c>
      <c r="T31" s="6">
        <v>34429.879999999997</v>
      </c>
      <c r="U31" s="57">
        <v>44866</v>
      </c>
      <c r="V31" s="60">
        <f t="shared" si="0"/>
        <v>89.036573712101458</v>
      </c>
      <c r="W31" s="60">
        <f t="shared" si="1"/>
        <v>91.601406970236113</v>
      </c>
      <c r="X31" s="60">
        <f t="shared" si="2"/>
        <v>76.511993718938882</v>
      </c>
      <c r="Y31" s="60">
        <f t="shared" si="3"/>
        <v>98.198396819307746</v>
      </c>
    </row>
    <row r="32" spans="1:25" x14ac:dyDescent="0.25">
      <c r="A32" t="s">
        <v>40</v>
      </c>
      <c r="C32" s="13">
        <f>-G39</f>
        <v>-56720000000</v>
      </c>
      <c r="D32" s="5">
        <f>D30*D31</f>
        <v>1750978253.8079569</v>
      </c>
      <c r="E32" s="5">
        <f t="shared" ref="E32:I32" si="13">E30*E31</f>
        <v>1681942756.989625</v>
      </c>
      <c r="F32" s="5">
        <f t="shared" si="13"/>
        <v>1599789608.8993764</v>
      </c>
      <c r="G32" s="5">
        <f t="shared" si="13"/>
        <v>1476451665.6214106</v>
      </c>
      <c r="H32" s="5">
        <f t="shared" si="13"/>
        <v>1459952815.5740957</v>
      </c>
      <c r="I32" s="5">
        <f t="shared" si="13"/>
        <v>1430952893.5404503</v>
      </c>
      <c r="J32" s="14">
        <f>M22</f>
        <v>74101124380.768799</v>
      </c>
      <c r="P32" s="57">
        <v>44896</v>
      </c>
      <c r="Q32" s="6">
        <v>101.07</v>
      </c>
      <c r="R32" s="6">
        <v>3839.5</v>
      </c>
      <c r="S32" s="6">
        <v>10466.48</v>
      </c>
      <c r="T32" s="6">
        <v>33203.93</v>
      </c>
      <c r="U32" s="57">
        <v>44896</v>
      </c>
      <c r="V32" s="60">
        <f t="shared" si="0"/>
        <v>87.802971071149329</v>
      </c>
      <c r="W32" s="60">
        <f t="shared" si="1"/>
        <v>87.355469301019724</v>
      </c>
      <c r="X32" s="60">
        <f t="shared" si="2"/>
        <v>71.333117058369695</v>
      </c>
      <c r="Y32" s="60">
        <f t="shared" si="3"/>
        <v>94.701831493473605</v>
      </c>
    </row>
    <row r="33" spans="1:25" x14ac:dyDescent="0.25">
      <c r="A33" t="s">
        <v>56</v>
      </c>
      <c r="C33" s="29">
        <v>-56720</v>
      </c>
      <c r="D33" s="44">
        <v>1751</v>
      </c>
      <c r="E33" s="24">
        <v>1682</v>
      </c>
      <c r="F33" s="24">
        <v>1600</v>
      </c>
      <c r="G33" s="24">
        <v>1476</v>
      </c>
      <c r="H33" s="24">
        <v>1460</v>
      </c>
      <c r="I33" s="24">
        <v>1431</v>
      </c>
      <c r="J33" s="24">
        <v>74101</v>
      </c>
      <c r="P33" s="57">
        <v>44927</v>
      </c>
      <c r="Q33" s="6">
        <v>106.6</v>
      </c>
      <c r="R33" s="6">
        <v>4070.56</v>
      </c>
      <c r="S33" s="6">
        <v>11140.43</v>
      </c>
      <c r="T33" s="6">
        <v>33375.49</v>
      </c>
      <c r="U33" s="57">
        <v>44927</v>
      </c>
      <c r="V33" s="60">
        <f t="shared" si="0"/>
        <v>92.607071496829121</v>
      </c>
      <c r="W33" s="59">
        <f t="shared" si="1"/>
        <v>92.61249618907641</v>
      </c>
      <c r="X33" s="59">
        <f t="shared" si="2"/>
        <v>75.92634747026446</v>
      </c>
      <c r="Y33" s="59">
        <f t="shared" si="3"/>
        <v>95.19114243380568</v>
      </c>
    </row>
    <row r="34" spans="1:25" x14ac:dyDescent="0.25">
      <c r="P34" s="57">
        <v>44958</v>
      </c>
      <c r="Q34" s="6">
        <v>114.45</v>
      </c>
      <c r="R34" s="6">
        <v>4045.64</v>
      </c>
      <c r="S34" s="6">
        <v>11689.01</v>
      </c>
      <c r="T34" s="6">
        <v>32816.92</v>
      </c>
      <c r="U34" s="57">
        <v>44958</v>
      </c>
      <c r="V34" s="60">
        <f t="shared" si="0"/>
        <v>99.426635392233521</v>
      </c>
      <c r="W34" s="60">
        <f t="shared" si="1"/>
        <v>92.045521766630415</v>
      </c>
      <c r="X34" s="60">
        <f t="shared" si="2"/>
        <v>79.665132750117905</v>
      </c>
      <c r="Y34" s="60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7">
        <v>44986</v>
      </c>
      <c r="Q35" s="6">
        <v>108.17</v>
      </c>
      <c r="R35" s="6">
        <v>3970.99</v>
      </c>
      <c r="S35" s="6">
        <v>11823.96</v>
      </c>
      <c r="T35" s="6">
        <v>33274.15</v>
      </c>
      <c r="U35" s="57">
        <v>44986</v>
      </c>
      <c r="V35" s="60">
        <f t="shared" si="0"/>
        <v>93.970984275909998</v>
      </c>
      <c r="W35" s="60">
        <f t="shared" si="1"/>
        <v>90.347101195378642</v>
      </c>
      <c r="X35" s="60">
        <f t="shared" si="2"/>
        <v>80.584869294498347</v>
      </c>
      <c r="Y35" s="60">
        <f t="shared" si="3"/>
        <v>94.902107864598108</v>
      </c>
    </row>
    <row r="36" spans="1:25" x14ac:dyDescent="0.25">
      <c r="A36" s="13" t="s">
        <v>42</v>
      </c>
      <c r="B36" s="17">
        <f>SUM(D32:I32)</f>
        <v>9400067994.4329147</v>
      </c>
      <c r="C36" t="s">
        <v>45</v>
      </c>
      <c r="F36" t="s">
        <v>33</v>
      </c>
      <c r="G36" s="15">
        <f>B13*B12</f>
        <v>28249000000</v>
      </c>
      <c r="H36" t="s">
        <v>34</v>
      </c>
      <c r="L36" s="3" t="s">
        <v>51</v>
      </c>
      <c r="P36" s="57">
        <v>45017</v>
      </c>
      <c r="Q36" s="6">
        <v>116.96</v>
      </c>
      <c r="R36" s="6">
        <v>4133.5200000000004</v>
      </c>
      <c r="S36" s="6">
        <v>12072.46</v>
      </c>
      <c r="T36" s="6">
        <v>33808.959999999999</v>
      </c>
      <c r="U36" s="57">
        <v>45017</v>
      </c>
      <c r="V36" s="60">
        <f t="shared" si="0"/>
        <v>101.60715837025454</v>
      </c>
      <c r="W36" s="59">
        <f t="shared" si="1"/>
        <v>94.044948421708852</v>
      </c>
      <c r="X36" s="59">
        <f t="shared" si="2"/>
        <v>82.278493090560133</v>
      </c>
      <c r="Y36" s="59">
        <f t="shared" si="3"/>
        <v>96.427454005883931</v>
      </c>
    </row>
    <row r="37" spans="1:25" x14ac:dyDescent="0.25">
      <c r="A37" t="s">
        <v>11</v>
      </c>
      <c r="B37" s="19">
        <f>B15</f>
        <v>829000000</v>
      </c>
      <c r="F37" t="s">
        <v>10</v>
      </c>
      <c r="G37" s="14">
        <f>B14</f>
        <v>29300000000</v>
      </c>
      <c r="L37" t="s">
        <v>52</v>
      </c>
      <c r="M37" s="21">
        <f>(B40/B12)-1</f>
        <v>-2.5979815653621174E-2</v>
      </c>
      <c r="P37" s="57">
        <v>45047</v>
      </c>
      <c r="Q37" s="6">
        <v>113.77</v>
      </c>
      <c r="R37" s="6">
        <v>4282.37</v>
      </c>
      <c r="S37" s="6">
        <v>13240.77</v>
      </c>
      <c r="T37" s="6">
        <v>33093.339999999997</v>
      </c>
      <c r="U37" s="57">
        <v>45047</v>
      </c>
      <c r="V37" s="60">
        <f t="shared" si="0"/>
        <v>98.835896099383191</v>
      </c>
      <c r="W37" s="60">
        <f t="shared" si="1"/>
        <v>97.431551262041367</v>
      </c>
      <c r="X37" s="60">
        <f t="shared" si="2"/>
        <v>90.24097847155393</v>
      </c>
      <c r="Y37" s="60">
        <f t="shared" si="3"/>
        <v>94.386414747779241</v>
      </c>
    </row>
    <row r="38" spans="1:25" x14ac:dyDescent="0.25">
      <c r="A38" t="s">
        <v>10</v>
      </c>
      <c r="B38" s="19">
        <f>B14</f>
        <v>29300000000</v>
      </c>
      <c r="C38" s="3"/>
      <c r="F38" t="s">
        <v>11</v>
      </c>
      <c r="G38" s="14">
        <f>B15</f>
        <v>829000000</v>
      </c>
      <c r="L38" t="s">
        <v>53</v>
      </c>
      <c r="M38" s="23">
        <f>IRR(C33:J33)</f>
        <v>6.0927717610572252E-2</v>
      </c>
      <c r="N38" t="s">
        <v>57</v>
      </c>
      <c r="P38" s="57">
        <v>45078</v>
      </c>
      <c r="Q38" s="6">
        <v>120.49</v>
      </c>
      <c r="R38" s="6">
        <v>4450.38</v>
      </c>
      <c r="S38" s="6">
        <v>13492.52</v>
      </c>
      <c r="T38" s="6">
        <v>33727.43</v>
      </c>
      <c r="U38" s="57">
        <v>45078</v>
      </c>
      <c r="V38" s="60">
        <f t="shared" si="0"/>
        <v>104.67379028755104</v>
      </c>
      <c r="W38" s="60">
        <f t="shared" si="1"/>
        <v>101.25407825703144</v>
      </c>
      <c r="X38" s="60">
        <f t="shared" si="2"/>
        <v>91.956752277020968</v>
      </c>
      <c r="Y38" s="60">
        <f t="shared" si="3"/>
        <v>96.194920076265873</v>
      </c>
    </row>
    <row r="39" spans="1:25" x14ac:dyDescent="0.25">
      <c r="A39" t="s">
        <v>44</v>
      </c>
      <c r="B39" s="17">
        <f>(((B36+B37)-B38)+(M22))/2</f>
        <v>27515096187.600857</v>
      </c>
      <c r="C39" t="s">
        <v>75</v>
      </c>
      <c r="F39" t="s">
        <v>30</v>
      </c>
      <c r="G39" s="13">
        <f>G36+G37-G38</f>
        <v>56720000000</v>
      </c>
      <c r="H39" t="s">
        <v>32</v>
      </c>
      <c r="P39" s="57">
        <v>45108</v>
      </c>
      <c r="Q39" s="6">
        <v>124.99</v>
      </c>
      <c r="R39" s="6">
        <v>4582.2299999999996</v>
      </c>
      <c r="S39" s="6">
        <v>14032.81</v>
      </c>
      <c r="T39" s="6">
        <v>35065.620000000003</v>
      </c>
      <c r="U39" s="57">
        <v>45108</v>
      </c>
      <c r="V39" s="60">
        <f t="shared" si="0"/>
        <v>108.58309443141343</v>
      </c>
      <c r="W39" s="59">
        <f t="shared" si="1"/>
        <v>104.25390079312713</v>
      </c>
      <c r="X39" s="59">
        <f t="shared" si="2"/>
        <v>95.639037994422281</v>
      </c>
      <c r="Y39" s="59">
        <f t="shared" si="3"/>
        <v>100.01160815765418</v>
      </c>
    </row>
    <row r="40" spans="1:25" x14ac:dyDescent="0.25">
      <c r="A40" t="s">
        <v>72</v>
      </c>
      <c r="B40" s="20">
        <f>B39/B13</f>
        <v>51.623069770358079</v>
      </c>
      <c r="C40" t="s">
        <v>76</v>
      </c>
      <c r="F40" t="s">
        <v>48</v>
      </c>
      <c r="G40" s="16">
        <f>G39/B13</f>
        <v>106.41651031894935</v>
      </c>
      <c r="H40" t="s">
        <v>49</v>
      </c>
      <c r="L40" s="45" t="s">
        <v>84</v>
      </c>
      <c r="M40" s="46"/>
      <c r="P40" s="57">
        <v>45139</v>
      </c>
      <c r="Q40" s="6">
        <v>121.48</v>
      </c>
      <c r="R40" s="6">
        <v>4515.7700000000004</v>
      </c>
      <c r="S40" s="6">
        <v>13590.65</v>
      </c>
      <c r="T40" s="6">
        <v>34837.71</v>
      </c>
      <c r="U40" s="57">
        <v>45139</v>
      </c>
      <c r="V40" s="60">
        <f t="shared" si="0"/>
        <v>105.53383719920078</v>
      </c>
      <c r="W40" s="60">
        <f t="shared" si="1"/>
        <v>102.74181732138715</v>
      </c>
      <c r="X40" s="60">
        <f t="shared" si="2"/>
        <v>92.625546253308869</v>
      </c>
      <c r="Y40" s="60">
        <f t="shared" si="3"/>
        <v>99.361579850291832</v>
      </c>
    </row>
    <row r="41" spans="1:25" x14ac:dyDescent="0.25">
      <c r="A41" t="s">
        <v>46</v>
      </c>
      <c r="B41" s="22">
        <f>(B40/B12)-1</f>
        <v>-2.5979815653621174E-2</v>
      </c>
      <c r="C41" t="s">
        <v>47</v>
      </c>
      <c r="F41" t="s">
        <v>46</v>
      </c>
      <c r="G41" s="21">
        <f>(G40/B12)-1</f>
        <v>1.0078586852631952</v>
      </c>
      <c r="H41" t="s">
        <v>50</v>
      </c>
      <c r="L41" s="47" t="s">
        <v>41</v>
      </c>
      <c r="M41" s="48">
        <f>B40</f>
        <v>51.623069770358079</v>
      </c>
      <c r="P41" s="57">
        <v>45170</v>
      </c>
      <c r="Q41" s="6">
        <v>112.96</v>
      </c>
      <c r="R41" s="6">
        <v>4320.0600000000004</v>
      </c>
      <c r="S41" s="6">
        <v>13211.81</v>
      </c>
      <c r="T41" s="6">
        <v>33507.5</v>
      </c>
      <c r="U41" s="57">
        <v>45170</v>
      </c>
      <c r="V41" s="60">
        <f t="shared" si="0"/>
        <v>98.132221353487964</v>
      </c>
      <c r="W41" s="60">
        <f t="shared" si="1"/>
        <v>98.289065948317059</v>
      </c>
      <c r="X41" s="60">
        <f t="shared" si="2"/>
        <v>90.04360484928452</v>
      </c>
      <c r="Y41" s="60">
        <f t="shared" si="3"/>
        <v>95.567651743861859</v>
      </c>
    </row>
    <row r="42" spans="1:25" x14ac:dyDescent="0.25">
      <c r="L42" s="47" t="s">
        <v>8</v>
      </c>
      <c r="M42" s="52">
        <f>B12</f>
        <v>53</v>
      </c>
      <c r="P42" s="57">
        <v>45200</v>
      </c>
      <c r="Q42" s="6">
        <v>119.54</v>
      </c>
      <c r="R42" s="6">
        <v>4117.37</v>
      </c>
      <c r="S42" s="6">
        <v>12643.01</v>
      </c>
      <c r="T42" s="6">
        <v>34061.32</v>
      </c>
      <c r="U42" s="57">
        <v>45200</v>
      </c>
      <c r="V42" s="60">
        <f t="shared" si="0"/>
        <v>103.84849274606897</v>
      </c>
      <c r="W42" s="59">
        <f t="shared" si="1"/>
        <v>93.677507132683829</v>
      </c>
      <c r="X42" s="59">
        <f t="shared" si="2"/>
        <v>86.16701243399298</v>
      </c>
      <c r="Y42" s="59">
        <f t="shared" si="3"/>
        <v>97.147216822986991</v>
      </c>
    </row>
    <row r="43" spans="1:25" x14ac:dyDescent="0.25">
      <c r="L43" s="47" t="s">
        <v>87</v>
      </c>
      <c r="M43" s="48">
        <f>(B40-B12)</f>
        <v>-1.3769302296419212</v>
      </c>
      <c r="P43" s="57">
        <v>45231</v>
      </c>
      <c r="Q43" s="6">
        <v>130.61000000000001</v>
      </c>
      <c r="R43" s="6">
        <v>4559.34</v>
      </c>
      <c r="S43" s="6">
        <v>14250.85</v>
      </c>
      <c r="T43" s="6">
        <v>36245.5</v>
      </c>
      <c r="U43" s="57">
        <v>45231</v>
      </c>
      <c r="V43" s="60">
        <f t="shared" si="0"/>
        <v>113.46538093997047</v>
      </c>
      <c r="W43" s="60">
        <f t="shared" si="1"/>
        <v>103.73311248936355</v>
      </c>
      <c r="X43" s="60">
        <f t="shared" si="2"/>
        <v>97.125065086950713</v>
      </c>
      <c r="Y43" s="60">
        <f t="shared" si="3"/>
        <v>103.37677598394821</v>
      </c>
    </row>
    <row r="44" spans="1:25" x14ac:dyDescent="0.25">
      <c r="L44" s="47" t="s">
        <v>86</v>
      </c>
      <c r="M44" s="53">
        <f>((B40-B12)/(B12))</f>
        <v>-2.5979815653621157E-2</v>
      </c>
      <c r="P44" s="57">
        <v>45261</v>
      </c>
      <c r="Q44" s="6">
        <v>133.61000000000001</v>
      </c>
      <c r="R44" s="6">
        <v>4769.83</v>
      </c>
      <c r="S44" s="6">
        <v>14992.97</v>
      </c>
      <c r="T44" s="6">
        <v>37689.54</v>
      </c>
      <c r="U44" s="57">
        <v>45261</v>
      </c>
      <c r="V44" s="60">
        <f t="shared" si="0"/>
        <v>116.0715837025454</v>
      </c>
      <c r="W44" s="60">
        <f t="shared" si="1"/>
        <v>108.52213520929364</v>
      </c>
      <c r="X44" s="60">
        <f t="shared" si="2"/>
        <v>102.18290046535465</v>
      </c>
      <c r="Y44" s="60">
        <f t="shared" si="3"/>
        <v>107.4953617281609</v>
      </c>
    </row>
    <row r="45" spans="1:25" x14ac:dyDescent="0.25">
      <c r="L45" s="47"/>
      <c r="M45" s="49"/>
      <c r="P45" s="57">
        <v>45292</v>
      </c>
      <c r="Q45" s="6">
        <v>139.02000000000001</v>
      </c>
      <c r="R45" s="6">
        <v>4958.6099999999997</v>
      </c>
      <c r="S45" s="6">
        <v>15628.95</v>
      </c>
      <c r="T45" s="6">
        <v>38109.43</v>
      </c>
      <c r="U45" s="57">
        <v>45292</v>
      </c>
      <c r="V45" s="60">
        <f t="shared" si="0"/>
        <v>120.77143601772218</v>
      </c>
      <c r="W45" s="59">
        <f t="shared" si="1"/>
        <v>112.8172167289307</v>
      </c>
      <c r="X45" s="59">
        <f t="shared" si="2"/>
        <v>106.51735061352119</v>
      </c>
      <c r="Y45" s="59">
        <f t="shared" si="3"/>
        <v>108.69294141302936</v>
      </c>
    </row>
    <row r="46" spans="1:25" x14ac:dyDescent="0.25">
      <c r="L46" s="50" t="s">
        <v>54</v>
      </c>
      <c r="M46" s="49"/>
      <c r="P46" s="57">
        <v>45323</v>
      </c>
      <c r="Q46" s="6">
        <v>150.35</v>
      </c>
      <c r="R46" s="6">
        <v>5137.08</v>
      </c>
      <c r="S46" s="6">
        <v>16274.94</v>
      </c>
      <c r="T46" s="6">
        <v>39087.379999999997</v>
      </c>
      <c r="U46" s="57">
        <v>45323</v>
      </c>
      <c r="V46" s="60">
        <f t="shared" si="0"/>
        <v>130.61419511771348</v>
      </c>
      <c r="W46" s="60">
        <f t="shared" si="1"/>
        <v>116.87772736993942</v>
      </c>
      <c r="X46" s="60">
        <f t="shared" si="2"/>
        <v>110.92002279065582</v>
      </c>
      <c r="Y46" s="60">
        <f t="shared" si="3"/>
        <v>111.48217919629906</v>
      </c>
    </row>
    <row r="47" spans="1:25" x14ac:dyDescent="0.25">
      <c r="L47" s="47" t="s">
        <v>41</v>
      </c>
      <c r="M47" s="48">
        <f>B40</f>
        <v>51.623069770358079</v>
      </c>
      <c r="P47" s="57">
        <v>45352</v>
      </c>
      <c r="Q47" s="6">
        <v>156.29</v>
      </c>
      <c r="R47" s="6">
        <v>5234.18</v>
      </c>
      <c r="S47" s="6">
        <v>16428.82</v>
      </c>
      <c r="T47" s="6">
        <v>39807.370000000003</v>
      </c>
      <c r="U47" s="57">
        <v>45352</v>
      </c>
      <c r="V47" s="60">
        <f t="shared" ref="V47:V75" si="14">(Q47/$Q$15)*100</f>
        <v>135.77447658761184</v>
      </c>
      <c r="W47" s="60">
        <f t="shared" si="1"/>
        <v>119.08692546060983</v>
      </c>
      <c r="X47" s="60">
        <f t="shared" si="2"/>
        <v>111.96877462058737</v>
      </c>
      <c r="Y47" s="60">
        <f t="shared" si="3"/>
        <v>113.53568225021426</v>
      </c>
    </row>
    <row r="48" spans="1:25" x14ac:dyDescent="0.25">
      <c r="L48" s="47" t="s">
        <v>31</v>
      </c>
      <c r="M48" s="48">
        <f>G40</f>
        <v>106.41651031894935</v>
      </c>
      <c r="P48" s="57">
        <v>45383</v>
      </c>
      <c r="Q48" s="6">
        <v>149.22</v>
      </c>
      <c r="R48" s="6">
        <v>4967.2299999999996</v>
      </c>
      <c r="S48" s="6">
        <v>15282.01</v>
      </c>
      <c r="T48" s="6">
        <v>37986.400000000001</v>
      </c>
      <c r="U48" s="57">
        <v>45383</v>
      </c>
      <c r="V48" s="60">
        <f t="shared" si="14"/>
        <v>129.63252541047694</v>
      </c>
      <c r="W48" s="59">
        <f t="shared" si="1"/>
        <v>113.01333709496137</v>
      </c>
      <c r="X48" s="59">
        <f t="shared" si="2"/>
        <v>104.15282007104361</v>
      </c>
      <c r="Y48" s="59">
        <f t="shared" si="3"/>
        <v>108.34204420511928</v>
      </c>
    </row>
    <row r="49" spans="12:25" x14ac:dyDescent="0.25">
      <c r="L49" s="47" t="s">
        <v>87</v>
      </c>
      <c r="M49" s="48">
        <f>-(G40-B40)</f>
        <v>-54.793440548591271</v>
      </c>
      <c r="P49" s="57">
        <v>45413</v>
      </c>
      <c r="Q49" s="6">
        <v>150.34</v>
      </c>
      <c r="R49" s="6">
        <v>5277.51</v>
      </c>
      <c r="S49" s="6">
        <v>16735.02</v>
      </c>
      <c r="T49" s="6">
        <v>38686.32</v>
      </c>
      <c r="U49" s="57">
        <v>45413</v>
      </c>
      <c r="V49" s="60">
        <f t="shared" si="14"/>
        <v>130.60550777517156</v>
      </c>
      <c r="W49" s="60">
        <f t="shared" si="1"/>
        <v>120.07276020076172</v>
      </c>
      <c r="X49" s="60">
        <f t="shared" si="2"/>
        <v>114.05564627593596</v>
      </c>
      <c r="Y49" s="60">
        <f t="shared" si="3"/>
        <v>110.33830506637612</v>
      </c>
    </row>
    <row r="50" spans="12:25" x14ac:dyDescent="0.25">
      <c r="L50" s="51" t="s">
        <v>86</v>
      </c>
      <c r="M50" s="54">
        <f>((B40-G40)/(G40))</f>
        <v>-0.51489604746825013</v>
      </c>
      <c r="P50" s="57">
        <v>45444</v>
      </c>
      <c r="Q50" s="6">
        <v>149.04</v>
      </c>
      <c r="R50" s="6">
        <v>5464.62</v>
      </c>
      <c r="S50" s="6">
        <v>17689.36</v>
      </c>
      <c r="T50" s="6">
        <v>39150.33</v>
      </c>
      <c r="U50" s="57">
        <v>45444</v>
      </c>
      <c r="V50" s="60">
        <f t="shared" si="14"/>
        <v>129.47615324472244</v>
      </c>
      <c r="W50" s="60">
        <f t="shared" si="1"/>
        <v>124.32984624345316</v>
      </c>
      <c r="X50" s="60">
        <f t="shared" si="2"/>
        <v>120.55984319156418</v>
      </c>
      <c r="Y50" s="60">
        <f t="shared" si="3"/>
        <v>111.66172060276855</v>
      </c>
    </row>
    <row r="51" spans="12:25" x14ac:dyDescent="0.25">
      <c r="P51" s="57">
        <v>45474</v>
      </c>
      <c r="Q51" s="6">
        <v>156.04</v>
      </c>
      <c r="R51" s="6">
        <v>5459.1</v>
      </c>
      <c r="S51" s="6">
        <v>17357.88</v>
      </c>
      <c r="T51" s="6">
        <v>40287.53</v>
      </c>
      <c r="U51" s="57">
        <v>45474</v>
      </c>
      <c r="V51" s="60">
        <f t="shared" si="14"/>
        <v>135.55729302406394</v>
      </c>
      <c r="W51" s="59">
        <f t="shared" si="1"/>
        <v>124.20425640348923</v>
      </c>
      <c r="X51" s="59">
        <f t="shared" si="2"/>
        <v>118.30067853998042</v>
      </c>
      <c r="Y51" s="59">
        <f t="shared" si="3"/>
        <v>114.90515964068902</v>
      </c>
    </row>
    <row r="52" spans="12:25" x14ac:dyDescent="0.25">
      <c r="P52" s="57">
        <v>45505</v>
      </c>
      <c r="Q52" s="6">
        <v>174.6</v>
      </c>
      <c r="R52" s="6">
        <v>5648.4</v>
      </c>
      <c r="S52" s="6">
        <v>17877.79</v>
      </c>
      <c r="T52" s="6">
        <v>41175.08</v>
      </c>
      <c r="U52" s="57">
        <v>45505</v>
      </c>
      <c r="V52" s="60">
        <f t="shared" si="14"/>
        <v>151.68100078186083</v>
      </c>
      <c r="W52" s="60">
        <f t="shared" si="1"/>
        <v>128.51116885007937</v>
      </c>
      <c r="X52" s="60">
        <f t="shared" si="2"/>
        <v>121.84406665994216</v>
      </c>
      <c r="Y52" s="60">
        <f t="shared" si="3"/>
        <v>117.43656512618523</v>
      </c>
    </row>
    <row r="53" spans="12:25" x14ac:dyDescent="0.25">
      <c r="P53" s="57">
        <v>45536</v>
      </c>
      <c r="Q53" s="6">
        <v>178.38</v>
      </c>
      <c r="R53" s="6">
        <v>5751.07</v>
      </c>
      <c r="S53" s="6">
        <v>18137.849999999999</v>
      </c>
      <c r="T53" s="6">
        <v>42313</v>
      </c>
      <c r="U53" s="57">
        <v>45536</v>
      </c>
      <c r="V53" s="60">
        <f t="shared" si="14"/>
        <v>154.96481626270523</v>
      </c>
      <c r="W53" s="60">
        <f t="shared" si="1"/>
        <v>130.84709436984389</v>
      </c>
      <c r="X53" s="60">
        <f t="shared" si="2"/>
        <v>123.61647633561148</v>
      </c>
      <c r="Y53" s="60">
        <f t="shared" si="3"/>
        <v>120.68205769568088</v>
      </c>
    </row>
    <row r="54" spans="12:25" x14ac:dyDescent="0.25">
      <c r="P54" s="57">
        <v>45566</v>
      </c>
      <c r="Q54" s="6">
        <v>202.05</v>
      </c>
      <c r="R54" s="6">
        <v>5728.8</v>
      </c>
      <c r="S54" s="6">
        <v>18518.61</v>
      </c>
      <c r="T54" s="6">
        <v>42052.19</v>
      </c>
      <c r="U54" s="57">
        <v>45566</v>
      </c>
      <c r="V54" s="60">
        <f t="shared" si="14"/>
        <v>175.52775605942145</v>
      </c>
      <c r="W54" s="59">
        <f t="shared" si="1"/>
        <v>130.34041217129362</v>
      </c>
      <c r="X54" s="59">
        <f t="shared" si="2"/>
        <v>126.21150328365371</v>
      </c>
      <c r="Y54" s="59">
        <f t="shared" si="3"/>
        <v>119.93819440384124</v>
      </c>
    </row>
    <row r="55" spans="12:25" x14ac:dyDescent="0.25">
      <c r="P55" s="57">
        <v>45597</v>
      </c>
      <c r="Q55" s="6">
        <v>220.96</v>
      </c>
      <c r="R55" s="6">
        <v>5969.34</v>
      </c>
      <c r="S55" s="6">
        <v>19003.650000000001</v>
      </c>
      <c r="T55" s="6">
        <v>44296.51</v>
      </c>
      <c r="U55" s="57">
        <v>45597</v>
      </c>
      <c r="V55" s="60">
        <f t="shared" si="14"/>
        <v>191.95552080618538</v>
      </c>
      <c r="W55" s="60">
        <f t="shared" si="1"/>
        <v>135.81312595841882</v>
      </c>
      <c r="X55" s="60">
        <f t="shared" si="2"/>
        <v>129.51723884116603</v>
      </c>
      <c r="Y55" s="60">
        <f t="shared" si="3"/>
        <v>126.33928049387433</v>
      </c>
    </row>
    <row r="56" spans="12:25" x14ac:dyDescent="0.25">
      <c r="P56" s="57">
        <v>45627</v>
      </c>
      <c r="Q56" s="6">
        <v>206.05</v>
      </c>
      <c r="R56" s="6">
        <v>5942.47</v>
      </c>
      <c r="S56" s="6">
        <v>19722.03</v>
      </c>
      <c r="T56" s="6">
        <v>42840.26</v>
      </c>
      <c r="U56" s="57">
        <v>45627</v>
      </c>
      <c r="V56" s="60">
        <f t="shared" si="14"/>
        <v>179.00269307618802</v>
      </c>
      <c r="W56" s="60">
        <f t="shared" si="1"/>
        <v>135.20178555989861</v>
      </c>
      <c r="X56" s="60">
        <f t="shared" si="2"/>
        <v>134.41327692009912</v>
      </c>
      <c r="Y56" s="60">
        <f t="shared" si="3"/>
        <v>122.18587027669912</v>
      </c>
    </row>
    <row r="57" spans="12:25" x14ac:dyDescent="0.25">
      <c r="P57" s="57">
        <v>45658</v>
      </c>
      <c r="Q57" s="6">
        <v>208.84</v>
      </c>
      <c r="R57" s="6">
        <v>6040.53</v>
      </c>
      <c r="S57" s="6">
        <v>19627.439999999999</v>
      </c>
      <c r="T57" s="6">
        <v>44424.25</v>
      </c>
      <c r="U57" s="57">
        <v>45658</v>
      </c>
      <c r="V57" s="60">
        <f t="shared" si="14"/>
        <v>181.42646164538269</v>
      </c>
      <c r="W57" s="59">
        <f t="shared" si="1"/>
        <v>137.43282536186709</v>
      </c>
      <c r="X57" s="59">
        <f t="shared" si="2"/>
        <v>133.76860941559414</v>
      </c>
      <c r="Y57" s="59">
        <f t="shared" si="3"/>
        <v>126.70361122083878</v>
      </c>
    </row>
    <row r="58" spans="12:25" x14ac:dyDescent="0.25">
      <c r="P58" s="57">
        <v>45689</v>
      </c>
      <c r="Q58" s="6">
        <v>232.34</v>
      </c>
      <c r="R58" s="6">
        <v>5954.5</v>
      </c>
      <c r="S58" s="6">
        <v>19524.009999999998</v>
      </c>
      <c r="T58" s="6">
        <v>43840.91</v>
      </c>
      <c r="U58" s="57">
        <v>45689</v>
      </c>
      <c r="V58" s="60">
        <f t="shared" si="14"/>
        <v>201.8417166188863</v>
      </c>
      <c r="W58" s="60">
        <f t="shared" si="1"/>
        <v>135.47548950460268</v>
      </c>
      <c r="X58" s="60">
        <f t="shared" si="2"/>
        <v>133.06369388550695</v>
      </c>
      <c r="Y58" s="60">
        <f t="shared" si="3"/>
        <v>125.03985134713098</v>
      </c>
    </row>
    <row r="59" spans="12:25" x14ac:dyDescent="0.25">
      <c r="P59" s="57">
        <v>45717</v>
      </c>
      <c r="Q59" s="6">
        <v>216.13</v>
      </c>
      <c r="R59" s="6">
        <v>5074.08</v>
      </c>
      <c r="S59" s="6">
        <v>15587.79</v>
      </c>
      <c r="T59" s="6">
        <v>38314.86</v>
      </c>
      <c r="U59" s="57">
        <v>45717</v>
      </c>
      <c r="V59" s="60">
        <f t="shared" si="14"/>
        <v>187.75953435843974</v>
      </c>
      <c r="W59" s="60">
        <f t="shared" si="1"/>
        <v>115.4443650660029</v>
      </c>
      <c r="X59" s="60">
        <f t="shared" si="2"/>
        <v>106.23682926363827</v>
      </c>
      <c r="Y59" s="60">
        <f t="shared" si="3"/>
        <v>109.27885390121087</v>
      </c>
    </row>
    <row r="60" spans="12:25" x14ac:dyDescent="0.25">
      <c r="P60" s="57">
        <v>45748</v>
      </c>
      <c r="Q60" s="6">
        <v>184.37</v>
      </c>
      <c r="R60" s="6">
        <v>5282.7</v>
      </c>
      <c r="S60" s="6">
        <v>16286.45</v>
      </c>
      <c r="T60" s="6">
        <v>39142.230000000003</v>
      </c>
      <c r="U60" s="57">
        <v>45748</v>
      </c>
      <c r="V60" s="60">
        <f t="shared" si="14"/>
        <v>160.16853444531318</v>
      </c>
      <c r="W60" s="59">
        <f t="shared" si="1"/>
        <v>120.19084195246697</v>
      </c>
      <c r="X60" s="59">
        <f t="shared" si="2"/>
        <v>110.99846790088792</v>
      </c>
      <c r="Y60" s="59">
        <f t="shared" si="3"/>
        <v>111.63861837254771</v>
      </c>
    </row>
    <row r="61" spans="12:25" x14ac:dyDescent="0.25">
      <c r="P61" s="57">
        <v>45778</v>
      </c>
      <c r="Q61" s="6">
        <v>159.34</v>
      </c>
      <c r="R61" s="6">
        <v>5802.82</v>
      </c>
      <c r="S61" s="6">
        <v>19113.77</v>
      </c>
      <c r="T61" s="6">
        <v>41603.07</v>
      </c>
      <c r="U61" s="57">
        <v>45778</v>
      </c>
      <c r="V61" s="60">
        <f t="shared" si="14"/>
        <v>138.42411606289636</v>
      </c>
      <c r="W61" s="60">
        <f t="shared" si="1"/>
        <v>132.024499119506</v>
      </c>
      <c r="X61" s="60">
        <f t="shared" si="2"/>
        <v>130.26774931369047</v>
      </c>
      <c r="Y61" s="60">
        <f t="shared" si="3"/>
        <v>118.65724704127454</v>
      </c>
    </row>
    <row r="62" spans="12:25" x14ac:dyDescent="0.25">
      <c r="P62" s="57">
        <v>45809</v>
      </c>
      <c r="Q62" s="6">
        <v>163.38</v>
      </c>
      <c r="R62" s="6">
        <v>6279.35</v>
      </c>
      <c r="S62" s="6">
        <v>19447.41</v>
      </c>
      <c r="T62" s="6">
        <v>42206.82</v>
      </c>
      <c r="U62" s="57">
        <v>45809</v>
      </c>
      <c r="V62" s="60">
        <f t="shared" si="14"/>
        <v>141.93380244983061</v>
      </c>
      <c r="W62" s="60">
        <f t="shared" si="1"/>
        <v>142.8664060829166</v>
      </c>
      <c r="X62" s="60">
        <f t="shared" si="2"/>
        <v>132.54163520229434</v>
      </c>
      <c r="Y62" s="60">
        <f t="shared" si="3"/>
        <v>120.37921883088454</v>
      </c>
    </row>
    <row r="63" spans="12:25" x14ac:dyDescent="0.25">
      <c r="P63" s="57">
        <v>45839</v>
      </c>
      <c r="Q63" s="6">
        <v>135.33000000000001</v>
      </c>
      <c r="R63" s="6">
        <v>6238.01</v>
      </c>
      <c r="S63" s="6">
        <v>20650.13</v>
      </c>
      <c r="T63" s="6">
        <v>44901.919999999998</v>
      </c>
      <c r="U63" s="57">
        <v>45839</v>
      </c>
      <c r="V63" s="60">
        <f t="shared" si="14"/>
        <v>117.56580661975502</v>
      </c>
      <c r="W63" s="59">
        <f t="shared" si="1"/>
        <v>141.92584739014302</v>
      </c>
      <c r="X63" s="59">
        <f t="shared" si="2"/>
        <v>140.73863806748324</v>
      </c>
      <c r="Y63" s="59">
        <f t="shared" si="3"/>
        <v>128.065986814616</v>
      </c>
    </row>
    <row r="64" spans="12:25" x14ac:dyDescent="0.25">
      <c r="P64" s="57">
        <v>45870</v>
      </c>
      <c r="Q64" s="6">
        <v>138.18</v>
      </c>
      <c r="R64" s="6">
        <v>6460.26</v>
      </c>
      <c r="S64" s="6">
        <v>21496.54</v>
      </c>
      <c r="T64" s="6">
        <v>45544.88</v>
      </c>
      <c r="U64" s="57">
        <v>45870</v>
      </c>
      <c r="V64" s="60">
        <f t="shared" si="14"/>
        <v>120.04169924420121</v>
      </c>
      <c r="W64" s="60">
        <f t="shared" si="1"/>
        <v>146.9824310734746</v>
      </c>
      <c r="X64" s="60">
        <f t="shared" si="2"/>
        <v>146.50725020923241</v>
      </c>
      <c r="Y64" s="60">
        <f t="shared" si="3"/>
        <v>129.89979051125803</v>
      </c>
    </row>
    <row r="65" spans="16:25" x14ac:dyDescent="0.25">
      <c r="P65" s="57">
        <v>45901</v>
      </c>
      <c r="Q65" s="6">
        <v>131.80000000000001</v>
      </c>
      <c r="R65" s="6">
        <v>6715.79</v>
      </c>
      <c r="S65" s="6">
        <v>22780.51</v>
      </c>
      <c r="T65" s="6">
        <v>46758.28</v>
      </c>
      <c r="U65" s="57">
        <v>45901</v>
      </c>
      <c r="V65" s="60">
        <f t="shared" si="14"/>
        <v>114.49917470245853</v>
      </c>
      <c r="W65" s="60">
        <f t="shared" si="1"/>
        <v>152.79619408180628</v>
      </c>
      <c r="X65" s="60">
        <f t="shared" si="2"/>
        <v>155.25800330955215</v>
      </c>
      <c r="Y65" s="60">
        <f t="shared" si="3"/>
        <v>133.36056164088578</v>
      </c>
    </row>
    <row r="66" spans="16:25" x14ac:dyDescent="0.25">
      <c r="P66" s="57">
        <v>45931</v>
      </c>
      <c r="Q66" s="6">
        <v>121.65</v>
      </c>
      <c r="R66" s="6">
        <v>6840.2</v>
      </c>
      <c r="S66" s="6">
        <v>23204.87</v>
      </c>
      <c r="T66" s="6">
        <v>47207.12</v>
      </c>
      <c r="U66" s="57">
        <v>45931</v>
      </c>
      <c r="V66" s="60">
        <f t="shared" si="14"/>
        <v>105.68152202241335</v>
      </c>
      <c r="W66" s="59">
        <f t="shared" si="1"/>
        <v>155.62674335534189</v>
      </c>
      <c r="X66" s="59">
        <f t="shared" si="2"/>
        <v>158.15018115300001</v>
      </c>
      <c r="Y66" s="59">
        <f t="shared" si="3"/>
        <v>134.64071040783992</v>
      </c>
    </row>
    <row r="67" spans="16:25" x14ac:dyDescent="0.25">
      <c r="P67" s="57">
        <v>45962</v>
      </c>
      <c r="Q67" s="6">
        <v>63.42</v>
      </c>
      <c r="R67" s="6">
        <v>6849.09</v>
      </c>
      <c r="S67" s="6">
        <v>23365.69</v>
      </c>
      <c r="T67" s="6">
        <v>46245.41</v>
      </c>
      <c r="U67" s="57">
        <v>45962</v>
      </c>
      <c r="V67" s="60">
        <f t="shared" si="14"/>
        <v>55.095126400833983</v>
      </c>
      <c r="W67" s="60">
        <f t="shared" si="1"/>
        <v>155.82900670267514</v>
      </c>
      <c r="X67" s="60">
        <f t="shared" si="2"/>
        <v>159.24623177224612</v>
      </c>
      <c r="Y67" s="60">
        <f t="shared" si="3"/>
        <v>131.89779117009942</v>
      </c>
    </row>
    <row r="68" spans="16:25" x14ac:dyDescent="0.25">
      <c r="P68" s="57">
        <v>45992</v>
      </c>
      <c r="Q68" s="6">
        <v>67.94</v>
      </c>
      <c r="R68" s="6">
        <v>6929.94</v>
      </c>
      <c r="S68" s="6">
        <v>23593.1</v>
      </c>
      <c r="T68" s="6">
        <v>48134.89</v>
      </c>
      <c r="U68" s="57">
        <v>45992</v>
      </c>
      <c r="V68" s="60">
        <f t="shared" si="14"/>
        <v>59.021805229780213</v>
      </c>
      <c r="W68" s="60">
        <f t="shared" si="1"/>
        <v>157.66848832606033</v>
      </c>
      <c r="X68" s="60">
        <f t="shared" si="2"/>
        <v>160.7961190457367</v>
      </c>
      <c r="Y68" s="60">
        <f t="shared" si="3"/>
        <v>137.28682844882783</v>
      </c>
    </row>
    <row r="69" spans="16:25" x14ac:dyDescent="0.25">
      <c r="P69" s="57">
        <v>46023</v>
      </c>
      <c r="Q69" s="6">
        <v>67.56</v>
      </c>
      <c r="R69" s="6">
        <v>6939.03</v>
      </c>
      <c r="S69" s="6">
        <v>23461.82</v>
      </c>
      <c r="T69" s="6">
        <v>49098.71</v>
      </c>
      <c r="U69" s="57">
        <v>46023</v>
      </c>
      <c r="V69" s="60">
        <f t="shared" si="14"/>
        <v>58.691686213187388</v>
      </c>
      <c r="W69" s="59">
        <f t="shared" si="1"/>
        <v>157.87530202991402</v>
      </c>
      <c r="X69" s="59">
        <f t="shared" si="2"/>
        <v>159.90139497351541</v>
      </c>
      <c r="Y69" s="59">
        <f t="shared" si="3"/>
        <v>140.03576567493451</v>
      </c>
    </row>
    <row r="70" spans="16:25" x14ac:dyDescent="0.25">
      <c r="P70" s="57">
        <v>46054</v>
      </c>
      <c r="Q70" s="6">
        <v>62.29</v>
      </c>
      <c r="R70" s="6">
        <v>6909.51</v>
      </c>
      <c r="S70" s="6">
        <v>22668.21</v>
      </c>
      <c r="T70" s="6">
        <v>48977.919999999998</v>
      </c>
      <c r="U70" s="57">
        <v>46054</v>
      </c>
      <c r="V70" s="60">
        <f t="shared" si="14"/>
        <v>54.113456693597428</v>
      </c>
      <c r="W70" s="60">
        <f t="shared" si="1"/>
        <v>157.20366940749807</v>
      </c>
      <c r="X70" s="60">
        <f t="shared" si="2"/>
        <v>154.49263529225743</v>
      </c>
      <c r="Y70" s="60">
        <f t="shared" si="3"/>
        <v>139.69125723192499</v>
      </c>
    </row>
    <row r="71" spans="16:25" x14ac:dyDescent="0.25">
      <c r="P71" s="57">
        <v>46082</v>
      </c>
      <c r="Q71" s="6">
        <v>53.9</v>
      </c>
      <c r="R71" s="6">
        <v>6368.85</v>
      </c>
      <c r="S71" s="6">
        <v>20948.36</v>
      </c>
      <c r="T71" s="6">
        <v>45577.47</v>
      </c>
      <c r="U71" s="57">
        <v>46082</v>
      </c>
      <c r="V71" s="60">
        <f t="shared" si="14"/>
        <v>46.824776300929543</v>
      </c>
      <c r="W71" s="60">
        <f t="shared" si="1"/>
        <v>144.90269062581055</v>
      </c>
      <c r="X71" s="60">
        <f t="shared" si="2"/>
        <v>142.77119108438268</v>
      </c>
      <c r="Y71" s="60">
        <f t="shared" si="3"/>
        <v>129.99274133630715</v>
      </c>
    </row>
    <row r="72" spans="16:25" x14ac:dyDescent="0.25">
      <c r="P72" s="57">
        <v>46113</v>
      </c>
      <c r="Q72" s="6">
        <v>63.97</v>
      </c>
      <c r="R72" s="6">
        <v>7123.06</v>
      </c>
      <c r="S72" s="6">
        <v>24468.48</v>
      </c>
      <c r="T72" s="6">
        <v>49447.43</v>
      </c>
      <c r="U72" s="57">
        <v>46113</v>
      </c>
      <c r="V72" s="60">
        <f t="shared" si="14"/>
        <v>55.572930240639387</v>
      </c>
      <c r="W72" s="59">
        <f t="shared" si="1"/>
        <v>162.06231258219083</v>
      </c>
      <c r="X72" s="59">
        <f t="shared" si="2"/>
        <v>166.76217296363035</v>
      </c>
      <c r="Y72" s="59">
        <f t="shared" si="3"/>
        <v>141.0303594678501</v>
      </c>
    </row>
    <row r="73" spans="16:25" x14ac:dyDescent="0.25">
      <c r="P73" s="57">
        <v>46143</v>
      </c>
      <c r="Q73" s="6">
        <v>57.13</v>
      </c>
      <c r="R73" s="6">
        <v>7473.47</v>
      </c>
      <c r="S73" s="6">
        <v>26343.97</v>
      </c>
      <c r="T73" s="6">
        <v>50579.7</v>
      </c>
      <c r="U73" s="57">
        <v>46143</v>
      </c>
      <c r="V73" s="60">
        <f t="shared" si="14"/>
        <v>49.630787941968549</v>
      </c>
      <c r="W73" s="60">
        <f t="shared" si="1"/>
        <v>170.03476472381612</v>
      </c>
      <c r="X73" s="60">
        <f t="shared" si="2"/>
        <v>179.54436408345308</v>
      </c>
      <c r="Y73" s="60">
        <f t="shared" si="3"/>
        <v>144.25973751873488</v>
      </c>
    </row>
    <row r="74" spans="16:25" x14ac:dyDescent="0.25">
      <c r="P74" s="57">
        <v>46174</v>
      </c>
      <c r="Q74" s="6">
        <v>52.33</v>
      </c>
      <c r="R74" s="6">
        <v>7425.29</v>
      </c>
      <c r="S74" s="6">
        <v>25883.49</v>
      </c>
      <c r="T74" s="6">
        <v>51200.15</v>
      </c>
      <c r="U74" s="57">
        <v>46174</v>
      </c>
      <c r="V74" s="60">
        <f t="shared" si="14"/>
        <v>45.460863521848665</v>
      </c>
      <c r="W74" s="60">
        <f t="shared" si="1"/>
        <v>168.93858383804371</v>
      </c>
      <c r="X74" s="60">
        <f t="shared" si="2"/>
        <v>176.40601444316923</v>
      </c>
      <c r="Y74" s="60">
        <f t="shared" si="3"/>
        <v>146.02933983238046</v>
      </c>
    </row>
    <row r="75" spans="16:25" x14ac:dyDescent="0.25">
      <c r="P75" s="57">
        <v>46204</v>
      </c>
      <c r="Q75" s="61">
        <v>52.71</v>
      </c>
      <c r="R75" s="6">
        <v>7483.24</v>
      </c>
      <c r="S75" s="6">
        <v>25832.67</v>
      </c>
      <c r="T75" s="6">
        <v>52900.07</v>
      </c>
      <c r="U75" s="57">
        <v>46204</v>
      </c>
      <c r="V75" s="60">
        <f t="shared" si="14"/>
        <v>45.790982538441497</v>
      </c>
      <c r="W75" s="59">
        <f t="shared" si="1"/>
        <v>170.25704963983927</v>
      </c>
      <c r="X75" s="59">
        <f t="shared" si="2"/>
        <v>176.0596564499464</v>
      </c>
      <c r="Y75" s="59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C0AC-D8F8-4935-8DF9-C319242F6121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6" t="s">
        <v>1</v>
      </c>
      <c r="B5" s="37"/>
      <c r="C5" s="38"/>
      <c r="P5" t="s">
        <v>58</v>
      </c>
    </row>
    <row r="6" spans="1:26" x14ac:dyDescent="0.25">
      <c r="A6" s="39" t="s">
        <v>2</v>
      </c>
      <c r="B6" s="55">
        <v>0.20499999999999999</v>
      </c>
      <c r="C6" s="40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39" t="s">
        <v>3</v>
      </c>
      <c r="B7" s="31">
        <v>7.1900000000000006E-2</v>
      </c>
      <c r="C7" s="40"/>
      <c r="P7">
        <v>2026</v>
      </c>
      <c r="Q7" s="26">
        <f>D28</f>
        <v>782970500</v>
      </c>
      <c r="R7" s="26"/>
      <c r="S7" t="s">
        <v>41</v>
      </c>
      <c r="T7" s="16">
        <f>B40</f>
        <v>14.681333713233361</v>
      </c>
    </row>
    <row r="8" spans="1:26" x14ac:dyDescent="0.25">
      <c r="A8" s="39" t="s">
        <v>4</v>
      </c>
      <c r="B8" s="31">
        <v>2.5000000000000001E-2</v>
      </c>
      <c r="C8" s="40"/>
      <c r="P8">
        <v>2027</v>
      </c>
      <c r="Q8" s="26">
        <f>E28</f>
        <v>798629910</v>
      </c>
      <c r="R8" s="26"/>
      <c r="S8" t="s">
        <v>73</v>
      </c>
      <c r="T8" s="16">
        <v>38.32</v>
      </c>
    </row>
    <row r="9" spans="1:26" x14ac:dyDescent="0.25">
      <c r="A9" s="39" t="s">
        <v>5</v>
      </c>
      <c r="B9" s="32" t="s">
        <v>88</v>
      </c>
      <c r="C9" s="40"/>
      <c r="P9">
        <v>2028</v>
      </c>
      <c r="Q9" s="26">
        <f>F28</f>
        <v>798629910</v>
      </c>
      <c r="R9" s="26"/>
      <c r="S9" t="s">
        <v>8</v>
      </c>
      <c r="T9" s="16">
        <f>B12</f>
        <v>53</v>
      </c>
    </row>
    <row r="10" spans="1:26" x14ac:dyDescent="0.25">
      <c r="A10" s="39" t="s">
        <v>6</v>
      </c>
      <c r="B10" s="33">
        <v>46210</v>
      </c>
      <c r="C10" s="40"/>
      <c r="P10">
        <v>2029</v>
      </c>
      <c r="Q10" s="26">
        <f>G28</f>
        <v>774671012.70000029</v>
      </c>
      <c r="R10" s="26"/>
    </row>
    <row r="11" spans="1:26" x14ac:dyDescent="0.25">
      <c r="A11" s="39" t="s">
        <v>7</v>
      </c>
      <c r="B11" s="33">
        <v>46387</v>
      </c>
      <c r="C11" s="40"/>
      <c r="P11">
        <v>2030</v>
      </c>
      <c r="Q11" s="26">
        <f>H28</f>
        <v>797911143.08100057</v>
      </c>
      <c r="R11" s="26"/>
    </row>
    <row r="12" spans="1:26" x14ac:dyDescent="0.25">
      <c r="A12" s="39" t="s">
        <v>8</v>
      </c>
      <c r="B12" s="34">
        <v>53</v>
      </c>
      <c r="C12" s="40" t="s">
        <v>81</v>
      </c>
      <c r="P12">
        <v>2031</v>
      </c>
      <c r="Q12" s="26">
        <f>I28</f>
        <v>805890254.51181006</v>
      </c>
      <c r="R12" s="26"/>
    </row>
    <row r="13" spans="1:26" x14ac:dyDescent="0.25">
      <c r="A13" s="39" t="s">
        <v>9</v>
      </c>
      <c r="B13" s="35">
        <v>533000000</v>
      </c>
      <c r="C13" s="40"/>
    </row>
    <row r="14" spans="1:26" x14ac:dyDescent="0.25">
      <c r="A14" s="39" t="s">
        <v>10</v>
      </c>
      <c r="B14" s="34">
        <v>29300000000</v>
      </c>
      <c r="C14" s="40"/>
      <c r="P14" s="6" t="s">
        <v>16</v>
      </c>
      <c r="Q14" s="6" t="s">
        <v>92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93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39" t="s">
        <v>11</v>
      </c>
      <c r="B15" s="34">
        <v>829000000</v>
      </c>
      <c r="C15" s="40"/>
      <c r="P15" s="57">
        <v>44378</v>
      </c>
      <c r="Q15" s="58">
        <v>115.11</v>
      </c>
      <c r="R15" s="6">
        <v>4395.26</v>
      </c>
      <c r="S15" s="6">
        <v>14672.68</v>
      </c>
      <c r="T15" s="6">
        <v>35061.550000000003</v>
      </c>
      <c r="U15" s="57">
        <v>44378</v>
      </c>
      <c r="V15" s="59">
        <f t="shared" ref="V15:V75" si="0"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39" t="s">
        <v>12</v>
      </c>
      <c r="B16" s="34" t="s">
        <v>125</v>
      </c>
      <c r="C16" s="40"/>
      <c r="P16" s="57">
        <v>44409</v>
      </c>
      <c r="Q16" s="6">
        <v>117.94</v>
      </c>
      <c r="R16" s="6">
        <v>4509.37</v>
      </c>
      <c r="S16" s="6">
        <v>14714.66</v>
      </c>
      <c r="T16" s="6">
        <v>35120.080000000002</v>
      </c>
      <c r="U16" s="57">
        <v>44409</v>
      </c>
      <c r="V16" s="60">
        <f t="shared" si="0"/>
        <v>102.45851793936234</v>
      </c>
      <c r="W16" s="60">
        <f>(R16/$R$15)*100</f>
        <v>102.59620591273327</v>
      </c>
      <c r="X16" s="60">
        <f>(S16/$S$15)*100</f>
        <v>100.28610996764054</v>
      </c>
      <c r="Y16" s="60">
        <f>(T16/$T$15)*100</f>
        <v>100.16693500429959</v>
      </c>
      <c r="Z16" t="s">
        <v>74</v>
      </c>
    </row>
    <row r="17" spans="1:25" x14ac:dyDescent="0.25">
      <c r="A17" s="41" t="s">
        <v>79</v>
      </c>
      <c r="B17" s="42"/>
      <c r="C17" s="43"/>
      <c r="P17" s="57">
        <v>44440</v>
      </c>
      <c r="Q17" s="6">
        <v>109.74</v>
      </c>
      <c r="R17" s="6">
        <v>4455.4799999999996</v>
      </c>
      <c r="S17" s="6">
        <v>15047.7</v>
      </c>
      <c r="T17" s="6">
        <v>34326.46</v>
      </c>
      <c r="U17" s="57">
        <v>44440</v>
      </c>
      <c r="V17" s="60">
        <f t="shared" si="0"/>
        <v>95.334897054990876</v>
      </c>
      <c r="W17" s="60">
        <f>(R17/$R$15)*100</f>
        <v>101.37011234830247</v>
      </c>
      <c r="X17" s="60">
        <f>(S17/$S$15)*100</f>
        <v>102.55590662373881</v>
      </c>
      <c r="Y17" s="60">
        <f>(T17/$T$15)*100</f>
        <v>97.903429825549622</v>
      </c>
    </row>
    <row r="18" spans="1:25" x14ac:dyDescent="0.25">
      <c r="P18" s="57">
        <v>44470</v>
      </c>
      <c r="Q18" s="6">
        <v>110.18</v>
      </c>
      <c r="R18" s="6">
        <v>4544.8999999999996</v>
      </c>
      <c r="S18" s="6">
        <v>15498.39</v>
      </c>
      <c r="T18" s="6">
        <v>35677.019999999997</v>
      </c>
      <c r="U18" s="57">
        <v>44470</v>
      </c>
      <c r="V18" s="60">
        <f t="shared" si="0"/>
        <v>95.717140126835204</v>
      </c>
      <c r="W18" s="59">
        <f t="shared" ref="W18:W75" si="1">(R18/$R$15)*100</f>
        <v>103.40457674858823</v>
      </c>
      <c r="X18" s="59">
        <f t="shared" ref="X18:X75" si="2">(S18/$S$15)*100</f>
        <v>105.62753362030656</v>
      </c>
      <c r="Y18" s="59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7">
        <v>44501</v>
      </c>
      <c r="Q19" s="6">
        <v>98.25</v>
      </c>
      <c r="R19" s="6">
        <v>4594.62</v>
      </c>
      <c r="S19" s="6">
        <v>15085.47</v>
      </c>
      <c r="T19" s="6">
        <v>34889.339999999997</v>
      </c>
      <c r="U19" s="57">
        <v>44501</v>
      </c>
      <c r="V19" s="60">
        <f t="shared" si="0"/>
        <v>85.35314047432891</v>
      </c>
      <c r="W19" s="60">
        <f t="shared" si="1"/>
        <v>104.53579537956799</v>
      </c>
      <c r="X19" s="60">
        <f t="shared" si="2"/>
        <v>102.81332380996517</v>
      </c>
      <c r="Y19" s="60">
        <f t="shared" si="3"/>
        <v>99.508835176995873</v>
      </c>
    </row>
    <row r="20" spans="1:25" x14ac:dyDescent="0.25">
      <c r="A20" t="s">
        <v>16</v>
      </c>
      <c r="C20" s="7">
        <v>46210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17612740103.936146</v>
      </c>
      <c r="P20" s="57">
        <v>44531</v>
      </c>
      <c r="Q20" s="6">
        <v>105.54</v>
      </c>
      <c r="R20" s="6">
        <v>4766.18</v>
      </c>
      <c r="S20" s="6">
        <v>15653.37</v>
      </c>
      <c r="T20" s="6">
        <v>35950.559999999998</v>
      </c>
      <c r="U20" s="57">
        <v>44531</v>
      </c>
      <c r="V20" s="60">
        <f t="shared" si="0"/>
        <v>91.686213187385988</v>
      </c>
      <c r="W20" s="60">
        <f t="shared" si="1"/>
        <v>108.43909120279574</v>
      </c>
      <c r="X20" s="60">
        <f t="shared" si="2"/>
        <v>106.68378237649836</v>
      </c>
      <c r="Y20" s="60">
        <f t="shared" si="3"/>
        <v>102.53556959119035</v>
      </c>
    </row>
    <row r="21" spans="1:25" x14ac:dyDescent="0.25">
      <c r="A21" t="s">
        <v>18</v>
      </c>
      <c r="D21" s="5">
        <v>21190000000</v>
      </c>
      <c r="E21" s="5">
        <f>D21*1.02</f>
        <v>21613800000</v>
      </c>
      <c r="F21" s="5">
        <f>E21*1</f>
        <v>21613800000</v>
      </c>
      <c r="G21" s="5">
        <f>F21*0.97</f>
        <v>20965386000</v>
      </c>
      <c r="H21" s="5">
        <f>G21*1.03</f>
        <v>21594347580</v>
      </c>
      <c r="I21" s="5">
        <f>H21*1.01</f>
        <v>21810291055.799999</v>
      </c>
      <c r="L21" t="s">
        <v>19</v>
      </c>
      <c r="M21" s="13">
        <f>(I22+I25)*12</f>
        <v>62813638240.703995</v>
      </c>
      <c r="P21" s="57">
        <v>44562</v>
      </c>
      <c r="Q21" s="6">
        <v>104.88</v>
      </c>
      <c r="R21" s="6">
        <v>4500.53</v>
      </c>
      <c r="S21" s="6">
        <v>13770.57</v>
      </c>
      <c r="T21" s="6">
        <v>34725.47</v>
      </c>
      <c r="U21" s="57">
        <v>44562</v>
      </c>
      <c r="V21" s="60">
        <f t="shared" si="0"/>
        <v>91.112848579619481</v>
      </c>
      <c r="W21" s="59">
        <f t="shared" si="1"/>
        <v>102.39508015453009</v>
      </c>
      <c r="X21" s="59">
        <f t="shared" si="2"/>
        <v>93.851770773982665</v>
      </c>
      <c r="Y21" s="59">
        <f t="shared" si="3"/>
        <v>99.041457094737666</v>
      </c>
    </row>
    <row r="22" spans="1:25" x14ac:dyDescent="0.25">
      <c r="A22" t="s">
        <v>77</v>
      </c>
      <c r="B22" t="s">
        <v>123</v>
      </c>
      <c r="C22" s="25">
        <v>0.21</v>
      </c>
      <c r="D22" s="5">
        <f>D21*$C$22</f>
        <v>4449900000</v>
      </c>
      <c r="E22" s="5">
        <f t="shared" ref="E22:I22" si="4">E21*$C$22</f>
        <v>4538898000</v>
      </c>
      <c r="F22" s="5">
        <f t="shared" si="4"/>
        <v>4538898000</v>
      </c>
      <c r="G22" s="5">
        <f t="shared" si="4"/>
        <v>4402731060</v>
      </c>
      <c r="H22" s="5">
        <f t="shared" si="4"/>
        <v>4534812991.8000002</v>
      </c>
      <c r="I22" s="5">
        <f t="shared" si="4"/>
        <v>4580161121.7179995</v>
      </c>
      <c r="L22" t="s">
        <v>20</v>
      </c>
      <c r="M22" s="13">
        <f>(M20+M21)/2</f>
        <v>40213189172.320068</v>
      </c>
      <c r="P22" s="57">
        <v>44593</v>
      </c>
      <c r="Q22" s="6">
        <v>98.05</v>
      </c>
      <c r="R22" s="6">
        <v>4384.6499999999996</v>
      </c>
      <c r="S22" s="6">
        <v>13313.44</v>
      </c>
      <c r="T22" s="6">
        <v>34058.75</v>
      </c>
      <c r="U22" s="57">
        <v>44593</v>
      </c>
      <c r="V22" s="60">
        <f t="shared" si="0"/>
        <v>85.179393623490569</v>
      </c>
      <c r="W22" s="60">
        <f t="shared" si="1"/>
        <v>99.758603586590993</v>
      </c>
      <c r="X22" s="60">
        <f t="shared" si="2"/>
        <v>90.736252681854992</v>
      </c>
      <c r="Y22" s="60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912229500</v>
      </c>
      <c r="E23" s="30">
        <f t="shared" ref="E23:I23" si="5">E22*$B$6</f>
        <v>930474090</v>
      </c>
      <c r="F23" s="5">
        <f t="shared" si="5"/>
        <v>930474090</v>
      </c>
      <c r="G23" s="30">
        <f t="shared" si="5"/>
        <v>902559867.29999995</v>
      </c>
      <c r="H23" s="30">
        <f t="shared" si="5"/>
        <v>929636663.31900001</v>
      </c>
      <c r="I23" s="5">
        <f t="shared" si="5"/>
        <v>938933029.9521898</v>
      </c>
      <c r="P23" s="57">
        <v>44621</v>
      </c>
      <c r="Q23" s="6">
        <v>100.51</v>
      </c>
      <c r="R23" s="6">
        <v>4543.0600000000004</v>
      </c>
      <c r="S23" s="6">
        <v>14169.3</v>
      </c>
      <c r="T23" s="6">
        <v>34861.24</v>
      </c>
      <c r="U23" s="57">
        <v>44621</v>
      </c>
      <c r="V23" s="60">
        <f t="shared" si="0"/>
        <v>87.316479888802021</v>
      </c>
      <c r="W23" s="60">
        <f t="shared" si="1"/>
        <v>103.36271346860026</v>
      </c>
      <c r="X23" s="60">
        <f t="shared" si="2"/>
        <v>96.569270235567046</v>
      </c>
      <c r="Y23" s="60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3537670500</v>
      </c>
      <c r="E24" s="5">
        <f t="shared" ref="E24:I24" si="6">E22*(1-$B$6)</f>
        <v>3608423910</v>
      </c>
      <c r="F24" s="5">
        <f t="shared" si="6"/>
        <v>3608423910</v>
      </c>
      <c r="G24" s="5">
        <f t="shared" si="6"/>
        <v>3500171192.7000003</v>
      </c>
      <c r="H24" s="5">
        <f t="shared" si="6"/>
        <v>3605176328.4810004</v>
      </c>
      <c r="I24" s="5">
        <f t="shared" si="6"/>
        <v>3641228091.7658095</v>
      </c>
      <c r="P24" s="57">
        <v>44652</v>
      </c>
      <c r="Q24" s="6">
        <v>97.36</v>
      </c>
      <c r="R24" s="6">
        <v>4271.78</v>
      </c>
      <c r="S24" s="6">
        <v>12839.29</v>
      </c>
      <c r="T24" s="6">
        <v>33811.4</v>
      </c>
      <c r="U24" s="57">
        <v>44652</v>
      </c>
      <c r="V24" s="60">
        <f t="shared" si="0"/>
        <v>84.579966988098349</v>
      </c>
      <c r="W24" s="59">
        <f t="shared" si="1"/>
        <v>97.190609884284413</v>
      </c>
      <c r="X24" s="59">
        <f t="shared" si="2"/>
        <v>87.504736694318979</v>
      </c>
      <c r="Y24" s="59">
        <f t="shared" si="3"/>
        <v>96.434413196222067</v>
      </c>
    </row>
    <row r="25" spans="1:25" x14ac:dyDescent="0.25">
      <c r="A25" s="4" t="s">
        <v>25</v>
      </c>
      <c r="B25" s="8" t="s">
        <v>85</v>
      </c>
      <c r="C25" s="25">
        <v>0.03</v>
      </c>
      <c r="D25" s="12">
        <f>D21*$C$25</f>
        <v>635700000</v>
      </c>
      <c r="E25" s="12">
        <f t="shared" ref="E25:I25" si="7">E21*$C$25</f>
        <v>648414000</v>
      </c>
      <c r="F25" s="12">
        <f t="shared" si="7"/>
        <v>648414000</v>
      </c>
      <c r="G25" s="12">
        <f t="shared" si="7"/>
        <v>628961580</v>
      </c>
      <c r="H25" s="12">
        <f t="shared" si="7"/>
        <v>647830427.39999998</v>
      </c>
      <c r="I25" s="12">
        <f t="shared" si="7"/>
        <v>654308731.67399991</v>
      </c>
      <c r="P25" s="57">
        <v>44682</v>
      </c>
      <c r="Q25" s="6">
        <v>95.59</v>
      </c>
      <c r="R25" s="6">
        <v>4158.24</v>
      </c>
      <c r="S25" s="6">
        <v>11354.62</v>
      </c>
      <c r="T25" s="6">
        <v>33212.959999999999</v>
      </c>
      <c r="U25" s="57">
        <v>44682</v>
      </c>
      <c r="V25" s="60">
        <f t="shared" si="0"/>
        <v>83.04230735817913</v>
      </c>
      <c r="W25" s="60">
        <f t="shared" si="1"/>
        <v>94.607372487634393</v>
      </c>
      <c r="X25" s="60">
        <f t="shared" si="2"/>
        <v>77.386135320882076</v>
      </c>
      <c r="Y25" s="60">
        <f t="shared" si="3"/>
        <v>94.727586201979079</v>
      </c>
    </row>
    <row r="26" spans="1:25" x14ac:dyDescent="0.25">
      <c r="A26" t="s">
        <v>26</v>
      </c>
      <c r="B26" t="s">
        <v>96</v>
      </c>
      <c r="C26" s="56">
        <v>0.1</v>
      </c>
      <c r="D26" s="10">
        <f>D21*$C$26</f>
        <v>2119000000</v>
      </c>
      <c r="E26" s="10">
        <f t="shared" ref="E26:I26" si="8">E21*$C$26</f>
        <v>2161380000</v>
      </c>
      <c r="F26" s="10">
        <f t="shared" si="8"/>
        <v>2161380000</v>
      </c>
      <c r="G26" s="10">
        <f t="shared" si="8"/>
        <v>2096538600</v>
      </c>
      <c r="H26" s="10">
        <f t="shared" si="8"/>
        <v>2159434758</v>
      </c>
      <c r="I26" s="10">
        <f t="shared" si="8"/>
        <v>2181029105.5799999</v>
      </c>
      <c r="P26" s="57">
        <v>44713</v>
      </c>
      <c r="Q26" s="6">
        <v>92.58</v>
      </c>
      <c r="R26" s="6">
        <v>3911.74</v>
      </c>
      <c r="S26" s="6">
        <v>11127.85</v>
      </c>
      <c r="T26" s="6">
        <v>31097.26</v>
      </c>
      <c r="U26" s="57">
        <v>44713</v>
      </c>
      <c r="V26" s="60">
        <f t="shared" si="0"/>
        <v>80.427417253062288</v>
      </c>
      <c r="W26" s="60">
        <f t="shared" si="1"/>
        <v>88.999058076200271</v>
      </c>
      <c r="X26" s="60">
        <f t="shared" si="2"/>
        <v>75.840609895397435</v>
      </c>
      <c r="Y26" s="60">
        <f t="shared" si="3"/>
        <v>88.693340710835642</v>
      </c>
    </row>
    <row r="27" spans="1:25" x14ac:dyDescent="0.25">
      <c r="A27" t="s">
        <v>27</v>
      </c>
      <c r="B27" t="s">
        <v>94</v>
      </c>
      <c r="C27" s="25">
        <v>0.06</v>
      </c>
      <c r="D27" s="10">
        <f>D21*$C$27</f>
        <v>1271400000</v>
      </c>
      <c r="E27" s="10">
        <f t="shared" ref="E27:I27" si="9">E21*$C$27</f>
        <v>1296828000</v>
      </c>
      <c r="F27" s="10">
        <f t="shared" si="9"/>
        <v>1296828000</v>
      </c>
      <c r="G27" s="10">
        <f t="shared" si="9"/>
        <v>1257923160</v>
      </c>
      <c r="H27" s="10">
        <f t="shared" si="9"/>
        <v>1295660854.8</v>
      </c>
      <c r="I27" s="10">
        <f t="shared" si="9"/>
        <v>1308617463.3479998</v>
      </c>
      <c r="P27" s="57">
        <v>44743</v>
      </c>
      <c r="Q27" s="60">
        <v>105.68</v>
      </c>
      <c r="R27" s="6">
        <v>4130.29</v>
      </c>
      <c r="S27" s="6">
        <v>12390.69</v>
      </c>
      <c r="T27" s="6">
        <v>32845.129999999997</v>
      </c>
      <c r="U27" s="57">
        <v>44743</v>
      </c>
      <c r="V27" s="60">
        <f t="shared" si="0"/>
        <v>91.807835982972819</v>
      </c>
      <c r="W27" s="59">
        <f t="shared" si="1"/>
        <v>93.971460163903842</v>
      </c>
      <c r="X27" s="59">
        <f t="shared" si="2"/>
        <v>84.447353857645638</v>
      </c>
      <c r="Y27" s="59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782970500</v>
      </c>
      <c r="E28" s="12">
        <f t="shared" ref="E28:I28" si="10">E24+E25-E26-E27</f>
        <v>798629910</v>
      </c>
      <c r="F28" s="12">
        <f t="shared" si="10"/>
        <v>798629910</v>
      </c>
      <c r="G28" s="12">
        <f t="shared" si="10"/>
        <v>774671012.70000029</v>
      </c>
      <c r="H28" s="12">
        <f t="shared" si="10"/>
        <v>797911143.08100057</v>
      </c>
      <c r="I28" s="12">
        <f t="shared" si="10"/>
        <v>805890254.51181006</v>
      </c>
      <c r="P28" s="57">
        <v>44774</v>
      </c>
      <c r="Q28" s="6">
        <v>101.44</v>
      </c>
      <c r="R28" s="6">
        <v>3924.26</v>
      </c>
      <c r="S28" s="6">
        <v>12141.71</v>
      </c>
      <c r="T28" s="6">
        <v>31318.44</v>
      </c>
      <c r="U28" s="57">
        <v>44774</v>
      </c>
      <c r="V28" s="60">
        <f t="shared" si="0"/>
        <v>88.124402745200243</v>
      </c>
      <c r="W28" s="60">
        <f t="shared" si="1"/>
        <v>89.28391039437939</v>
      </c>
      <c r="X28" s="60">
        <f t="shared" si="2"/>
        <v>82.750458675579367</v>
      </c>
      <c r="Y28" s="60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7">
        <v>44805</v>
      </c>
      <c r="Q29" s="6">
        <v>97.95</v>
      </c>
      <c r="R29" s="6">
        <v>3585.62</v>
      </c>
      <c r="S29" s="6">
        <v>10867.93</v>
      </c>
      <c r="T29" s="6">
        <v>30822.42</v>
      </c>
      <c r="U29" s="57">
        <v>44805</v>
      </c>
      <c r="V29" s="60">
        <f t="shared" si="0"/>
        <v>85.092520198071412</v>
      </c>
      <c r="W29" s="60">
        <f t="shared" si="1"/>
        <v>81.579246733981606</v>
      </c>
      <c r="X29" s="60">
        <f t="shared" si="2"/>
        <v>74.069154373979401</v>
      </c>
      <c r="Y29" s="60">
        <f t="shared" si="3"/>
        <v>87.90946207455174</v>
      </c>
    </row>
    <row r="30" spans="1:25" x14ac:dyDescent="0.25">
      <c r="A30" t="s">
        <v>36</v>
      </c>
      <c r="C30" s="13">
        <f>-G39</f>
        <v>-56720000000</v>
      </c>
      <c r="D30" s="5">
        <f>D28</f>
        <v>782970500</v>
      </c>
      <c r="E30" s="5">
        <f t="shared" ref="E30:I30" si="11">E28</f>
        <v>798629910</v>
      </c>
      <c r="F30" s="5">
        <f t="shared" si="11"/>
        <v>798629910</v>
      </c>
      <c r="G30" s="5">
        <f t="shared" si="11"/>
        <v>774671012.70000029</v>
      </c>
      <c r="H30" s="5">
        <f t="shared" si="11"/>
        <v>797911143.08100057</v>
      </c>
      <c r="I30" s="5">
        <f t="shared" si="11"/>
        <v>805890254.51181006</v>
      </c>
      <c r="J30" s="13">
        <f>I28+M22</f>
        <v>41019079426.831879</v>
      </c>
      <c r="K30" t="s">
        <v>38</v>
      </c>
      <c r="P30" s="57">
        <v>44835</v>
      </c>
      <c r="Q30" s="6">
        <v>102.6</v>
      </c>
      <c r="R30" s="6">
        <v>3901.06</v>
      </c>
      <c r="S30" s="6">
        <v>11102.45</v>
      </c>
      <c r="T30" s="6">
        <v>32861.800000000003</v>
      </c>
      <c r="U30" s="57">
        <v>44835</v>
      </c>
      <c r="V30" s="60">
        <f t="shared" si="0"/>
        <v>89.132134480062547</v>
      </c>
      <c r="W30" s="59">
        <f t="shared" si="1"/>
        <v>88.756069038009116</v>
      </c>
      <c r="X30" s="59">
        <f t="shared" si="2"/>
        <v>75.667499052661142</v>
      </c>
      <c r="Y30" s="59">
        <f t="shared" si="3"/>
        <v>93.726033218725362</v>
      </c>
    </row>
    <row r="31" spans="1:25" x14ac:dyDescent="0.25">
      <c r="A31" t="s">
        <v>37</v>
      </c>
      <c r="D31" s="6">
        <f>1/(1+$B$7)^D29</f>
        <v>0.9658793129995743</v>
      </c>
      <c r="E31" s="6">
        <f t="shared" ref="E31:I31" si="12">1/(1+$B$7)^E29</f>
        <v>0.90109087881292504</v>
      </c>
      <c r="F31" s="6">
        <f t="shared" si="12"/>
        <v>0.84064826832066886</v>
      </c>
      <c r="G31" s="6">
        <f t="shared" si="12"/>
        <v>0.78425997604316533</v>
      </c>
      <c r="H31" s="6">
        <f t="shared" si="12"/>
        <v>0.73165404985834981</v>
      </c>
      <c r="I31" s="6">
        <f t="shared" si="12"/>
        <v>0.70668951103053923</v>
      </c>
      <c r="J31" t="s">
        <v>39</v>
      </c>
      <c r="P31" s="57">
        <v>44866</v>
      </c>
      <c r="Q31" s="6">
        <v>102.49</v>
      </c>
      <c r="R31" s="6">
        <v>4026.12</v>
      </c>
      <c r="S31" s="6">
        <v>11226.36</v>
      </c>
      <c r="T31" s="6">
        <v>34429.879999999997</v>
      </c>
      <c r="U31" s="57">
        <v>44866</v>
      </c>
      <c r="V31" s="60">
        <f t="shared" si="0"/>
        <v>89.036573712101458</v>
      </c>
      <c r="W31" s="60">
        <f t="shared" si="1"/>
        <v>91.601406970236113</v>
      </c>
      <c r="X31" s="60">
        <f t="shared" si="2"/>
        <v>76.511993718938882</v>
      </c>
      <c r="Y31" s="60">
        <f t="shared" si="3"/>
        <v>98.198396819307746</v>
      </c>
    </row>
    <row r="32" spans="1:25" x14ac:dyDescent="0.25">
      <c r="A32" t="s">
        <v>40</v>
      </c>
      <c r="C32" s="13">
        <f>-G39</f>
        <v>-56720000000</v>
      </c>
      <c r="D32" s="5">
        <f>D30*D31</f>
        <v>756255008.63893318</v>
      </c>
      <c r="E32" s="5">
        <f t="shared" ref="E32:I32" si="13">E30*E31</f>
        <v>719638127.44818723</v>
      </c>
      <c r="F32" s="5">
        <f t="shared" si="13"/>
        <v>671366850.87059164</v>
      </c>
      <c r="G32" s="5">
        <f t="shared" si="13"/>
        <v>607543469.86143684</v>
      </c>
      <c r="H32" s="5">
        <f t="shared" si="13"/>
        <v>583794919.26231933</v>
      </c>
      <c r="I32" s="5">
        <f t="shared" si="13"/>
        <v>569514189.9052279</v>
      </c>
      <c r="J32" s="14">
        <f>M22</f>
        <v>40213189172.320068</v>
      </c>
      <c r="P32" s="57">
        <v>44896</v>
      </c>
      <c r="Q32" s="6">
        <v>101.07</v>
      </c>
      <c r="R32" s="6">
        <v>3839.5</v>
      </c>
      <c r="S32" s="6">
        <v>10466.48</v>
      </c>
      <c r="T32" s="6">
        <v>33203.93</v>
      </c>
      <c r="U32" s="57">
        <v>44896</v>
      </c>
      <c r="V32" s="60">
        <f t="shared" si="0"/>
        <v>87.802971071149329</v>
      </c>
      <c r="W32" s="60">
        <f t="shared" si="1"/>
        <v>87.355469301019724</v>
      </c>
      <c r="X32" s="60">
        <f t="shared" si="2"/>
        <v>71.333117058369695</v>
      </c>
      <c r="Y32" s="60">
        <f t="shared" si="3"/>
        <v>94.701831493473605</v>
      </c>
    </row>
    <row r="33" spans="1:25" x14ac:dyDescent="0.25">
      <c r="A33" t="s">
        <v>56</v>
      </c>
      <c r="C33" s="29">
        <v>-56720</v>
      </c>
      <c r="D33" s="44">
        <v>756</v>
      </c>
      <c r="E33" s="24">
        <v>720</v>
      </c>
      <c r="F33" s="24">
        <v>671</v>
      </c>
      <c r="G33" s="24">
        <v>608</v>
      </c>
      <c r="H33" s="24">
        <v>584</v>
      </c>
      <c r="I33" s="24">
        <v>570</v>
      </c>
      <c r="J33" s="24">
        <v>40213</v>
      </c>
      <c r="P33" s="57">
        <v>44927</v>
      </c>
      <c r="Q33" s="6">
        <v>106.6</v>
      </c>
      <c r="R33" s="6">
        <v>4070.56</v>
      </c>
      <c r="S33" s="6">
        <v>11140.43</v>
      </c>
      <c r="T33" s="6">
        <v>33375.49</v>
      </c>
      <c r="U33" s="57">
        <v>44927</v>
      </c>
      <c r="V33" s="60">
        <f t="shared" si="0"/>
        <v>92.607071496829121</v>
      </c>
      <c r="W33" s="59">
        <f t="shared" si="1"/>
        <v>92.61249618907641</v>
      </c>
      <c r="X33" s="59">
        <f t="shared" si="2"/>
        <v>75.92634747026446</v>
      </c>
      <c r="Y33" s="59">
        <f t="shared" si="3"/>
        <v>95.19114243380568</v>
      </c>
    </row>
    <row r="34" spans="1:25" x14ac:dyDescent="0.25">
      <c r="P34" s="57">
        <v>44958</v>
      </c>
      <c r="Q34" s="6">
        <v>114.45</v>
      </c>
      <c r="R34" s="6">
        <v>4045.64</v>
      </c>
      <c r="S34" s="6">
        <v>11689.01</v>
      </c>
      <c r="T34" s="6">
        <v>32816.92</v>
      </c>
      <c r="U34" s="57">
        <v>44958</v>
      </c>
      <c r="V34" s="60">
        <f t="shared" si="0"/>
        <v>99.426635392233521</v>
      </c>
      <c r="W34" s="60">
        <f t="shared" si="1"/>
        <v>92.045521766630415</v>
      </c>
      <c r="X34" s="60">
        <f t="shared" si="2"/>
        <v>79.665132750117905</v>
      </c>
      <c r="Y34" s="60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7">
        <v>44986</v>
      </c>
      <c r="Q35" s="6">
        <v>108.17</v>
      </c>
      <c r="R35" s="6">
        <v>3970.99</v>
      </c>
      <c r="S35" s="6">
        <v>11823.96</v>
      </c>
      <c r="T35" s="6">
        <v>33274.15</v>
      </c>
      <c r="U35" s="57">
        <v>44986</v>
      </c>
      <c r="V35" s="60">
        <f t="shared" si="0"/>
        <v>93.970984275909998</v>
      </c>
      <c r="W35" s="60">
        <f t="shared" si="1"/>
        <v>90.347101195378642</v>
      </c>
      <c r="X35" s="60">
        <f t="shared" si="2"/>
        <v>80.584869294498347</v>
      </c>
      <c r="Y35" s="60">
        <f t="shared" si="3"/>
        <v>94.902107864598108</v>
      </c>
    </row>
    <row r="36" spans="1:25" x14ac:dyDescent="0.25">
      <c r="A36" s="13" t="s">
        <v>42</v>
      </c>
      <c r="B36" s="17">
        <f>SUM(D32:I32)</f>
        <v>3908112565.9866962</v>
      </c>
      <c r="C36" t="s">
        <v>45</v>
      </c>
      <c r="F36" t="s">
        <v>33</v>
      </c>
      <c r="G36" s="15">
        <f>B13*B12</f>
        <v>28249000000</v>
      </c>
      <c r="H36" t="s">
        <v>34</v>
      </c>
      <c r="L36" s="3" t="s">
        <v>51</v>
      </c>
      <c r="P36" s="57">
        <v>45017</v>
      </c>
      <c r="Q36" s="6">
        <v>116.96</v>
      </c>
      <c r="R36" s="6">
        <v>4133.5200000000004</v>
      </c>
      <c r="S36" s="6">
        <v>12072.46</v>
      </c>
      <c r="T36" s="6">
        <v>33808.959999999999</v>
      </c>
      <c r="U36" s="57">
        <v>45017</v>
      </c>
      <c r="V36" s="60">
        <f t="shared" si="0"/>
        <v>101.60715837025454</v>
      </c>
      <c r="W36" s="59">
        <f t="shared" si="1"/>
        <v>94.044948421708852</v>
      </c>
      <c r="X36" s="59">
        <f t="shared" si="2"/>
        <v>82.278493090560133</v>
      </c>
      <c r="Y36" s="59">
        <f t="shared" si="3"/>
        <v>96.427454005883931</v>
      </c>
    </row>
    <row r="37" spans="1:25" x14ac:dyDescent="0.25">
      <c r="A37" t="s">
        <v>11</v>
      </c>
      <c r="B37" s="19">
        <f>B15</f>
        <v>829000000</v>
      </c>
      <c r="F37" t="s">
        <v>10</v>
      </c>
      <c r="G37" s="14">
        <f>B14</f>
        <v>29300000000</v>
      </c>
      <c r="L37" t="s">
        <v>52</v>
      </c>
      <c r="M37" s="21">
        <f>(B40/B12)-1</f>
        <v>-0.72299370352389891</v>
      </c>
      <c r="P37" s="57">
        <v>45047</v>
      </c>
      <c r="Q37" s="6">
        <v>113.77</v>
      </c>
      <c r="R37" s="6">
        <v>4282.37</v>
      </c>
      <c r="S37" s="6">
        <v>13240.77</v>
      </c>
      <c r="T37" s="6">
        <v>33093.339999999997</v>
      </c>
      <c r="U37" s="57">
        <v>45047</v>
      </c>
      <c r="V37" s="60">
        <f t="shared" si="0"/>
        <v>98.835896099383191</v>
      </c>
      <c r="W37" s="60">
        <f t="shared" si="1"/>
        <v>97.431551262041367</v>
      </c>
      <c r="X37" s="60">
        <f t="shared" si="2"/>
        <v>90.24097847155393</v>
      </c>
      <c r="Y37" s="60">
        <f t="shared" si="3"/>
        <v>94.386414747779241</v>
      </c>
    </row>
    <row r="38" spans="1:25" x14ac:dyDescent="0.25">
      <c r="A38" t="s">
        <v>10</v>
      </c>
      <c r="B38" s="19">
        <f>B14</f>
        <v>29300000000</v>
      </c>
      <c r="C38" s="3"/>
      <c r="F38" t="s">
        <v>11</v>
      </c>
      <c r="G38" s="14">
        <f>B15</f>
        <v>829000000</v>
      </c>
      <c r="L38" t="s">
        <v>53</v>
      </c>
      <c r="M38" s="23">
        <f>IRR(C33:J33)</f>
        <v>-3.680427776710038E-2</v>
      </c>
      <c r="N38" t="s">
        <v>57</v>
      </c>
      <c r="P38" s="57">
        <v>45078</v>
      </c>
      <c r="Q38" s="6">
        <v>120.49</v>
      </c>
      <c r="R38" s="6">
        <v>4450.38</v>
      </c>
      <c r="S38" s="6">
        <v>13492.52</v>
      </c>
      <c r="T38" s="6">
        <v>33727.43</v>
      </c>
      <c r="U38" s="57">
        <v>45078</v>
      </c>
      <c r="V38" s="60">
        <f t="shared" si="0"/>
        <v>104.67379028755104</v>
      </c>
      <c r="W38" s="60">
        <f t="shared" si="1"/>
        <v>101.25407825703144</v>
      </c>
      <c r="X38" s="60">
        <f t="shared" si="2"/>
        <v>91.956752277020968</v>
      </c>
      <c r="Y38" s="60">
        <f t="shared" si="3"/>
        <v>96.194920076265873</v>
      </c>
    </row>
    <row r="39" spans="1:25" x14ac:dyDescent="0.25">
      <c r="A39" t="s">
        <v>44</v>
      </c>
      <c r="B39" s="17">
        <f>(((B36+B37)-B38)+(M22))/2</f>
        <v>7825150869.1533813</v>
      </c>
      <c r="C39" t="s">
        <v>75</v>
      </c>
      <c r="F39" t="s">
        <v>30</v>
      </c>
      <c r="G39" s="13">
        <f>G36+G37-G38</f>
        <v>56720000000</v>
      </c>
      <c r="H39" t="s">
        <v>32</v>
      </c>
      <c r="P39" s="57">
        <v>45108</v>
      </c>
      <c r="Q39" s="6">
        <v>124.99</v>
      </c>
      <c r="R39" s="6">
        <v>4582.2299999999996</v>
      </c>
      <c r="S39" s="6">
        <v>14032.81</v>
      </c>
      <c r="T39" s="6">
        <v>35065.620000000003</v>
      </c>
      <c r="U39" s="57">
        <v>45108</v>
      </c>
      <c r="V39" s="60">
        <f t="shared" si="0"/>
        <v>108.58309443141343</v>
      </c>
      <c r="W39" s="59">
        <f t="shared" si="1"/>
        <v>104.25390079312713</v>
      </c>
      <c r="X39" s="59">
        <f t="shared" si="2"/>
        <v>95.639037994422281</v>
      </c>
      <c r="Y39" s="59">
        <f t="shared" si="3"/>
        <v>100.01160815765418</v>
      </c>
    </row>
    <row r="40" spans="1:25" x14ac:dyDescent="0.25">
      <c r="A40" t="s">
        <v>72</v>
      </c>
      <c r="B40" s="20">
        <f>B39/B13</f>
        <v>14.681333713233361</v>
      </c>
      <c r="C40" t="s">
        <v>76</v>
      </c>
      <c r="F40" t="s">
        <v>48</v>
      </c>
      <c r="G40" s="16">
        <f>G39/B13</f>
        <v>106.41651031894935</v>
      </c>
      <c r="H40" t="s">
        <v>49</v>
      </c>
      <c r="L40" s="45" t="s">
        <v>84</v>
      </c>
      <c r="M40" s="46"/>
      <c r="P40" s="57">
        <v>45139</v>
      </c>
      <c r="Q40" s="6">
        <v>121.48</v>
      </c>
      <c r="R40" s="6">
        <v>4515.7700000000004</v>
      </c>
      <c r="S40" s="6">
        <v>13590.65</v>
      </c>
      <c r="T40" s="6">
        <v>34837.71</v>
      </c>
      <c r="U40" s="57">
        <v>45139</v>
      </c>
      <c r="V40" s="60">
        <f t="shared" si="0"/>
        <v>105.53383719920078</v>
      </c>
      <c r="W40" s="60">
        <f t="shared" si="1"/>
        <v>102.74181732138715</v>
      </c>
      <c r="X40" s="60">
        <f t="shared" si="2"/>
        <v>92.625546253308869</v>
      </c>
      <c r="Y40" s="60">
        <f t="shared" si="3"/>
        <v>99.361579850291832</v>
      </c>
    </row>
    <row r="41" spans="1:25" x14ac:dyDescent="0.25">
      <c r="A41" t="s">
        <v>46</v>
      </c>
      <c r="B41" s="22">
        <f>(B40/B12)-1</f>
        <v>-0.72299370352389891</v>
      </c>
      <c r="C41" t="s">
        <v>47</v>
      </c>
      <c r="F41" t="s">
        <v>46</v>
      </c>
      <c r="G41" s="21">
        <f>(G40/B12)-1</f>
        <v>1.0078586852631952</v>
      </c>
      <c r="H41" t="s">
        <v>50</v>
      </c>
      <c r="L41" s="47" t="s">
        <v>41</v>
      </c>
      <c r="M41" s="48">
        <f>B40</f>
        <v>14.681333713233361</v>
      </c>
      <c r="P41" s="57">
        <v>45170</v>
      </c>
      <c r="Q41" s="6">
        <v>112.96</v>
      </c>
      <c r="R41" s="6">
        <v>4320.0600000000004</v>
      </c>
      <c r="S41" s="6">
        <v>13211.81</v>
      </c>
      <c r="T41" s="6">
        <v>33507.5</v>
      </c>
      <c r="U41" s="57">
        <v>45170</v>
      </c>
      <c r="V41" s="60">
        <f t="shared" si="0"/>
        <v>98.132221353487964</v>
      </c>
      <c r="W41" s="60">
        <f t="shared" si="1"/>
        <v>98.289065948317059</v>
      </c>
      <c r="X41" s="60">
        <f t="shared" si="2"/>
        <v>90.04360484928452</v>
      </c>
      <c r="Y41" s="60">
        <f t="shared" si="3"/>
        <v>95.567651743861859</v>
      </c>
    </row>
    <row r="42" spans="1:25" x14ac:dyDescent="0.25">
      <c r="L42" s="47" t="s">
        <v>8</v>
      </c>
      <c r="M42" s="52">
        <f>B12</f>
        <v>53</v>
      </c>
      <c r="P42" s="57">
        <v>45200</v>
      </c>
      <c r="Q42" s="6">
        <v>119.54</v>
      </c>
      <c r="R42" s="6">
        <v>4117.37</v>
      </c>
      <c r="S42" s="6">
        <v>12643.01</v>
      </c>
      <c r="T42" s="6">
        <v>34061.32</v>
      </c>
      <c r="U42" s="57">
        <v>45200</v>
      </c>
      <c r="V42" s="60">
        <f t="shared" si="0"/>
        <v>103.84849274606897</v>
      </c>
      <c r="W42" s="59">
        <f t="shared" si="1"/>
        <v>93.677507132683829</v>
      </c>
      <c r="X42" s="59">
        <f t="shared" si="2"/>
        <v>86.16701243399298</v>
      </c>
      <c r="Y42" s="59">
        <f t="shared" si="3"/>
        <v>97.147216822986991</v>
      </c>
    </row>
    <row r="43" spans="1:25" x14ac:dyDescent="0.25">
      <c r="L43" s="47" t="s">
        <v>87</v>
      </c>
      <c r="M43" s="48">
        <f>(B40-B12)</f>
        <v>-38.318666286766643</v>
      </c>
      <c r="P43" s="57">
        <v>45231</v>
      </c>
      <c r="Q43" s="6">
        <v>130.61000000000001</v>
      </c>
      <c r="R43" s="6">
        <v>4559.34</v>
      </c>
      <c r="S43" s="6">
        <v>14250.85</v>
      </c>
      <c r="T43" s="6">
        <v>36245.5</v>
      </c>
      <c r="U43" s="57">
        <v>45231</v>
      </c>
      <c r="V43" s="60">
        <f t="shared" si="0"/>
        <v>113.46538093997047</v>
      </c>
      <c r="W43" s="60">
        <f t="shared" si="1"/>
        <v>103.73311248936355</v>
      </c>
      <c r="X43" s="60">
        <f t="shared" si="2"/>
        <v>97.125065086950713</v>
      </c>
      <c r="Y43" s="60">
        <f t="shared" si="3"/>
        <v>103.37677598394821</v>
      </c>
    </row>
    <row r="44" spans="1:25" x14ac:dyDescent="0.25">
      <c r="L44" s="47" t="s">
        <v>86</v>
      </c>
      <c r="M44" s="53">
        <f>((B40-B12)/(B12))</f>
        <v>-0.72299370352389891</v>
      </c>
      <c r="P44" s="57">
        <v>45261</v>
      </c>
      <c r="Q44" s="6">
        <v>133.61000000000001</v>
      </c>
      <c r="R44" s="6">
        <v>4769.83</v>
      </c>
      <c r="S44" s="6">
        <v>14992.97</v>
      </c>
      <c r="T44" s="6">
        <v>37689.54</v>
      </c>
      <c r="U44" s="57">
        <v>45261</v>
      </c>
      <c r="V44" s="60">
        <f t="shared" si="0"/>
        <v>116.0715837025454</v>
      </c>
      <c r="W44" s="60">
        <f t="shared" si="1"/>
        <v>108.52213520929364</v>
      </c>
      <c r="X44" s="60">
        <f t="shared" si="2"/>
        <v>102.18290046535465</v>
      </c>
      <c r="Y44" s="60">
        <f t="shared" si="3"/>
        <v>107.4953617281609</v>
      </c>
    </row>
    <row r="45" spans="1:25" x14ac:dyDescent="0.25">
      <c r="L45" s="47"/>
      <c r="M45" s="49"/>
      <c r="P45" s="57">
        <v>45292</v>
      </c>
      <c r="Q45" s="6">
        <v>139.02000000000001</v>
      </c>
      <c r="R45" s="6">
        <v>4958.6099999999997</v>
      </c>
      <c r="S45" s="6">
        <v>15628.95</v>
      </c>
      <c r="T45" s="6">
        <v>38109.43</v>
      </c>
      <c r="U45" s="57">
        <v>45292</v>
      </c>
      <c r="V45" s="60">
        <f t="shared" si="0"/>
        <v>120.77143601772218</v>
      </c>
      <c r="W45" s="59">
        <f t="shared" si="1"/>
        <v>112.8172167289307</v>
      </c>
      <c r="X45" s="59">
        <f t="shared" si="2"/>
        <v>106.51735061352119</v>
      </c>
      <c r="Y45" s="59">
        <f t="shared" si="3"/>
        <v>108.69294141302936</v>
      </c>
    </row>
    <row r="46" spans="1:25" x14ac:dyDescent="0.25">
      <c r="L46" s="50" t="s">
        <v>54</v>
      </c>
      <c r="M46" s="49"/>
      <c r="P46" s="57">
        <v>45323</v>
      </c>
      <c r="Q46" s="6">
        <v>150.35</v>
      </c>
      <c r="R46" s="6">
        <v>5137.08</v>
      </c>
      <c r="S46" s="6">
        <v>16274.94</v>
      </c>
      <c r="T46" s="6">
        <v>39087.379999999997</v>
      </c>
      <c r="U46" s="57">
        <v>45323</v>
      </c>
      <c r="V46" s="60">
        <f t="shared" si="0"/>
        <v>130.61419511771348</v>
      </c>
      <c r="W46" s="60">
        <f t="shared" si="1"/>
        <v>116.87772736993942</v>
      </c>
      <c r="X46" s="60">
        <f t="shared" si="2"/>
        <v>110.92002279065582</v>
      </c>
      <c r="Y46" s="60">
        <f t="shared" si="3"/>
        <v>111.48217919629906</v>
      </c>
    </row>
    <row r="47" spans="1:25" x14ac:dyDescent="0.25">
      <c r="L47" s="47" t="s">
        <v>41</v>
      </c>
      <c r="M47" s="48">
        <f>B40</f>
        <v>14.681333713233361</v>
      </c>
      <c r="P47" s="57">
        <v>45352</v>
      </c>
      <c r="Q47" s="6">
        <v>156.29</v>
      </c>
      <c r="R47" s="6">
        <v>5234.18</v>
      </c>
      <c r="S47" s="6">
        <v>16428.82</v>
      </c>
      <c r="T47" s="6">
        <v>39807.370000000003</v>
      </c>
      <c r="U47" s="57">
        <v>45352</v>
      </c>
      <c r="V47" s="60">
        <f t="shared" si="0"/>
        <v>135.77447658761184</v>
      </c>
      <c r="W47" s="60">
        <f t="shared" si="1"/>
        <v>119.08692546060983</v>
      </c>
      <c r="X47" s="60">
        <f t="shared" si="2"/>
        <v>111.96877462058737</v>
      </c>
      <c r="Y47" s="60">
        <f t="shared" si="3"/>
        <v>113.53568225021426</v>
      </c>
    </row>
    <row r="48" spans="1:25" x14ac:dyDescent="0.25">
      <c r="L48" s="47" t="s">
        <v>31</v>
      </c>
      <c r="M48" s="48">
        <f>G40</f>
        <v>106.41651031894935</v>
      </c>
      <c r="P48" s="57">
        <v>45383</v>
      </c>
      <c r="Q48" s="6">
        <v>149.22</v>
      </c>
      <c r="R48" s="6">
        <v>4967.2299999999996</v>
      </c>
      <c r="S48" s="6">
        <v>15282.01</v>
      </c>
      <c r="T48" s="6">
        <v>37986.400000000001</v>
      </c>
      <c r="U48" s="57">
        <v>45383</v>
      </c>
      <c r="V48" s="60">
        <f t="shared" si="0"/>
        <v>129.63252541047694</v>
      </c>
      <c r="W48" s="59">
        <f t="shared" si="1"/>
        <v>113.01333709496137</v>
      </c>
      <c r="X48" s="59">
        <f t="shared" si="2"/>
        <v>104.15282007104361</v>
      </c>
      <c r="Y48" s="59">
        <f t="shared" si="3"/>
        <v>108.34204420511928</v>
      </c>
    </row>
    <row r="49" spans="12:25" x14ac:dyDescent="0.25">
      <c r="L49" s="47" t="s">
        <v>87</v>
      </c>
      <c r="M49" s="48">
        <f>-(G40-B40)</f>
        <v>-91.735176605715992</v>
      </c>
      <c r="P49" s="57">
        <v>45413</v>
      </c>
      <c r="Q49" s="6">
        <v>150.34</v>
      </c>
      <c r="R49" s="6">
        <v>5277.51</v>
      </c>
      <c r="S49" s="6">
        <v>16735.02</v>
      </c>
      <c r="T49" s="6">
        <v>38686.32</v>
      </c>
      <c r="U49" s="57">
        <v>45413</v>
      </c>
      <c r="V49" s="60">
        <f t="shared" si="0"/>
        <v>130.60550777517156</v>
      </c>
      <c r="W49" s="60">
        <f t="shared" si="1"/>
        <v>120.07276020076172</v>
      </c>
      <c r="X49" s="60">
        <f t="shared" si="2"/>
        <v>114.05564627593596</v>
      </c>
      <c r="Y49" s="60">
        <f t="shared" si="3"/>
        <v>110.33830506637612</v>
      </c>
    </row>
    <row r="50" spans="12:25" x14ac:dyDescent="0.25">
      <c r="L50" s="51" t="s">
        <v>86</v>
      </c>
      <c r="M50" s="54">
        <f>((B40-G40)/(G40))</f>
        <v>-0.86203894800505321</v>
      </c>
      <c r="P50" s="57">
        <v>45444</v>
      </c>
      <c r="Q50" s="6">
        <v>149.04</v>
      </c>
      <c r="R50" s="6">
        <v>5464.62</v>
      </c>
      <c r="S50" s="6">
        <v>17689.36</v>
      </c>
      <c r="T50" s="6">
        <v>39150.33</v>
      </c>
      <c r="U50" s="57">
        <v>45444</v>
      </c>
      <c r="V50" s="60">
        <f t="shared" si="0"/>
        <v>129.47615324472244</v>
      </c>
      <c r="W50" s="60">
        <f t="shared" si="1"/>
        <v>124.32984624345316</v>
      </c>
      <c r="X50" s="60">
        <f t="shared" si="2"/>
        <v>120.55984319156418</v>
      </c>
      <c r="Y50" s="60">
        <f t="shared" si="3"/>
        <v>111.66172060276855</v>
      </c>
    </row>
    <row r="51" spans="12:25" x14ac:dyDescent="0.25">
      <c r="P51" s="57">
        <v>45474</v>
      </c>
      <c r="Q51" s="6">
        <v>156.04</v>
      </c>
      <c r="R51" s="6">
        <v>5459.1</v>
      </c>
      <c r="S51" s="6">
        <v>17357.88</v>
      </c>
      <c r="T51" s="6">
        <v>40287.53</v>
      </c>
      <c r="U51" s="57">
        <v>45474</v>
      </c>
      <c r="V51" s="60">
        <f t="shared" si="0"/>
        <v>135.55729302406394</v>
      </c>
      <c r="W51" s="59">
        <f t="shared" si="1"/>
        <v>124.20425640348923</v>
      </c>
      <c r="X51" s="59">
        <f t="shared" si="2"/>
        <v>118.30067853998042</v>
      </c>
      <c r="Y51" s="59">
        <f t="shared" si="3"/>
        <v>114.90515964068902</v>
      </c>
    </row>
    <row r="52" spans="12:25" x14ac:dyDescent="0.25">
      <c r="P52" s="57">
        <v>45505</v>
      </c>
      <c r="Q52" s="6">
        <v>174.6</v>
      </c>
      <c r="R52" s="6">
        <v>5648.4</v>
      </c>
      <c r="S52" s="6">
        <v>17877.79</v>
      </c>
      <c r="T52" s="6">
        <v>41175.08</v>
      </c>
      <c r="U52" s="57">
        <v>45505</v>
      </c>
      <c r="V52" s="60">
        <f t="shared" si="0"/>
        <v>151.68100078186083</v>
      </c>
      <c r="W52" s="60">
        <f t="shared" si="1"/>
        <v>128.51116885007937</v>
      </c>
      <c r="X52" s="60">
        <f t="shared" si="2"/>
        <v>121.84406665994216</v>
      </c>
      <c r="Y52" s="60">
        <f t="shared" si="3"/>
        <v>117.43656512618523</v>
      </c>
    </row>
    <row r="53" spans="12:25" x14ac:dyDescent="0.25">
      <c r="P53" s="57">
        <v>45536</v>
      </c>
      <c r="Q53" s="6">
        <v>178.38</v>
      </c>
      <c r="R53" s="6">
        <v>5751.07</v>
      </c>
      <c r="S53" s="6">
        <v>18137.849999999999</v>
      </c>
      <c r="T53" s="6">
        <v>42313</v>
      </c>
      <c r="U53" s="57">
        <v>45536</v>
      </c>
      <c r="V53" s="60">
        <f t="shared" si="0"/>
        <v>154.96481626270523</v>
      </c>
      <c r="W53" s="60">
        <f t="shared" si="1"/>
        <v>130.84709436984389</v>
      </c>
      <c r="X53" s="60">
        <f t="shared" si="2"/>
        <v>123.61647633561148</v>
      </c>
      <c r="Y53" s="60">
        <f t="shared" si="3"/>
        <v>120.68205769568088</v>
      </c>
    </row>
    <row r="54" spans="12:25" x14ac:dyDescent="0.25">
      <c r="P54" s="57">
        <v>45566</v>
      </c>
      <c r="Q54" s="6">
        <v>202.05</v>
      </c>
      <c r="R54" s="6">
        <v>5728.8</v>
      </c>
      <c r="S54" s="6">
        <v>18518.61</v>
      </c>
      <c r="T54" s="6">
        <v>42052.19</v>
      </c>
      <c r="U54" s="57">
        <v>45566</v>
      </c>
      <c r="V54" s="60">
        <f t="shared" si="0"/>
        <v>175.52775605942145</v>
      </c>
      <c r="W54" s="59">
        <f t="shared" si="1"/>
        <v>130.34041217129362</v>
      </c>
      <c r="X54" s="59">
        <f t="shared" si="2"/>
        <v>126.21150328365371</v>
      </c>
      <c r="Y54" s="59">
        <f t="shared" si="3"/>
        <v>119.93819440384124</v>
      </c>
    </row>
    <row r="55" spans="12:25" x14ac:dyDescent="0.25">
      <c r="P55" s="57">
        <v>45597</v>
      </c>
      <c r="Q55" s="6">
        <v>220.96</v>
      </c>
      <c r="R55" s="6">
        <v>5969.34</v>
      </c>
      <c r="S55" s="6">
        <v>19003.650000000001</v>
      </c>
      <c r="T55" s="6">
        <v>44296.51</v>
      </c>
      <c r="U55" s="57">
        <v>45597</v>
      </c>
      <c r="V55" s="60">
        <f t="shared" si="0"/>
        <v>191.95552080618538</v>
      </c>
      <c r="W55" s="60">
        <f t="shared" si="1"/>
        <v>135.81312595841882</v>
      </c>
      <c r="X55" s="60">
        <f t="shared" si="2"/>
        <v>129.51723884116603</v>
      </c>
      <c r="Y55" s="60">
        <f t="shared" si="3"/>
        <v>126.33928049387433</v>
      </c>
    </row>
    <row r="56" spans="12:25" x14ac:dyDescent="0.25">
      <c r="P56" s="57">
        <v>45627</v>
      </c>
      <c r="Q56" s="6">
        <v>206.05</v>
      </c>
      <c r="R56" s="6">
        <v>5942.47</v>
      </c>
      <c r="S56" s="6">
        <v>19722.03</v>
      </c>
      <c r="T56" s="6">
        <v>42840.26</v>
      </c>
      <c r="U56" s="57">
        <v>45627</v>
      </c>
      <c r="V56" s="60">
        <f t="shared" si="0"/>
        <v>179.00269307618802</v>
      </c>
      <c r="W56" s="60">
        <f t="shared" si="1"/>
        <v>135.20178555989861</v>
      </c>
      <c r="X56" s="60">
        <f t="shared" si="2"/>
        <v>134.41327692009912</v>
      </c>
      <c r="Y56" s="60">
        <f t="shared" si="3"/>
        <v>122.18587027669912</v>
      </c>
    </row>
    <row r="57" spans="12:25" x14ac:dyDescent="0.25">
      <c r="P57" s="57">
        <v>45658</v>
      </c>
      <c r="Q57" s="6">
        <v>208.84</v>
      </c>
      <c r="R57" s="6">
        <v>6040.53</v>
      </c>
      <c r="S57" s="6">
        <v>19627.439999999999</v>
      </c>
      <c r="T57" s="6">
        <v>44424.25</v>
      </c>
      <c r="U57" s="57">
        <v>45658</v>
      </c>
      <c r="V57" s="60">
        <f t="shared" si="0"/>
        <v>181.42646164538269</v>
      </c>
      <c r="W57" s="59">
        <f t="shared" si="1"/>
        <v>137.43282536186709</v>
      </c>
      <c r="X57" s="59">
        <f t="shared" si="2"/>
        <v>133.76860941559414</v>
      </c>
      <c r="Y57" s="59">
        <f t="shared" si="3"/>
        <v>126.70361122083878</v>
      </c>
    </row>
    <row r="58" spans="12:25" x14ac:dyDescent="0.25">
      <c r="P58" s="57">
        <v>45689</v>
      </c>
      <c r="Q58" s="6">
        <v>232.34</v>
      </c>
      <c r="R58" s="6">
        <v>5954.5</v>
      </c>
      <c r="S58" s="6">
        <v>19524.009999999998</v>
      </c>
      <c r="T58" s="6">
        <v>43840.91</v>
      </c>
      <c r="U58" s="57">
        <v>45689</v>
      </c>
      <c r="V58" s="60">
        <f t="shared" si="0"/>
        <v>201.8417166188863</v>
      </c>
      <c r="W58" s="60">
        <f t="shared" si="1"/>
        <v>135.47548950460268</v>
      </c>
      <c r="X58" s="60">
        <f t="shared" si="2"/>
        <v>133.06369388550695</v>
      </c>
      <c r="Y58" s="60">
        <f t="shared" si="3"/>
        <v>125.03985134713098</v>
      </c>
    </row>
    <row r="59" spans="12:25" x14ac:dyDescent="0.25">
      <c r="P59" s="57">
        <v>45717</v>
      </c>
      <c r="Q59" s="6">
        <v>216.13</v>
      </c>
      <c r="R59" s="6">
        <v>5074.08</v>
      </c>
      <c r="S59" s="6">
        <v>15587.79</v>
      </c>
      <c r="T59" s="6">
        <v>38314.86</v>
      </c>
      <c r="U59" s="57">
        <v>45717</v>
      </c>
      <c r="V59" s="60">
        <f t="shared" si="0"/>
        <v>187.75953435843974</v>
      </c>
      <c r="W59" s="60">
        <f t="shared" si="1"/>
        <v>115.4443650660029</v>
      </c>
      <c r="X59" s="60">
        <f t="shared" si="2"/>
        <v>106.23682926363827</v>
      </c>
      <c r="Y59" s="60">
        <f t="shared" si="3"/>
        <v>109.27885390121087</v>
      </c>
    </row>
    <row r="60" spans="12:25" x14ac:dyDescent="0.25">
      <c r="P60" s="57">
        <v>45748</v>
      </c>
      <c r="Q60" s="6">
        <v>184.37</v>
      </c>
      <c r="R60" s="6">
        <v>5282.7</v>
      </c>
      <c r="S60" s="6">
        <v>16286.45</v>
      </c>
      <c r="T60" s="6">
        <v>39142.230000000003</v>
      </c>
      <c r="U60" s="57">
        <v>45748</v>
      </c>
      <c r="V60" s="60">
        <f t="shared" si="0"/>
        <v>160.16853444531318</v>
      </c>
      <c r="W60" s="59">
        <f t="shared" si="1"/>
        <v>120.19084195246697</v>
      </c>
      <c r="X60" s="59">
        <f t="shared" si="2"/>
        <v>110.99846790088792</v>
      </c>
      <c r="Y60" s="59">
        <f t="shared" si="3"/>
        <v>111.63861837254771</v>
      </c>
    </row>
    <row r="61" spans="12:25" x14ac:dyDescent="0.25">
      <c r="P61" s="57">
        <v>45778</v>
      </c>
      <c r="Q61" s="6">
        <v>159.34</v>
      </c>
      <c r="R61" s="6">
        <v>5802.82</v>
      </c>
      <c r="S61" s="6">
        <v>19113.77</v>
      </c>
      <c r="T61" s="6">
        <v>41603.07</v>
      </c>
      <c r="U61" s="57">
        <v>45778</v>
      </c>
      <c r="V61" s="60">
        <f t="shared" si="0"/>
        <v>138.42411606289636</v>
      </c>
      <c r="W61" s="60">
        <f t="shared" si="1"/>
        <v>132.024499119506</v>
      </c>
      <c r="X61" s="60">
        <f t="shared" si="2"/>
        <v>130.26774931369047</v>
      </c>
      <c r="Y61" s="60">
        <f t="shared" si="3"/>
        <v>118.65724704127454</v>
      </c>
    </row>
    <row r="62" spans="12:25" x14ac:dyDescent="0.25">
      <c r="P62" s="57">
        <v>45809</v>
      </c>
      <c r="Q62" s="6">
        <v>163.38</v>
      </c>
      <c r="R62" s="6">
        <v>6279.35</v>
      </c>
      <c r="S62" s="6">
        <v>19447.41</v>
      </c>
      <c r="T62" s="6">
        <v>42206.82</v>
      </c>
      <c r="U62" s="57">
        <v>45809</v>
      </c>
      <c r="V62" s="60">
        <f t="shared" si="0"/>
        <v>141.93380244983061</v>
      </c>
      <c r="W62" s="60">
        <f t="shared" si="1"/>
        <v>142.8664060829166</v>
      </c>
      <c r="X62" s="60">
        <f t="shared" si="2"/>
        <v>132.54163520229434</v>
      </c>
      <c r="Y62" s="60">
        <f t="shared" si="3"/>
        <v>120.37921883088454</v>
      </c>
    </row>
    <row r="63" spans="12:25" x14ac:dyDescent="0.25">
      <c r="P63" s="57">
        <v>45839</v>
      </c>
      <c r="Q63" s="6">
        <v>135.33000000000001</v>
      </c>
      <c r="R63" s="6">
        <v>6238.01</v>
      </c>
      <c r="S63" s="6">
        <v>20650.13</v>
      </c>
      <c r="T63" s="6">
        <v>44901.919999999998</v>
      </c>
      <c r="U63" s="57">
        <v>45839</v>
      </c>
      <c r="V63" s="60">
        <f t="shared" si="0"/>
        <v>117.56580661975502</v>
      </c>
      <c r="W63" s="59">
        <f t="shared" si="1"/>
        <v>141.92584739014302</v>
      </c>
      <c r="X63" s="59">
        <f t="shared" si="2"/>
        <v>140.73863806748324</v>
      </c>
      <c r="Y63" s="59">
        <f t="shared" si="3"/>
        <v>128.065986814616</v>
      </c>
    </row>
    <row r="64" spans="12:25" x14ac:dyDescent="0.25">
      <c r="P64" s="57">
        <v>45870</v>
      </c>
      <c r="Q64" s="6">
        <v>138.18</v>
      </c>
      <c r="R64" s="6">
        <v>6460.26</v>
      </c>
      <c r="S64" s="6">
        <v>21496.54</v>
      </c>
      <c r="T64" s="6">
        <v>45544.88</v>
      </c>
      <c r="U64" s="57">
        <v>45870</v>
      </c>
      <c r="V64" s="60">
        <f t="shared" si="0"/>
        <v>120.04169924420121</v>
      </c>
      <c r="W64" s="60">
        <f t="shared" si="1"/>
        <v>146.9824310734746</v>
      </c>
      <c r="X64" s="60">
        <f t="shared" si="2"/>
        <v>146.50725020923241</v>
      </c>
      <c r="Y64" s="60">
        <f t="shared" si="3"/>
        <v>129.89979051125803</v>
      </c>
    </row>
    <row r="65" spans="16:25" x14ac:dyDescent="0.25">
      <c r="P65" s="57">
        <v>45901</v>
      </c>
      <c r="Q65" s="6">
        <v>131.80000000000001</v>
      </c>
      <c r="R65" s="6">
        <v>6715.79</v>
      </c>
      <c r="S65" s="6">
        <v>22780.51</v>
      </c>
      <c r="T65" s="6">
        <v>46758.28</v>
      </c>
      <c r="U65" s="57">
        <v>45901</v>
      </c>
      <c r="V65" s="60">
        <f t="shared" si="0"/>
        <v>114.49917470245853</v>
      </c>
      <c r="W65" s="60">
        <f t="shared" si="1"/>
        <v>152.79619408180628</v>
      </c>
      <c r="X65" s="60">
        <f t="shared" si="2"/>
        <v>155.25800330955215</v>
      </c>
      <c r="Y65" s="60">
        <f t="shared" si="3"/>
        <v>133.36056164088578</v>
      </c>
    </row>
    <row r="66" spans="16:25" x14ac:dyDescent="0.25">
      <c r="P66" s="57">
        <v>45931</v>
      </c>
      <c r="Q66" s="6">
        <v>121.65</v>
      </c>
      <c r="R66" s="6">
        <v>6840.2</v>
      </c>
      <c r="S66" s="6">
        <v>23204.87</v>
      </c>
      <c r="T66" s="6">
        <v>47207.12</v>
      </c>
      <c r="U66" s="57">
        <v>45931</v>
      </c>
      <c r="V66" s="60">
        <f t="shared" si="0"/>
        <v>105.68152202241335</v>
      </c>
      <c r="W66" s="59">
        <f t="shared" si="1"/>
        <v>155.62674335534189</v>
      </c>
      <c r="X66" s="59">
        <f t="shared" si="2"/>
        <v>158.15018115300001</v>
      </c>
      <c r="Y66" s="59">
        <f t="shared" si="3"/>
        <v>134.64071040783992</v>
      </c>
    </row>
    <row r="67" spans="16:25" x14ac:dyDescent="0.25">
      <c r="P67" s="57">
        <v>45962</v>
      </c>
      <c r="Q67" s="6">
        <v>63.42</v>
      </c>
      <c r="R67" s="6">
        <v>6849.09</v>
      </c>
      <c r="S67" s="6">
        <v>23365.69</v>
      </c>
      <c r="T67" s="6">
        <v>46245.41</v>
      </c>
      <c r="U67" s="57">
        <v>45962</v>
      </c>
      <c r="V67" s="60">
        <f t="shared" si="0"/>
        <v>55.095126400833983</v>
      </c>
      <c r="W67" s="60">
        <f t="shared" si="1"/>
        <v>155.82900670267514</v>
      </c>
      <c r="X67" s="60">
        <f t="shared" si="2"/>
        <v>159.24623177224612</v>
      </c>
      <c r="Y67" s="60">
        <f t="shared" si="3"/>
        <v>131.89779117009942</v>
      </c>
    </row>
    <row r="68" spans="16:25" x14ac:dyDescent="0.25">
      <c r="P68" s="57">
        <v>45992</v>
      </c>
      <c r="Q68" s="6">
        <v>67.94</v>
      </c>
      <c r="R68" s="6">
        <v>6929.94</v>
      </c>
      <c r="S68" s="6">
        <v>23593.1</v>
      </c>
      <c r="T68" s="6">
        <v>48134.89</v>
      </c>
      <c r="U68" s="57">
        <v>45992</v>
      </c>
      <c r="V68" s="60">
        <f t="shared" si="0"/>
        <v>59.021805229780213</v>
      </c>
      <c r="W68" s="60">
        <f t="shared" si="1"/>
        <v>157.66848832606033</v>
      </c>
      <c r="X68" s="60">
        <f t="shared" si="2"/>
        <v>160.7961190457367</v>
      </c>
      <c r="Y68" s="60">
        <f t="shared" si="3"/>
        <v>137.28682844882783</v>
      </c>
    </row>
    <row r="69" spans="16:25" x14ac:dyDescent="0.25">
      <c r="P69" s="57">
        <v>46023</v>
      </c>
      <c r="Q69" s="6">
        <v>67.56</v>
      </c>
      <c r="R69" s="6">
        <v>6939.03</v>
      </c>
      <c r="S69" s="6">
        <v>23461.82</v>
      </c>
      <c r="T69" s="6">
        <v>49098.71</v>
      </c>
      <c r="U69" s="57">
        <v>46023</v>
      </c>
      <c r="V69" s="60">
        <f t="shared" si="0"/>
        <v>58.691686213187388</v>
      </c>
      <c r="W69" s="59">
        <f t="shared" si="1"/>
        <v>157.87530202991402</v>
      </c>
      <c r="X69" s="59">
        <f t="shared" si="2"/>
        <v>159.90139497351541</v>
      </c>
      <c r="Y69" s="59">
        <f t="shared" si="3"/>
        <v>140.03576567493451</v>
      </c>
    </row>
    <row r="70" spans="16:25" x14ac:dyDescent="0.25">
      <c r="P70" s="57">
        <v>46054</v>
      </c>
      <c r="Q70" s="6">
        <v>62.29</v>
      </c>
      <c r="R70" s="6">
        <v>6909.51</v>
      </c>
      <c r="S70" s="6">
        <v>22668.21</v>
      </c>
      <c r="T70" s="6">
        <v>48977.919999999998</v>
      </c>
      <c r="U70" s="57">
        <v>46054</v>
      </c>
      <c r="V70" s="60">
        <f t="shared" si="0"/>
        <v>54.113456693597428</v>
      </c>
      <c r="W70" s="60">
        <f t="shared" si="1"/>
        <v>157.20366940749807</v>
      </c>
      <c r="X70" s="60">
        <f t="shared" si="2"/>
        <v>154.49263529225743</v>
      </c>
      <c r="Y70" s="60">
        <f t="shared" si="3"/>
        <v>139.69125723192499</v>
      </c>
    </row>
    <row r="71" spans="16:25" x14ac:dyDescent="0.25">
      <c r="P71" s="57">
        <v>46082</v>
      </c>
      <c r="Q71" s="6">
        <v>53.9</v>
      </c>
      <c r="R71" s="6">
        <v>6368.85</v>
      </c>
      <c r="S71" s="6">
        <v>20948.36</v>
      </c>
      <c r="T71" s="6">
        <v>45577.47</v>
      </c>
      <c r="U71" s="57">
        <v>46082</v>
      </c>
      <c r="V71" s="60">
        <f t="shared" si="0"/>
        <v>46.824776300929543</v>
      </c>
      <c r="W71" s="60">
        <f t="shared" si="1"/>
        <v>144.90269062581055</v>
      </c>
      <c r="X71" s="60">
        <f t="shared" si="2"/>
        <v>142.77119108438268</v>
      </c>
      <c r="Y71" s="60">
        <f t="shared" si="3"/>
        <v>129.99274133630715</v>
      </c>
    </row>
    <row r="72" spans="16:25" x14ac:dyDescent="0.25">
      <c r="P72" s="57">
        <v>46113</v>
      </c>
      <c r="Q72" s="6">
        <v>63.97</v>
      </c>
      <c r="R72" s="6">
        <v>7123.06</v>
      </c>
      <c r="S72" s="6">
        <v>24468.48</v>
      </c>
      <c r="T72" s="6">
        <v>49447.43</v>
      </c>
      <c r="U72" s="57">
        <v>46113</v>
      </c>
      <c r="V72" s="60">
        <f t="shared" si="0"/>
        <v>55.572930240639387</v>
      </c>
      <c r="W72" s="59">
        <f t="shared" si="1"/>
        <v>162.06231258219083</v>
      </c>
      <c r="X72" s="59">
        <f t="shared" si="2"/>
        <v>166.76217296363035</v>
      </c>
      <c r="Y72" s="59">
        <f t="shared" si="3"/>
        <v>141.0303594678501</v>
      </c>
    </row>
    <row r="73" spans="16:25" x14ac:dyDescent="0.25">
      <c r="P73" s="57">
        <v>46143</v>
      </c>
      <c r="Q73" s="6">
        <v>57.13</v>
      </c>
      <c r="R73" s="6">
        <v>7473.47</v>
      </c>
      <c r="S73" s="6">
        <v>26343.97</v>
      </c>
      <c r="T73" s="6">
        <v>50579.7</v>
      </c>
      <c r="U73" s="57">
        <v>46143</v>
      </c>
      <c r="V73" s="60">
        <f t="shared" si="0"/>
        <v>49.630787941968549</v>
      </c>
      <c r="W73" s="60">
        <f t="shared" si="1"/>
        <v>170.03476472381612</v>
      </c>
      <c r="X73" s="60">
        <f t="shared" si="2"/>
        <v>179.54436408345308</v>
      </c>
      <c r="Y73" s="60">
        <f t="shared" si="3"/>
        <v>144.25973751873488</v>
      </c>
    </row>
    <row r="74" spans="16:25" x14ac:dyDescent="0.25">
      <c r="P74" s="57">
        <v>46174</v>
      </c>
      <c r="Q74" s="6">
        <v>52.33</v>
      </c>
      <c r="R74" s="6">
        <v>7425.29</v>
      </c>
      <c r="S74" s="6">
        <v>25883.49</v>
      </c>
      <c r="T74" s="6">
        <v>51200.15</v>
      </c>
      <c r="U74" s="57">
        <v>46174</v>
      </c>
      <c r="V74" s="60">
        <f t="shared" si="0"/>
        <v>45.460863521848665</v>
      </c>
      <c r="W74" s="60">
        <f t="shared" si="1"/>
        <v>168.93858383804371</v>
      </c>
      <c r="X74" s="60">
        <f t="shared" si="2"/>
        <v>176.40601444316923</v>
      </c>
      <c r="Y74" s="60">
        <f t="shared" si="3"/>
        <v>146.02933983238046</v>
      </c>
    </row>
    <row r="75" spans="16:25" x14ac:dyDescent="0.25">
      <c r="P75" s="57">
        <v>46204</v>
      </c>
      <c r="Q75" s="61">
        <v>52.71</v>
      </c>
      <c r="R75" s="6">
        <v>7483.24</v>
      </c>
      <c r="S75" s="6">
        <v>25832.67</v>
      </c>
      <c r="T75" s="6">
        <v>52900.07</v>
      </c>
      <c r="U75" s="57">
        <v>46204</v>
      </c>
      <c r="V75" s="60">
        <f t="shared" si="0"/>
        <v>45.790982538441497</v>
      </c>
      <c r="W75" s="59">
        <f t="shared" si="1"/>
        <v>170.25704963983927</v>
      </c>
      <c r="X75" s="59">
        <f t="shared" si="2"/>
        <v>176.0596564499464</v>
      </c>
      <c r="Y75" s="59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CADC-563C-4FF8-9CE4-6D482A31F501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6" t="s">
        <v>1</v>
      </c>
      <c r="B5" s="37"/>
      <c r="C5" s="38"/>
      <c r="P5" t="s">
        <v>58</v>
      </c>
    </row>
    <row r="6" spans="1:26" x14ac:dyDescent="0.25">
      <c r="A6" s="39" t="s">
        <v>2</v>
      </c>
      <c r="B6" s="55">
        <v>0.185</v>
      </c>
      <c r="C6" s="40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39" t="s">
        <v>3</v>
      </c>
      <c r="B7" s="31">
        <v>5.1900000000000002E-2</v>
      </c>
      <c r="C7" s="40"/>
      <c r="P7">
        <v>2026</v>
      </c>
      <c r="Q7" s="26">
        <f>D28</f>
        <v>2410362500</v>
      </c>
      <c r="R7" s="26"/>
      <c r="S7" t="s">
        <v>41</v>
      </c>
      <c r="T7" s="16">
        <f>B40</f>
        <v>152.16546545288784</v>
      </c>
    </row>
    <row r="8" spans="1:26" x14ac:dyDescent="0.25">
      <c r="A8" s="39" t="s">
        <v>4</v>
      </c>
      <c r="B8" s="31">
        <v>0.04</v>
      </c>
      <c r="C8" s="40"/>
      <c r="P8">
        <v>2027</v>
      </c>
      <c r="Q8" s="26">
        <f>E28</f>
        <v>2506777000</v>
      </c>
      <c r="R8" s="26"/>
      <c r="S8" t="s">
        <v>55</v>
      </c>
      <c r="T8" s="16">
        <v>99.17</v>
      </c>
    </row>
    <row r="9" spans="1:26" x14ac:dyDescent="0.25">
      <c r="A9" s="39" t="s">
        <v>5</v>
      </c>
      <c r="B9" s="32" t="s">
        <v>97</v>
      </c>
      <c r="C9" s="40"/>
      <c r="P9">
        <v>2028</v>
      </c>
      <c r="Q9" s="26">
        <f>F28</f>
        <v>2556912540</v>
      </c>
      <c r="R9" s="26"/>
      <c r="S9" t="s">
        <v>8</v>
      </c>
      <c r="T9" s="16">
        <f>B12</f>
        <v>53</v>
      </c>
    </row>
    <row r="10" spans="1:26" x14ac:dyDescent="0.25">
      <c r="A10" s="39" t="s">
        <v>6</v>
      </c>
      <c r="B10" s="33">
        <v>46210</v>
      </c>
      <c r="C10" s="40"/>
      <c r="P10">
        <v>2029</v>
      </c>
      <c r="Q10" s="26">
        <f>G28</f>
        <v>2531343414.5999994</v>
      </c>
      <c r="R10" s="26"/>
    </row>
    <row r="11" spans="1:26" x14ac:dyDescent="0.25">
      <c r="A11" s="39" t="s">
        <v>7</v>
      </c>
      <c r="B11" s="33">
        <v>46387</v>
      </c>
      <c r="C11" s="40"/>
      <c r="P11">
        <v>2030</v>
      </c>
      <c r="Q11" s="26">
        <f>H28</f>
        <v>2657910585.3299999</v>
      </c>
      <c r="R11" s="26"/>
    </row>
    <row r="12" spans="1:26" x14ac:dyDescent="0.25">
      <c r="A12" s="39" t="s">
        <v>8</v>
      </c>
      <c r="B12" s="34">
        <v>53</v>
      </c>
      <c r="C12" s="40" t="s">
        <v>81</v>
      </c>
      <c r="P12">
        <v>2031</v>
      </c>
      <c r="Q12" s="26">
        <f>I28</f>
        <v>2737647902.8898993</v>
      </c>
      <c r="R12" s="26"/>
    </row>
    <row r="13" spans="1:26" x14ac:dyDescent="0.25">
      <c r="A13" s="39" t="s">
        <v>9</v>
      </c>
      <c r="B13" s="35">
        <v>533000000</v>
      </c>
      <c r="C13" s="40"/>
    </row>
    <row r="14" spans="1:26" x14ac:dyDescent="0.25">
      <c r="A14" s="39" t="s">
        <v>10</v>
      </c>
      <c r="B14" s="34">
        <v>29300000000</v>
      </c>
      <c r="C14" s="40"/>
      <c r="P14" s="6" t="s">
        <v>16</v>
      </c>
      <c r="Q14" s="6" t="s">
        <v>92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93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39" t="s">
        <v>11</v>
      </c>
      <c r="B15" s="34">
        <v>829000000</v>
      </c>
      <c r="C15" s="40"/>
      <c r="P15" s="57">
        <v>44378</v>
      </c>
      <c r="Q15" s="58">
        <v>115.11</v>
      </c>
      <c r="R15" s="6">
        <v>4395.26</v>
      </c>
      <c r="S15" s="6">
        <v>14672.68</v>
      </c>
      <c r="T15" s="6">
        <v>35061.550000000003</v>
      </c>
      <c r="U15" s="57">
        <v>44378</v>
      </c>
      <c r="V15" s="59">
        <f t="shared" ref="V15:V75" si="0"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39" t="s">
        <v>12</v>
      </c>
      <c r="B16" s="34" t="s">
        <v>126</v>
      </c>
      <c r="C16" s="40"/>
      <c r="P16" s="57">
        <v>44409</v>
      </c>
      <c r="Q16" s="6">
        <v>117.94</v>
      </c>
      <c r="R16" s="6">
        <v>4509.37</v>
      </c>
      <c r="S16" s="6">
        <v>14714.66</v>
      </c>
      <c r="T16" s="6">
        <v>35120.080000000002</v>
      </c>
      <c r="U16" s="57">
        <v>44409</v>
      </c>
      <c r="V16" s="60">
        <f t="shared" si="0"/>
        <v>102.45851793936234</v>
      </c>
      <c r="W16" s="60">
        <f>(R16/$R$15)*100</f>
        <v>102.59620591273327</v>
      </c>
      <c r="X16" s="60">
        <f>(S16/$S$15)*100</f>
        <v>100.28610996764054</v>
      </c>
      <c r="Y16" s="60">
        <f>(T16/$T$15)*100</f>
        <v>100.16693500429959</v>
      </c>
      <c r="Z16" t="s">
        <v>74</v>
      </c>
    </row>
    <row r="17" spans="1:25" x14ac:dyDescent="0.25">
      <c r="A17" s="41" t="s">
        <v>80</v>
      </c>
      <c r="B17" s="42"/>
      <c r="C17" s="43"/>
      <c r="P17" s="57">
        <v>44440</v>
      </c>
      <c r="Q17" s="6">
        <v>109.74</v>
      </c>
      <c r="R17" s="6">
        <v>4455.4799999999996</v>
      </c>
      <c r="S17" s="6">
        <v>15047.7</v>
      </c>
      <c r="T17" s="6">
        <v>34326.46</v>
      </c>
      <c r="U17" s="57">
        <v>44440</v>
      </c>
      <c r="V17" s="60">
        <f t="shared" si="0"/>
        <v>95.334897054990876</v>
      </c>
      <c r="W17" s="60">
        <f>(R17/$R$15)*100</f>
        <v>101.37011234830247</v>
      </c>
      <c r="X17" s="60">
        <f>(S17/$S$15)*100</f>
        <v>102.55590662373881</v>
      </c>
      <c r="Y17" s="60">
        <f>(T17/$T$15)*100</f>
        <v>97.903429825549622</v>
      </c>
    </row>
    <row r="18" spans="1:25" x14ac:dyDescent="0.25">
      <c r="P18" s="57">
        <v>44470</v>
      </c>
      <c r="Q18" s="6">
        <v>110.18</v>
      </c>
      <c r="R18" s="6">
        <v>4544.8999999999996</v>
      </c>
      <c r="S18" s="6">
        <v>15498.39</v>
      </c>
      <c r="T18" s="6">
        <v>35677.019999999997</v>
      </c>
      <c r="U18" s="57">
        <v>44470</v>
      </c>
      <c r="V18" s="60">
        <f t="shared" si="0"/>
        <v>95.717140126835204</v>
      </c>
      <c r="W18" s="59">
        <f t="shared" ref="W18:W75" si="1">(R18/$R$15)*100</f>
        <v>103.40457674858823</v>
      </c>
      <c r="X18" s="59">
        <f t="shared" ref="X18:X75" si="2">(S18/$S$15)*100</f>
        <v>105.62753362030656</v>
      </c>
      <c r="Y18" s="59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7">
        <v>44501</v>
      </c>
      <c r="Q19" s="6">
        <v>98.25</v>
      </c>
      <c r="R19" s="6">
        <v>4594.62</v>
      </c>
      <c r="S19" s="6">
        <v>15085.47</v>
      </c>
      <c r="T19" s="6">
        <v>34889.339999999997</v>
      </c>
      <c r="U19" s="57">
        <v>44501</v>
      </c>
      <c r="V19" s="60">
        <f t="shared" si="0"/>
        <v>85.35314047432891</v>
      </c>
      <c r="W19" s="60">
        <f t="shared" si="1"/>
        <v>104.53579537956799</v>
      </c>
      <c r="X19" s="60">
        <f t="shared" si="2"/>
        <v>102.81332380996517</v>
      </c>
      <c r="Y19" s="60">
        <f t="shared" si="3"/>
        <v>99.508835176995873</v>
      </c>
    </row>
    <row r="20" spans="1:25" x14ac:dyDescent="0.25">
      <c r="A20" t="s">
        <v>16</v>
      </c>
      <c r="C20" s="7">
        <v>46210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239256623445.83994</v>
      </c>
      <c r="P20" s="57">
        <v>44531</v>
      </c>
      <c r="Q20" s="6">
        <v>105.54</v>
      </c>
      <c r="R20" s="6">
        <v>4766.18</v>
      </c>
      <c r="S20" s="6">
        <v>15653.37</v>
      </c>
      <c r="T20" s="6">
        <v>35950.559999999998</v>
      </c>
      <c r="U20" s="57">
        <v>44531</v>
      </c>
      <c r="V20" s="60">
        <f t="shared" si="0"/>
        <v>91.686213187385988</v>
      </c>
      <c r="W20" s="60">
        <f t="shared" si="1"/>
        <v>108.43909120279574</v>
      </c>
      <c r="X20" s="60">
        <f t="shared" si="2"/>
        <v>106.68378237649836</v>
      </c>
      <c r="Y20" s="60">
        <f t="shared" si="3"/>
        <v>102.53556959119035</v>
      </c>
    </row>
    <row r="21" spans="1:25" x14ac:dyDescent="0.25">
      <c r="A21" t="s">
        <v>18</v>
      </c>
      <c r="D21" s="5">
        <v>21190000000</v>
      </c>
      <c r="E21" s="5">
        <f>D21*1.04</f>
        <v>22037600000</v>
      </c>
      <c r="F21" s="5">
        <f>E21*1.02</f>
        <v>22478352000</v>
      </c>
      <c r="G21" s="5">
        <f>F21*0.99</f>
        <v>22253568480</v>
      </c>
      <c r="H21" s="5">
        <f>G21*1.05</f>
        <v>23366246904</v>
      </c>
      <c r="I21" s="5">
        <f>H21*1.03</f>
        <v>24067234311.119999</v>
      </c>
      <c r="L21" t="s">
        <v>19</v>
      </c>
      <c r="M21" s="13">
        <f>(I22+I25)*16</f>
        <v>115522724693.37599</v>
      </c>
      <c r="P21" s="57">
        <v>44562</v>
      </c>
      <c r="Q21" s="6">
        <v>104.88</v>
      </c>
      <c r="R21" s="6">
        <v>4500.53</v>
      </c>
      <c r="S21" s="6">
        <v>13770.57</v>
      </c>
      <c r="T21" s="6">
        <v>34725.47</v>
      </c>
      <c r="U21" s="57">
        <v>44562</v>
      </c>
      <c r="V21" s="60">
        <f t="shared" si="0"/>
        <v>91.112848579619481</v>
      </c>
      <c r="W21" s="59">
        <f t="shared" si="1"/>
        <v>102.39508015453009</v>
      </c>
      <c r="X21" s="59">
        <f t="shared" si="2"/>
        <v>93.851770773982665</v>
      </c>
      <c r="Y21" s="59">
        <f t="shared" si="3"/>
        <v>99.041457094737666</v>
      </c>
    </row>
    <row r="22" spans="1:25" x14ac:dyDescent="0.25">
      <c r="A22" t="s">
        <v>77</v>
      </c>
      <c r="B22" t="s">
        <v>89</v>
      </c>
      <c r="C22" s="25">
        <v>0.25</v>
      </c>
      <c r="D22" s="5">
        <f>D21*$C$22</f>
        <v>5297500000</v>
      </c>
      <c r="E22" s="5">
        <f t="shared" ref="E22:I22" si="4">E21*$C$22</f>
        <v>5509400000</v>
      </c>
      <c r="F22" s="5">
        <f t="shared" si="4"/>
        <v>5619588000</v>
      </c>
      <c r="G22" s="5">
        <f t="shared" si="4"/>
        <v>5563392120</v>
      </c>
      <c r="H22" s="5">
        <f t="shared" si="4"/>
        <v>5841561726</v>
      </c>
      <c r="I22" s="5">
        <f t="shared" si="4"/>
        <v>6016808577.7799997</v>
      </c>
      <c r="L22" t="s">
        <v>20</v>
      </c>
      <c r="M22" s="13">
        <f>(M20+M21)/2</f>
        <v>177389674069.60797</v>
      </c>
      <c r="P22" s="57">
        <v>44593</v>
      </c>
      <c r="Q22" s="6">
        <v>98.05</v>
      </c>
      <c r="R22" s="6">
        <v>4384.6499999999996</v>
      </c>
      <c r="S22" s="6">
        <v>13313.44</v>
      </c>
      <c r="T22" s="6">
        <v>34058.75</v>
      </c>
      <c r="U22" s="57">
        <v>44593</v>
      </c>
      <c r="V22" s="60">
        <f t="shared" si="0"/>
        <v>85.179393623490569</v>
      </c>
      <c r="W22" s="60">
        <f t="shared" si="1"/>
        <v>99.758603586590993</v>
      </c>
      <c r="X22" s="60">
        <f t="shared" si="2"/>
        <v>90.736252681854992</v>
      </c>
      <c r="Y22" s="60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980037500</v>
      </c>
      <c r="E23" s="30">
        <f t="shared" ref="E23:I23" si="5">E22*$B$6</f>
        <v>1019239000</v>
      </c>
      <c r="F23" s="5">
        <f t="shared" si="5"/>
        <v>1039623780</v>
      </c>
      <c r="G23" s="30">
        <f t="shared" si="5"/>
        <v>1029227542.1999999</v>
      </c>
      <c r="H23" s="30">
        <f t="shared" si="5"/>
        <v>1080688919.3099999</v>
      </c>
      <c r="I23" s="5">
        <f t="shared" si="5"/>
        <v>1113109586.8892999</v>
      </c>
      <c r="P23" s="57">
        <v>44621</v>
      </c>
      <c r="Q23" s="6">
        <v>100.51</v>
      </c>
      <c r="R23" s="6">
        <v>4543.0600000000004</v>
      </c>
      <c r="S23" s="6">
        <v>14169.3</v>
      </c>
      <c r="T23" s="6">
        <v>34861.24</v>
      </c>
      <c r="U23" s="57">
        <v>44621</v>
      </c>
      <c r="V23" s="60">
        <f t="shared" si="0"/>
        <v>87.316479888802021</v>
      </c>
      <c r="W23" s="60">
        <f t="shared" si="1"/>
        <v>103.36271346860026</v>
      </c>
      <c r="X23" s="60">
        <f t="shared" si="2"/>
        <v>96.569270235567046</v>
      </c>
      <c r="Y23" s="60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4317462500</v>
      </c>
      <c r="E24" s="5">
        <f t="shared" ref="E24:I24" si="6">E22*(1-$B$6)</f>
        <v>4490161000</v>
      </c>
      <c r="F24" s="5">
        <f t="shared" si="6"/>
        <v>4579964220</v>
      </c>
      <c r="G24" s="5">
        <f t="shared" si="6"/>
        <v>4534164577.7999992</v>
      </c>
      <c r="H24" s="5">
        <f t="shared" si="6"/>
        <v>4760872806.6899996</v>
      </c>
      <c r="I24" s="5">
        <f t="shared" si="6"/>
        <v>4903698990.8906994</v>
      </c>
      <c r="P24" s="57">
        <v>44652</v>
      </c>
      <c r="Q24" s="6">
        <v>97.36</v>
      </c>
      <c r="R24" s="6">
        <v>4271.78</v>
      </c>
      <c r="S24" s="6">
        <v>12839.29</v>
      </c>
      <c r="T24" s="6">
        <v>33811.4</v>
      </c>
      <c r="U24" s="57">
        <v>44652</v>
      </c>
      <c r="V24" s="60">
        <f t="shared" si="0"/>
        <v>84.579966988098349</v>
      </c>
      <c r="W24" s="59">
        <f t="shared" si="1"/>
        <v>97.190609884284413</v>
      </c>
      <c r="X24" s="59">
        <f t="shared" si="2"/>
        <v>87.504736694318979</v>
      </c>
      <c r="Y24" s="59">
        <f t="shared" si="3"/>
        <v>96.434413196222067</v>
      </c>
    </row>
    <row r="25" spans="1:25" x14ac:dyDescent="0.25">
      <c r="A25" s="4" t="s">
        <v>25</v>
      </c>
      <c r="B25" s="8" t="s">
        <v>82</v>
      </c>
      <c r="C25" s="25">
        <v>0.05</v>
      </c>
      <c r="D25" s="12">
        <f>D21*$C$25</f>
        <v>1059500000</v>
      </c>
      <c r="E25" s="12">
        <f t="shared" ref="E25:I25" si="7">E21*$C$25</f>
        <v>1101880000</v>
      </c>
      <c r="F25" s="12">
        <f t="shared" si="7"/>
        <v>1123917600</v>
      </c>
      <c r="G25" s="12">
        <f t="shared" si="7"/>
        <v>1112678424</v>
      </c>
      <c r="H25" s="12">
        <f t="shared" si="7"/>
        <v>1168312345.2</v>
      </c>
      <c r="I25" s="12">
        <f t="shared" si="7"/>
        <v>1203361715.556</v>
      </c>
      <c r="P25" s="57">
        <v>44682</v>
      </c>
      <c r="Q25" s="6">
        <v>95.59</v>
      </c>
      <c r="R25" s="6">
        <v>4158.24</v>
      </c>
      <c r="S25" s="6">
        <v>11354.62</v>
      </c>
      <c r="T25" s="6">
        <v>33212.959999999999</v>
      </c>
      <c r="U25" s="57">
        <v>44682</v>
      </c>
      <c r="V25" s="60">
        <f t="shared" si="0"/>
        <v>83.04230735817913</v>
      </c>
      <c r="W25" s="60">
        <f t="shared" si="1"/>
        <v>94.607372487634393</v>
      </c>
      <c r="X25" s="60">
        <f t="shared" si="2"/>
        <v>77.386135320882076</v>
      </c>
      <c r="Y25" s="60">
        <f t="shared" si="3"/>
        <v>94.727586201979079</v>
      </c>
    </row>
    <row r="26" spans="1:25" x14ac:dyDescent="0.25">
      <c r="A26" t="s">
        <v>26</v>
      </c>
      <c r="B26" t="s">
        <v>98</v>
      </c>
      <c r="C26" s="25">
        <v>0.08</v>
      </c>
      <c r="D26" s="10">
        <f>D21*$C$26</f>
        <v>1695200000</v>
      </c>
      <c r="E26" s="10">
        <f t="shared" ref="E26:I26" si="8">E21*$C$26</f>
        <v>1763008000</v>
      </c>
      <c r="F26" s="10">
        <f t="shared" si="8"/>
        <v>1798268160</v>
      </c>
      <c r="G26" s="10">
        <f t="shared" si="8"/>
        <v>1780285478.4000001</v>
      </c>
      <c r="H26" s="10">
        <f t="shared" si="8"/>
        <v>1869299752.3199999</v>
      </c>
      <c r="I26" s="10">
        <f t="shared" si="8"/>
        <v>1925378744.8896</v>
      </c>
      <c r="P26" s="57">
        <v>44713</v>
      </c>
      <c r="Q26" s="6">
        <v>92.58</v>
      </c>
      <c r="R26" s="6">
        <v>3911.74</v>
      </c>
      <c r="S26" s="6">
        <v>11127.85</v>
      </c>
      <c r="T26" s="6">
        <v>31097.26</v>
      </c>
      <c r="U26" s="57">
        <v>44713</v>
      </c>
      <c r="V26" s="60">
        <f t="shared" si="0"/>
        <v>80.427417253062288</v>
      </c>
      <c r="W26" s="60">
        <f t="shared" si="1"/>
        <v>88.999058076200271</v>
      </c>
      <c r="X26" s="60">
        <f t="shared" si="2"/>
        <v>75.840609895397435</v>
      </c>
      <c r="Y26" s="60">
        <f t="shared" si="3"/>
        <v>88.693340710835642</v>
      </c>
    </row>
    <row r="27" spans="1:25" x14ac:dyDescent="0.25">
      <c r="A27" t="s">
        <v>27</v>
      </c>
      <c r="B27" t="s">
        <v>83</v>
      </c>
      <c r="C27" s="25">
        <v>0.06</v>
      </c>
      <c r="D27" s="10">
        <f>D21*$C$27</f>
        <v>1271400000</v>
      </c>
      <c r="E27" s="10">
        <f t="shared" ref="E27:I27" si="9">E21*$C$27</f>
        <v>1322256000</v>
      </c>
      <c r="F27" s="10">
        <f t="shared" si="9"/>
        <v>1348701120</v>
      </c>
      <c r="G27" s="10">
        <f t="shared" si="9"/>
        <v>1335214108.8</v>
      </c>
      <c r="H27" s="10">
        <f t="shared" si="9"/>
        <v>1401974814.24</v>
      </c>
      <c r="I27" s="10">
        <f t="shared" si="9"/>
        <v>1444034058.6671999</v>
      </c>
      <c r="P27" s="57">
        <v>44743</v>
      </c>
      <c r="Q27" s="60">
        <v>105.68</v>
      </c>
      <c r="R27" s="6">
        <v>4130.29</v>
      </c>
      <c r="S27" s="6">
        <v>12390.69</v>
      </c>
      <c r="T27" s="6">
        <v>32845.129999999997</v>
      </c>
      <c r="U27" s="57">
        <v>44743</v>
      </c>
      <c r="V27" s="60">
        <f t="shared" si="0"/>
        <v>91.807835982972819</v>
      </c>
      <c r="W27" s="59">
        <f t="shared" si="1"/>
        <v>93.971460163903842</v>
      </c>
      <c r="X27" s="59">
        <f t="shared" si="2"/>
        <v>84.447353857645638</v>
      </c>
      <c r="Y27" s="59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2410362500</v>
      </c>
      <c r="E28" s="12">
        <f t="shared" ref="E28:I28" si="10">E24+E25-E26-E27</f>
        <v>2506777000</v>
      </c>
      <c r="F28" s="12">
        <f t="shared" si="10"/>
        <v>2556912540</v>
      </c>
      <c r="G28" s="12">
        <f t="shared" si="10"/>
        <v>2531343414.5999994</v>
      </c>
      <c r="H28" s="12">
        <f t="shared" si="10"/>
        <v>2657910585.3299999</v>
      </c>
      <c r="I28" s="12">
        <f t="shared" si="10"/>
        <v>2737647902.8898993</v>
      </c>
      <c r="P28" s="57">
        <v>44774</v>
      </c>
      <c r="Q28" s="6">
        <v>101.44</v>
      </c>
      <c r="R28" s="6">
        <v>3924.26</v>
      </c>
      <c r="S28" s="6">
        <v>12141.71</v>
      </c>
      <c r="T28" s="6">
        <v>31318.44</v>
      </c>
      <c r="U28" s="57">
        <v>44774</v>
      </c>
      <c r="V28" s="60">
        <f t="shared" si="0"/>
        <v>88.124402745200243</v>
      </c>
      <c r="W28" s="60">
        <f t="shared" si="1"/>
        <v>89.28391039437939</v>
      </c>
      <c r="X28" s="60">
        <f t="shared" si="2"/>
        <v>82.750458675579367</v>
      </c>
      <c r="Y28" s="60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7">
        <v>44805</v>
      </c>
      <c r="Q29" s="6">
        <v>97.95</v>
      </c>
      <c r="R29" s="6">
        <v>3585.62</v>
      </c>
      <c r="S29" s="6">
        <v>10867.93</v>
      </c>
      <c r="T29" s="6">
        <v>30822.42</v>
      </c>
      <c r="U29" s="57">
        <v>44805</v>
      </c>
      <c r="V29" s="60">
        <f t="shared" si="0"/>
        <v>85.092520198071412</v>
      </c>
      <c r="W29" s="60">
        <f t="shared" si="1"/>
        <v>81.579246733981606</v>
      </c>
      <c r="X29" s="60">
        <f t="shared" si="2"/>
        <v>74.069154373979401</v>
      </c>
      <c r="Y29" s="60">
        <f t="shared" si="3"/>
        <v>87.90946207455174</v>
      </c>
    </row>
    <row r="30" spans="1:25" x14ac:dyDescent="0.25">
      <c r="A30" t="s">
        <v>36</v>
      </c>
      <c r="C30" s="13">
        <f>-G39</f>
        <v>-56720000000</v>
      </c>
      <c r="D30" s="5">
        <f>D28</f>
        <v>2410362500</v>
      </c>
      <c r="E30" s="5">
        <f t="shared" ref="E30:I30" si="11">E28</f>
        <v>2506777000</v>
      </c>
      <c r="F30" s="5">
        <f t="shared" si="11"/>
        <v>2556912540</v>
      </c>
      <c r="G30" s="5">
        <f t="shared" si="11"/>
        <v>2531343414.5999994</v>
      </c>
      <c r="H30" s="5">
        <f t="shared" si="11"/>
        <v>2657910585.3299999</v>
      </c>
      <c r="I30" s="5">
        <f t="shared" si="11"/>
        <v>2737647902.8898993</v>
      </c>
      <c r="J30" s="13">
        <f>I28+M22</f>
        <v>180127321972.49786</v>
      </c>
      <c r="K30" t="s">
        <v>38</v>
      </c>
      <c r="P30" s="57">
        <v>44835</v>
      </c>
      <c r="Q30" s="6">
        <v>102.6</v>
      </c>
      <c r="R30" s="6">
        <v>3901.06</v>
      </c>
      <c r="S30" s="6">
        <v>11102.45</v>
      </c>
      <c r="T30" s="6">
        <v>32861.800000000003</v>
      </c>
      <c r="U30" s="57">
        <v>44835</v>
      </c>
      <c r="V30" s="60">
        <f t="shared" si="0"/>
        <v>89.132134480062547</v>
      </c>
      <c r="W30" s="59">
        <f t="shared" si="1"/>
        <v>88.756069038009116</v>
      </c>
      <c r="X30" s="59">
        <f t="shared" si="2"/>
        <v>75.667499052661142</v>
      </c>
      <c r="Y30" s="59">
        <f t="shared" si="3"/>
        <v>93.726033218725362</v>
      </c>
    </row>
    <row r="31" spans="1:25" x14ac:dyDescent="0.25">
      <c r="A31" t="s">
        <v>37</v>
      </c>
      <c r="D31" s="6">
        <f>1/(1+$B$7)^D29</f>
        <v>0.97501831223464153</v>
      </c>
      <c r="E31" s="6">
        <f t="shared" ref="E31:I31" si="12">1/(1+$B$7)^E29</f>
        <v>0.92691160018503804</v>
      </c>
      <c r="F31" s="6">
        <f t="shared" si="12"/>
        <v>0.88117843919102379</v>
      </c>
      <c r="G31" s="6">
        <f t="shared" si="12"/>
        <v>0.83770171992682185</v>
      </c>
      <c r="H31" s="6">
        <f t="shared" si="12"/>
        <v>0.79637011115773526</v>
      </c>
      <c r="I31" s="6">
        <f t="shared" si="12"/>
        <v>0.77647544169512905</v>
      </c>
      <c r="J31" t="s">
        <v>39</v>
      </c>
      <c r="P31" s="57">
        <v>44866</v>
      </c>
      <c r="Q31" s="6">
        <v>102.49</v>
      </c>
      <c r="R31" s="6">
        <v>4026.12</v>
      </c>
      <c r="S31" s="6">
        <v>11226.36</v>
      </c>
      <c r="T31" s="6">
        <v>34429.879999999997</v>
      </c>
      <c r="U31" s="57">
        <v>44866</v>
      </c>
      <c r="V31" s="60">
        <f t="shared" si="0"/>
        <v>89.036573712101458</v>
      </c>
      <c r="W31" s="60">
        <f t="shared" si="1"/>
        <v>91.601406970236113</v>
      </c>
      <c r="X31" s="60">
        <f t="shared" si="2"/>
        <v>76.511993718938882</v>
      </c>
      <c r="Y31" s="60">
        <f t="shared" si="3"/>
        <v>98.198396819307746</v>
      </c>
    </row>
    <row r="32" spans="1:25" x14ac:dyDescent="0.25">
      <c r="A32" t="s">
        <v>40</v>
      </c>
      <c r="C32" s="13">
        <f>-G39</f>
        <v>-56720000000</v>
      </c>
      <c r="D32" s="5">
        <f>D30*D31</f>
        <v>2350147576.6236711</v>
      </c>
      <c r="E32" s="5">
        <f t="shared" ref="E32:I32" si="13">E30*E31</f>
        <v>2323560680.377049</v>
      </c>
      <c r="F32" s="5">
        <f t="shared" si="13"/>
        <v>2253096201.1451564</v>
      </c>
      <c r="G32" s="5">
        <f t="shared" si="13"/>
        <v>2120510732.1358535</v>
      </c>
      <c r="H32" s="5">
        <f t="shared" si="13"/>
        <v>2116680548.2865732</v>
      </c>
      <c r="I32" s="5">
        <f t="shared" si="13"/>
        <v>2125716364.6021783</v>
      </c>
      <c r="J32" s="14">
        <f>M22</f>
        <v>177389674069.60797</v>
      </c>
      <c r="P32" s="57">
        <v>44896</v>
      </c>
      <c r="Q32" s="6">
        <v>101.07</v>
      </c>
      <c r="R32" s="6">
        <v>3839.5</v>
      </c>
      <c r="S32" s="6">
        <v>10466.48</v>
      </c>
      <c r="T32" s="6">
        <v>33203.93</v>
      </c>
      <c r="U32" s="57">
        <v>44896</v>
      </c>
      <c r="V32" s="60">
        <f t="shared" si="0"/>
        <v>87.802971071149329</v>
      </c>
      <c r="W32" s="60">
        <f t="shared" si="1"/>
        <v>87.355469301019724</v>
      </c>
      <c r="X32" s="60">
        <f t="shared" si="2"/>
        <v>71.333117058369695</v>
      </c>
      <c r="Y32" s="60">
        <f t="shared" si="3"/>
        <v>94.701831493473605</v>
      </c>
    </row>
    <row r="33" spans="1:25" x14ac:dyDescent="0.25">
      <c r="A33" t="s">
        <v>56</v>
      </c>
      <c r="C33" s="29">
        <v>-56720</v>
      </c>
      <c r="D33" s="44">
        <v>2350</v>
      </c>
      <c r="E33" s="24">
        <v>2324</v>
      </c>
      <c r="F33" s="24">
        <v>2253</v>
      </c>
      <c r="G33" s="24">
        <v>2121</v>
      </c>
      <c r="H33" s="24">
        <v>2117</v>
      </c>
      <c r="I33" s="24">
        <v>2126</v>
      </c>
      <c r="J33" s="24">
        <v>177390</v>
      </c>
      <c r="P33" s="57">
        <v>44927</v>
      </c>
      <c r="Q33" s="6">
        <v>106.6</v>
      </c>
      <c r="R33" s="6">
        <v>4070.56</v>
      </c>
      <c r="S33" s="6">
        <v>11140.43</v>
      </c>
      <c r="T33" s="6">
        <v>33375.49</v>
      </c>
      <c r="U33" s="57">
        <v>44927</v>
      </c>
      <c r="V33" s="60">
        <f t="shared" si="0"/>
        <v>92.607071496829121</v>
      </c>
      <c r="W33" s="59">
        <f t="shared" si="1"/>
        <v>92.61249618907641</v>
      </c>
      <c r="X33" s="59">
        <f t="shared" si="2"/>
        <v>75.92634747026446</v>
      </c>
      <c r="Y33" s="59">
        <f t="shared" si="3"/>
        <v>95.19114243380568</v>
      </c>
    </row>
    <row r="34" spans="1:25" x14ac:dyDescent="0.25">
      <c r="P34" s="57">
        <v>44958</v>
      </c>
      <c r="Q34" s="6">
        <v>114.45</v>
      </c>
      <c r="R34" s="6">
        <v>4045.64</v>
      </c>
      <c r="S34" s="6">
        <v>11689.01</v>
      </c>
      <c r="T34" s="6">
        <v>32816.92</v>
      </c>
      <c r="U34" s="57">
        <v>44958</v>
      </c>
      <c r="V34" s="60">
        <f t="shared" si="0"/>
        <v>99.426635392233521</v>
      </c>
      <c r="W34" s="60">
        <f t="shared" si="1"/>
        <v>92.045521766630415</v>
      </c>
      <c r="X34" s="60">
        <f t="shared" si="2"/>
        <v>79.665132750117905</v>
      </c>
      <c r="Y34" s="60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7">
        <v>44986</v>
      </c>
      <c r="Q35" s="6">
        <v>108.17</v>
      </c>
      <c r="R35" s="6">
        <v>3970.99</v>
      </c>
      <c r="S35" s="6">
        <v>11823.96</v>
      </c>
      <c r="T35" s="6">
        <v>33274.15</v>
      </c>
      <c r="U35" s="57">
        <v>44986</v>
      </c>
      <c r="V35" s="60">
        <f t="shared" si="0"/>
        <v>93.970984275909998</v>
      </c>
      <c r="W35" s="60">
        <f t="shared" si="1"/>
        <v>90.347101195378642</v>
      </c>
      <c r="X35" s="60">
        <f t="shared" si="2"/>
        <v>80.584869294498347</v>
      </c>
      <c r="Y35" s="60">
        <f t="shared" si="3"/>
        <v>94.902107864598108</v>
      </c>
    </row>
    <row r="36" spans="1:25" x14ac:dyDescent="0.25">
      <c r="A36" s="13" t="s">
        <v>42</v>
      </c>
      <c r="B36" s="17">
        <f>SUM(D32:I32)</f>
        <v>13289712103.170481</v>
      </c>
      <c r="C36" t="s">
        <v>45</v>
      </c>
      <c r="F36" t="s">
        <v>33</v>
      </c>
      <c r="G36" s="15">
        <f>B13*B12</f>
        <v>28249000000</v>
      </c>
      <c r="H36" t="s">
        <v>34</v>
      </c>
      <c r="L36" s="3" t="s">
        <v>51</v>
      </c>
      <c r="P36" s="57">
        <v>45017</v>
      </c>
      <c r="Q36" s="6">
        <v>116.96</v>
      </c>
      <c r="R36" s="6">
        <v>4133.5200000000004</v>
      </c>
      <c r="S36" s="6">
        <v>12072.46</v>
      </c>
      <c r="T36" s="6">
        <v>33808.959999999999</v>
      </c>
      <c r="U36" s="57">
        <v>45017</v>
      </c>
      <c r="V36" s="60">
        <f t="shared" si="0"/>
        <v>101.60715837025454</v>
      </c>
      <c r="W36" s="59">
        <f t="shared" si="1"/>
        <v>94.044948421708852</v>
      </c>
      <c r="X36" s="59">
        <f t="shared" si="2"/>
        <v>82.278493090560133</v>
      </c>
      <c r="Y36" s="59">
        <f t="shared" si="3"/>
        <v>96.427454005883931</v>
      </c>
    </row>
    <row r="37" spans="1:25" x14ac:dyDescent="0.25">
      <c r="A37" t="s">
        <v>11</v>
      </c>
      <c r="B37" s="19">
        <f>B15</f>
        <v>829000000</v>
      </c>
      <c r="F37" t="s">
        <v>10</v>
      </c>
      <c r="G37" s="14">
        <f>B14</f>
        <v>29300000000</v>
      </c>
      <c r="L37" t="s">
        <v>52</v>
      </c>
      <c r="M37" s="21">
        <f>(B40/B12)-1</f>
        <v>1.8710465179790159</v>
      </c>
      <c r="P37" s="57">
        <v>45047</v>
      </c>
      <c r="Q37" s="6">
        <v>113.77</v>
      </c>
      <c r="R37" s="6">
        <v>4282.37</v>
      </c>
      <c r="S37" s="6">
        <v>13240.77</v>
      </c>
      <c r="T37" s="6">
        <v>33093.339999999997</v>
      </c>
      <c r="U37" s="57">
        <v>45047</v>
      </c>
      <c r="V37" s="60">
        <f t="shared" si="0"/>
        <v>98.835896099383191</v>
      </c>
      <c r="W37" s="60">
        <f t="shared" si="1"/>
        <v>97.431551262041367</v>
      </c>
      <c r="X37" s="60">
        <f t="shared" si="2"/>
        <v>90.24097847155393</v>
      </c>
      <c r="Y37" s="60">
        <f t="shared" si="3"/>
        <v>94.386414747779241</v>
      </c>
    </row>
    <row r="38" spans="1:25" x14ac:dyDescent="0.25">
      <c r="A38" t="s">
        <v>10</v>
      </c>
      <c r="B38" s="19">
        <f>B14</f>
        <v>29300000000</v>
      </c>
      <c r="C38" s="3"/>
      <c r="F38" t="s">
        <v>11</v>
      </c>
      <c r="G38" s="14">
        <f>B15</f>
        <v>829000000</v>
      </c>
      <c r="L38" t="s">
        <v>53</v>
      </c>
      <c r="M38" s="23">
        <f>IRR(C33:J33)</f>
        <v>0.20081013512036971</v>
      </c>
      <c r="N38" t="s">
        <v>57</v>
      </c>
      <c r="P38" s="57">
        <v>45078</v>
      </c>
      <c r="Q38" s="6">
        <v>120.49</v>
      </c>
      <c r="R38" s="6">
        <v>4450.38</v>
      </c>
      <c r="S38" s="6">
        <v>13492.52</v>
      </c>
      <c r="T38" s="6">
        <v>33727.43</v>
      </c>
      <c r="U38" s="57">
        <v>45078</v>
      </c>
      <c r="V38" s="60">
        <f t="shared" si="0"/>
        <v>104.67379028755104</v>
      </c>
      <c r="W38" s="60">
        <f t="shared" si="1"/>
        <v>101.25407825703144</v>
      </c>
      <c r="X38" s="60">
        <f t="shared" si="2"/>
        <v>91.956752277020968</v>
      </c>
      <c r="Y38" s="60">
        <f t="shared" si="3"/>
        <v>96.194920076265873</v>
      </c>
    </row>
    <row r="39" spans="1:25" x14ac:dyDescent="0.25">
      <c r="A39" t="s">
        <v>44</v>
      </c>
      <c r="B39" s="17">
        <f>(((B36+B37)-B38)+(M22))/2</f>
        <v>81104193086.389221</v>
      </c>
      <c r="C39" t="s">
        <v>75</v>
      </c>
      <c r="F39" t="s">
        <v>30</v>
      </c>
      <c r="G39" s="13">
        <f>G36+G37-G38</f>
        <v>56720000000</v>
      </c>
      <c r="H39" t="s">
        <v>32</v>
      </c>
      <c r="P39" s="57">
        <v>45108</v>
      </c>
      <c r="Q39" s="6">
        <v>124.99</v>
      </c>
      <c r="R39" s="6">
        <v>4582.2299999999996</v>
      </c>
      <c r="S39" s="6">
        <v>14032.81</v>
      </c>
      <c r="T39" s="6">
        <v>35065.620000000003</v>
      </c>
      <c r="U39" s="57">
        <v>45108</v>
      </c>
      <c r="V39" s="60">
        <f t="shared" si="0"/>
        <v>108.58309443141343</v>
      </c>
      <c r="W39" s="59">
        <f t="shared" si="1"/>
        <v>104.25390079312713</v>
      </c>
      <c r="X39" s="59">
        <f t="shared" si="2"/>
        <v>95.639037994422281</v>
      </c>
      <c r="Y39" s="59">
        <f t="shared" si="3"/>
        <v>100.01160815765418</v>
      </c>
    </row>
    <row r="40" spans="1:25" x14ac:dyDescent="0.25">
      <c r="A40" t="s">
        <v>72</v>
      </c>
      <c r="B40" s="20">
        <f>B39/B13</f>
        <v>152.16546545288784</v>
      </c>
      <c r="C40" t="s">
        <v>76</v>
      </c>
      <c r="F40" t="s">
        <v>48</v>
      </c>
      <c r="G40" s="16">
        <f>G39/B13</f>
        <v>106.41651031894935</v>
      </c>
      <c r="H40" t="s">
        <v>49</v>
      </c>
      <c r="L40" s="45" t="s">
        <v>84</v>
      </c>
      <c r="M40" s="46"/>
      <c r="P40" s="57">
        <v>45139</v>
      </c>
      <c r="Q40" s="6">
        <v>121.48</v>
      </c>
      <c r="R40" s="6">
        <v>4515.7700000000004</v>
      </c>
      <c r="S40" s="6">
        <v>13590.65</v>
      </c>
      <c r="T40" s="6">
        <v>34837.71</v>
      </c>
      <c r="U40" s="57">
        <v>45139</v>
      </c>
      <c r="V40" s="60">
        <f t="shared" si="0"/>
        <v>105.53383719920078</v>
      </c>
      <c r="W40" s="60">
        <f t="shared" si="1"/>
        <v>102.74181732138715</v>
      </c>
      <c r="X40" s="60">
        <f t="shared" si="2"/>
        <v>92.625546253308869</v>
      </c>
      <c r="Y40" s="60">
        <f t="shared" si="3"/>
        <v>99.361579850291832</v>
      </c>
    </row>
    <row r="41" spans="1:25" x14ac:dyDescent="0.25">
      <c r="A41" t="s">
        <v>46</v>
      </c>
      <c r="B41" s="22">
        <f>(B40/B12)-1</f>
        <v>1.8710465179790159</v>
      </c>
      <c r="C41" t="s">
        <v>47</v>
      </c>
      <c r="F41" t="s">
        <v>46</v>
      </c>
      <c r="G41" s="21">
        <f>(G40/B12)-1</f>
        <v>1.0078586852631952</v>
      </c>
      <c r="H41" t="s">
        <v>50</v>
      </c>
      <c r="L41" s="47" t="s">
        <v>41</v>
      </c>
      <c r="M41" s="48">
        <f>B40</f>
        <v>152.16546545288784</v>
      </c>
      <c r="P41" s="57">
        <v>45170</v>
      </c>
      <c r="Q41" s="6">
        <v>112.96</v>
      </c>
      <c r="R41" s="6">
        <v>4320.0600000000004</v>
      </c>
      <c r="S41" s="6">
        <v>13211.81</v>
      </c>
      <c r="T41" s="6">
        <v>33507.5</v>
      </c>
      <c r="U41" s="57">
        <v>45170</v>
      </c>
      <c r="V41" s="60">
        <f t="shared" si="0"/>
        <v>98.132221353487964</v>
      </c>
      <c r="W41" s="60">
        <f t="shared" si="1"/>
        <v>98.289065948317059</v>
      </c>
      <c r="X41" s="60">
        <f t="shared" si="2"/>
        <v>90.04360484928452</v>
      </c>
      <c r="Y41" s="60">
        <f t="shared" si="3"/>
        <v>95.567651743861859</v>
      </c>
    </row>
    <row r="42" spans="1:25" x14ac:dyDescent="0.25">
      <c r="L42" s="47" t="s">
        <v>8</v>
      </c>
      <c r="M42" s="52">
        <f>B12</f>
        <v>53</v>
      </c>
      <c r="P42" s="57">
        <v>45200</v>
      </c>
      <c r="Q42" s="6">
        <v>119.54</v>
      </c>
      <c r="R42" s="6">
        <v>4117.37</v>
      </c>
      <c r="S42" s="6">
        <v>12643.01</v>
      </c>
      <c r="T42" s="6">
        <v>34061.32</v>
      </c>
      <c r="U42" s="57">
        <v>45200</v>
      </c>
      <c r="V42" s="60">
        <f t="shared" si="0"/>
        <v>103.84849274606897</v>
      </c>
      <c r="W42" s="59">
        <f t="shared" si="1"/>
        <v>93.677507132683829</v>
      </c>
      <c r="X42" s="59">
        <f t="shared" si="2"/>
        <v>86.16701243399298</v>
      </c>
      <c r="Y42" s="59">
        <f t="shared" si="3"/>
        <v>97.147216822986991</v>
      </c>
    </row>
    <row r="43" spans="1:25" x14ac:dyDescent="0.25">
      <c r="L43" s="47" t="s">
        <v>87</v>
      </c>
      <c r="M43" s="48">
        <f>(B40-B12)</f>
        <v>99.165465452887844</v>
      </c>
      <c r="P43" s="57">
        <v>45231</v>
      </c>
      <c r="Q43" s="6">
        <v>130.61000000000001</v>
      </c>
      <c r="R43" s="6">
        <v>4559.34</v>
      </c>
      <c r="S43" s="6">
        <v>14250.85</v>
      </c>
      <c r="T43" s="6">
        <v>36245.5</v>
      </c>
      <c r="U43" s="57">
        <v>45231</v>
      </c>
      <c r="V43" s="60">
        <f t="shared" si="0"/>
        <v>113.46538093997047</v>
      </c>
      <c r="W43" s="60">
        <f t="shared" si="1"/>
        <v>103.73311248936355</v>
      </c>
      <c r="X43" s="60">
        <f t="shared" si="2"/>
        <v>97.125065086950713</v>
      </c>
      <c r="Y43" s="60">
        <f t="shared" si="3"/>
        <v>103.37677598394821</v>
      </c>
    </row>
    <row r="44" spans="1:25" x14ac:dyDescent="0.25">
      <c r="L44" s="47" t="s">
        <v>86</v>
      </c>
      <c r="M44" s="53">
        <f>((B40-B12)/(B12))</f>
        <v>1.8710465179790159</v>
      </c>
      <c r="P44" s="57">
        <v>45261</v>
      </c>
      <c r="Q44" s="6">
        <v>133.61000000000001</v>
      </c>
      <c r="R44" s="6">
        <v>4769.83</v>
      </c>
      <c r="S44" s="6">
        <v>14992.97</v>
      </c>
      <c r="T44" s="6">
        <v>37689.54</v>
      </c>
      <c r="U44" s="57">
        <v>45261</v>
      </c>
      <c r="V44" s="60">
        <f t="shared" si="0"/>
        <v>116.0715837025454</v>
      </c>
      <c r="W44" s="60">
        <f t="shared" si="1"/>
        <v>108.52213520929364</v>
      </c>
      <c r="X44" s="60">
        <f t="shared" si="2"/>
        <v>102.18290046535465</v>
      </c>
      <c r="Y44" s="60">
        <f t="shared" si="3"/>
        <v>107.4953617281609</v>
      </c>
    </row>
    <row r="45" spans="1:25" x14ac:dyDescent="0.25">
      <c r="L45" s="47"/>
      <c r="M45" s="49"/>
      <c r="P45" s="57">
        <v>45292</v>
      </c>
      <c r="Q45" s="6">
        <v>139.02000000000001</v>
      </c>
      <c r="R45" s="6">
        <v>4958.6099999999997</v>
      </c>
      <c r="S45" s="6">
        <v>15628.95</v>
      </c>
      <c r="T45" s="6">
        <v>38109.43</v>
      </c>
      <c r="U45" s="57">
        <v>45292</v>
      </c>
      <c r="V45" s="60">
        <f t="shared" si="0"/>
        <v>120.77143601772218</v>
      </c>
      <c r="W45" s="59">
        <f t="shared" si="1"/>
        <v>112.8172167289307</v>
      </c>
      <c r="X45" s="59">
        <f t="shared" si="2"/>
        <v>106.51735061352119</v>
      </c>
      <c r="Y45" s="59">
        <f t="shared" si="3"/>
        <v>108.69294141302936</v>
      </c>
    </row>
    <row r="46" spans="1:25" x14ac:dyDescent="0.25">
      <c r="L46" s="50" t="s">
        <v>54</v>
      </c>
      <c r="M46" s="49"/>
      <c r="P46" s="57">
        <v>45323</v>
      </c>
      <c r="Q46" s="6">
        <v>150.35</v>
      </c>
      <c r="R46" s="6">
        <v>5137.08</v>
      </c>
      <c r="S46" s="6">
        <v>16274.94</v>
      </c>
      <c r="T46" s="6">
        <v>39087.379999999997</v>
      </c>
      <c r="U46" s="57">
        <v>45323</v>
      </c>
      <c r="V46" s="60">
        <f t="shared" si="0"/>
        <v>130.61419511771348</v>
      </c>
      <c r="W46" s="60">
        <f t="shared" si="1"/>
        <v>116.87772736993942</v>
      </c>
      <c r="X46" s="60">
        <f t="shared" si="2"/>
        <v>110.92002279065582</v>
      </c>
      <c r="Y46" s="60">
        <f t="shared" si="3"/>
        <v>111.48217919629906</v>
      </c>
    </row>
    <row r="47" spans="1:25" x14ac:dyDescent="0.25">
      <c r="L47" s="47" t="s">
        <v>41</v>
      </c>
      <c r="M47" s="48">
        <f>B40</f>
        <v>152.16546545288784</v>
      </c>
      <c r="P47" s="57">
        <v>45352</v>
      </c>
      <c r="Q47" s="6">
        <v>156.29</v>
      </c>
      <c r="R47" s="6">
        <v>5234.18</v>
      </c>
      <c r="S47" s="6">
        <v>16428.82</v>
      </c>
      <c r="T47" s="6">
        <v>39807.370000000003</v>
      </c>
      <c r="U47" s="57">
        <v>45352</v>
      </c>
      <c r="V47" s="60">
        <f t="shared" si="0"/>
        <v>135.77447658761184</v>
      </c>
      <c r="W47" s="60">
        <f t="shared" si="1"/>
        <v>119.08692546060983</v>
      </c>
      <c r="X47" s="60">
        <f t="shared" si="2"/>
        <v>111.96877462058737</v>
      </c>
      <c r="Y47" s="60">
        <f t="shared" si="3"/>
        <v>113.53568225021426</v>
      </c>
    </row>
    <row r="48" spans="1:25" x14ac:dyDescent="0.25">
      <c r="L48" s="47" t="s">
        <v>31</v>
      </c>
      <c r="M48" s="48">
        <f>G40</f>
        <v>106.41651031894935</v>
      </c>
      <c r="P48" s="57">
        <v>45383</v>
      </c>
      <c r="Q48" s="6">
        <v>149.22</v>
      </c>
      <c r="R48" s="6">
        <v>4967.2299999999996</v>
      </c>
      <c r="S48" s="6">
        <v>15282.01</v>
      </c>
      <c r="T48" s="6">
        <v>37986.400000000001</v>
      </c>
      <c r="U48" s="57">
        <v>45383</v>
      </c>
      <c r="V48" s="60">
        <f t="shared" si="0"/>
        <v>129.63252541047694</v>
      </c>
      <c r="W48" s="59">
        <f t="shared" si="1"/>
        <v>113.01333709496137</v>
      </c>
      <c r="X48" s="59">
        <f t="shared" si="2"/>
        <v>104.15282007104361</v>
      </c>
      <c r="Y48" s="59">
        <f t="shared" si="3"/>
        <v>108.34204420511928</v>
      </c>
    </row>
    <row r="49" spans="12:25" x14ac:dyDescent="0.25">
      <c r="L49" s="47" t="s">
        <v>87</v>
      </c>
      <c r="M49" s="48">
        <f>-(G40-B40)</f>
        <v>45.748955133938495</v>
      </c>
      <c r="P49" s="57">
        <v>45413</v>
      </c>
      <c r="Q49" s="6">
        <v>150.34</v>
      </c>
      <c r="R49" s="6">
        <v>5277.51</v>
      </c>
      <c r="S49" s="6">
        <v>16735.02</v>
      </c>
      <c r="T49" s="6">
        <v>38686.32</v>
      </c>
      <c r="U49" s="57">
        <v>45413</v>
      </c>
      <c r="V49" s="60">
        <f t="shared" si="0"/>
        <v>130.60550777517156</v>
      </c>
      <c r="W49" s="60">
        <f t="shared" si="1"/>
        <v>120.07276020076172</v>
      </c>
      <c r="X49" s="60">
        <f t="shared" si="2"/>
        <v>114.05564627593596</v>
      </c>
      <c r="Y49" s="60">
        <f t="shared" si="3"/>
        <v>110.33830506637612</v>
      </c>
    </row>
    <row r="50" spans="12:25" x14ac:dyDescent="0.25">
      <c r="L50" s="51" t="s">
        <v>86</v>
      </c>
      <c r="M50" s="54">
        <f>((B40-G40)/(G40))</f>
        <v>0.42990467359642481</v>
      </c>
      <c r="P50" s="57">
        <v>45444</v>
      </c>
      <c r="Q50" s="6">
        <v>149.04</v>
      </c>
      <c r="R50" s="6">
        <v>5464.62</v>
      </c>
      <c r="S50" s="6">
        <v>17689.36</v>
      </c>
      <c r="T50" s="6">
        <v>39150.33</v>
      </c>
      <c r="U50" s="57">
        <v>45444</v>
      </c>
      <c r="V50" s="60">
        <f t="shared" si="0"/>
        <v>129.47615324472244</v>
      </c>
      <c r="W50" s="60">
        <f t="shared" si="1"/>
        <v>124.32984624345316</v>
      </c>
      <c r="X50" s="60">
        <f t="shared" si="2"/>
        <v>120.55984319156418</v>
      </c>
      <c r="Y50" s="60">
        <f t="shared" si="3"/>
        <v>111.66172060276855</v>
      </c>
    </row>
    <row r="51" spans="12:25" x14ac:dyDescent="0.25">
      <c r="P51" s="57">
        <v>45474</v>
      </c>
      <c r="Q51" s="6">
        <v>156.04</v>
      </c>
      <c r="R51" s="6">
        <v>5459.1</v>
      </c>
      <c r="S51" s="6">
        <v>17357.88</v>
      </c>
      <c r="T51" s="6">
        <v>40287.53</v>
      </c>
      <c r="U51" s="57">
        <v>45474</v>
      </c>
      <c r="V51" s="60">
        <f t="shared" si="0"/>
        <v>135.55729302406394</v>
      </c>
      <c r="W51" s="59">
        <f t="shared" si="1"/>
        <v>124.20425640348923</v>
      </c>
      <c r="X51" s="59">
        <f t="shared" si="2"/>
        <v>118.30067853998042</v>
      </c>
      <c r="Y51" s="59">
        <f t="shared" si="3"/>
        <v>114.90515964068902</v>
      </c>
    </row>
    <row r="52" spans="12:25" x14ac:dyDescent="0.25">
      <c r="P52" s="57">
        <v>45505</v>
      </c>
      <c r="Q52" s="6">
        <v>174.6</v>
      </c>
      <c r="R52" s="6">
        <v>5648.4</v>
      </c>
      <c r="S52" s="6">
        <v>17877.79</v>
      </c>
      <c r="T52" s="6">
        <v>41175.08</v>
      </c>
      <c r="U52" s="57">
        <v>45505</v>
      </c>
      <c r="V52" s="60">
        <f t="shared" si="0"/>
        <v>151.68100078186083</v>
      </c>
      <c r="W52" s="60">
        <f t="shared" si="1"/>
        <v>128.51116885007937</v>
      </c>
      <c r="X52" s="60">
        <f t="shared" si="2"/>
        <v>121.84406665994216</v>
      </c>
      <c r="Y52" s="60">
        <f t="shared" si="3"/>
        <v>117.43656512618523</v>
      </c>
    </row>
    <row r="53" spans="12:25" x14ac:dyDescent="0.25">
      <c r="P53" s="57">
        <v>45536</v>
      </c>
      <c r="Q53" s="6">
        <v>178.38</v>
      </c>
      <c r="R53" s="6">
        <v>5751.07</v>
      </c>
      <c r="S53" s="6">
        <v>18137.849999999999</v>
      </c>
      <c r="T53" s="6">
        <v>42313</v>
      </c>
      <c r="U53" s="57">
        <v>45536</v>
      </c>
      <c r="V53" s="60">
        <f t="shared" si="0"/>
        <v>154.96481626270523</v>
      </c>
      <c r="W53" s="60">
        <f t="shared" si="1"/>
        <v>130.84709436984389</v>
      </c>
      <c r="X53" s="60">
        <f t="shared" si="2"/>
        <v>123.61647633561148</v>
      </c>
      <c r="Y53" s="60">
        <f t="shared" si="3"/>
        <v>120.68205769568088</v>
      </c>
    </row>
    <row r="54" spans="12:25" x14ac:dyDescent="0.25">
      <c r="P54" s="57">
        <v>45566</v>
      </c>
      <c r="Q54" s="6">
        <v>202.05</v>
      </c>
      <c r="R54" s="6">
        <v>5728.8</v>
      </c>
      <c r="S54" s="6">
        <v>18518.61</v>
      </c>
      <c r="T54" s="6">
        <v>42052.19</v>
      </c>
      <c r="U54" s="57">
        <v>45566</v>
      </c>
      <c r="V54" s="60">
        <f t="shared" si="0"/>
        <v>175.52775605942145</v>
      </c>
      <c r="W54" s="59">
        <f t="shared" si="1"/>
        <v>130.34041217129362</v>
      </c>
      <c r="X54" s="59">
        <f t="shared" si="2"/>
        <v>126.21150328365371</v>
      </c>
      <c r="Y54" s="59">
        <f t="shared" si="3"/>
        <v>119.93819440384124</v>
      </c>
    </row>
    <row r="55" spans="12:25" x14ac:dyDescent="0.25">
      <c r="P55" s="57">
        <v>45597</v>
      </c>
      <c r="Q55" s="6">
        <v>220.96</v>
      </c>
      <c r="R55" s="6">
        <v>5969.34</v>
      </c>
      <c r="S55" s="6">
        <v>19003.650000000001</v>
      </c>
      <c r="T55" s="6">
        <v>44296.51</v>
      </c>
      <c r="U55" s="57">
        <v>45597</v>
      </c>
      <c r="V55" s="60">
        <f t="shared" si="0"/>
        <v>191.95552080618538</v>
      </c>
      <c r="W55" s="60">
        <f t="shared" si="1"/>
        <v>135.81312595841882</v>
      </c>
      <c r="X55" s="60">
        <f t="shared" si="2"/>
        <v>129.51723884116603</v>
      </c>
      <c r="Y55" s="60">
        <f t="shared" si="3"/>
        <v>126.33928049387433</v>
      </c>
    </row>
    <row r="56" spans="12:25" x14ac:dyDescent="0.25">
      <c r="P56" s="57">
        <v>45627</v>
      </c>
      <c r="Q56" s="6">
        <v>206.05</v>
      </c>
      <c r="R56" s="6">
        <v>5942.47</v>
      </c>
      <c r="S56" s="6">
        <v>19722.03</v>
      </c>
      <c r="T56" s="6">
        <v>42840.26</v>
      </c>
      <c r="U56" s="57">
        <v>45627</v>
      </c>
      <c r="V56" s="60">
        <f t="shared" si="0"/>
        <v>179.00269307618802</v>
      </c>
      <c r="W56" s="60">
        <f t="shared" si="1"/>
        <v>135.20178555989861</v>
      </c>
      <c r="X56" s="60">
        <f t="shared" si="2"/>
        <v>134.41327692009912</v>
      </c>
      <c r="Y56" s="60">
        <f t="shared" si="3"/>
        <v>122.18587027669912</v>
      </c>
    </row>
    <row r="57" spans="12:25" x14ac:dyDescent="0.25">
      <c r="P57" s="57">
        <v>45658</v>
      </c>
      <c r="Q57" s="6">
        <v>208.84</v>
      </c>
      <c r="R57" s="6">
        <v>6040.53</v>
      </c>
      <c r="S57" s="6">
        <v>19627.439999999999</v>
      </c>
      <c r="T57" s="6">
        <v>44424.25</v>
      </c>
      <c r="U57" s="57">
        <v>45658</v>
      </c>
      <c r="V57" s="60">
        <f t="shared" si="0"/>
        <v>181.42646164538269</v>
      </c>
      <c r="W57" s="59">
        <f t="shared" si="1"/>
        <v>137.43282536186709</v>
      </c>
      <c r="X57" s="59">
        <f t="shared" si="2"/>
        <v>133.76860941559414</v>
      </c>
      <c r="Y57" s="59">
        <f t="shared" si="3"/>
        <v>126.70361122083878</v>
      </c>
    </row>
    <row r="58" spans="12:25" x14ac:dyDescent="0.25">
      <c r="P58" s="57">
        <v>45689</v>
      </c>
      <c r="Q58" s="6">
        <v>232.34</v>
      </c>
      <c r="R58" s="6">
        <v>5954.5</v>
      </c>
      <c r="S58" s="6">
        <v>19524.009999999998</v>
      </c>
      <c r="T58" s="6">
        <v>43840.91</v>
      </c>
      <c r="U58" s="57">
        <v>45689</v>
      </c>
      <c r="V58" s="60">
        <f t="shared" si="0"/>
        <v>201.8417166188863</v>
      </c>
      <c r="W58" s="60">
        <f t="shared" si="1"/>
        <v>135.47548950460268</v>
      </c>
      <c r="X58" s="60">
        <f t="shared" si="2"/>
        <v>133.06369388550695</v>
      </c>
      <c r="Y58" s="60">
        <f t="shared" si="3"/>
        <v>125.03985134713098</v>
      </c>
    </row>
    <row r="59" spans="12:25" x14ac:dyDescent="0.25">
      <c r="P59" s="57">
        <v>45717</v>
      </c>
      <c r="Q59" s="6">
        <v>216.13</v>
      </c>
      <c r="R59" s="6">
        <v>5074.08</v>
      </c>
      <c r="S59" s="6">
        <v>15587.79</v>
      </c>
      <c r="T59" s="6">
        <v>38314.86</v>
      </c>
      <c r="U59" s="57">
        <v>45717</v>
      </c>
      <c r="V59" s="60">
        <f t="shared" si="0"/>
        <v>187.75953435843974</v>
      </c>
      <c r="W59" s="60">
        <f t="shared" si="1"/>
        <v>115.4443650660029</v>
      </c>
      <c r="X59" s="60">
        <f t="shared" si="2"/>
        <v>106.23682926363827</v>
      </c>
      <c r="Y59" s="60">
        <f t="shared" si="3"/>
        <v>109.27885390121087</v>
      </c>
    </row>
    <row r="60" spans="12:25" x14ac:dyDescent="0.25">
      <c r="P60" s="57">
        <v>45748</v>
      </c>
      <c r="Q60" s="6">
        <v>184.37</v>
      </c>
      <c r="R60" s="6">
        <v>5282.7</v>
      </c>
      <c r="S60" s="6">
        <v>16286.45</v>
      </c>
      <c r="T60" s="6">
        <v>39142.230000000003</v>
      </c>
      <c r="U60" s="57">
        <v>45748</v>
      </c>
      <c r="V60" s="60">
        <f t="shared" si="0"/>
        <v>160.16853444531318</v>
      </c>
      <c r="W60" s="59">
        <f t="shared" si="1"/>
        <v>120.19084195246697</v>
      </c>
      <c r="X60" s="59">
        <f t="shared" si="2"/>
        <v>110.99846790088792</v>
      </c>
      <c r="Y60" s="59">
        <f t="shared" si="3"/>
        <v>111.63861837254771</v>
      </c>
    </row>
    <row r="61" spans="12:25" x14ac:dyDescent="0.25">
      <c r="P61" s="57">
        <v>45778</v>
      </c>
      <c r="Q61" s="6">
        <v>159.34</v>
      </c>
      <c r="R61" s="6">
        <v>5802.82</v>
      </c>
      <c r="S61" s="6">
        <v>19113.77</v>
      </c>
      <c r="T61" s="6">
        <v>41603.07</v>
      </c>
      <c r="U61" s="57">
        <v>45778</v>
      </c>
      <c r="V61" s="60">
        <f t="shared" si="0"/>
        <v>138.42411606289636</v>
      </c>
      <c r="W61" s="60">
        <f t="shared" si="1"/>
        <v>132.024499119506</v>
      </c>
      <c r="X61" s="60">
        <f t="shared" si="2"/>
        <v>130.26774931369047</v>
      </c>
      <c r="Y61" s="60">
        <f t="shared" si="3"/>
        <v>118.65724704127454</v>
      </c>
    </row>
    <row r="62" spans="12:25" x14ac:dyDescent="0.25">
      <c r="P62" s="57">
        <v>45809</v>
      </c>
      <c r="Q62" s="6">
        <v>163.38</v>
      </c>
      <c r="R62" s="6">
        <v>6279.35</v>
      </c>
      <c r="S62" s="6">
        <v>19447.41</v>
      </c>
      <c r="T62" s="6">
        <v>42206.82</v>
      </c>
      <c r="U62" s="57">
        <v>45809</v>
      </c>
      <c r="V62" s="60">
        <f t="shared" si="0"/>
        <v>141.93380244983061</v>
      </c>
      <c r="W62" s="60">
        <f t="shared" si="1"/>
        <v>142.8664060829166</v>
      </c>
      <c r="X62" s="60">
        <f t="shared" si="2"/>
        <v>132.54163520229434</v>
      </c>
      <c r="Y62" s="60">
        <f t="shared" si="3"/>
        <v>120.37921883088454</v>
      </c>
    </row>
    <row r="63" spans="12:25" x14ac:dyDescent="0.25">
      <c r="P63" s="57">
        <v>45839</v>
      </c>
      <c r="Q63" s="6">
        <v>135.33000000000001</v>
      </c>
      <c r="R63" s="6">
        <v>6238.01</v>
      </c>
      <c r="S63" s="6">
        <v>20650.13</v>
      </c>
      <c r="T63" s="6">
        <v>44901.919999999998</v>
      </c>
      <c r="U63" s="57">
        <v>45839</v>
      </c>
      <c r="V63" s="60">
        <f t="shared" si="0"/>
        <v>117.56580661975502</v>
      </c>
      <c r="W63" s="59">
        <f t="shared" si="1"/>
        <v>141.92584739014302</v>
      </c>
      <c r="X63" s="59">
        <f t="shared" si="2"/>
        <v>140.73863806748324</v>
      </c>
      <c r="Y63" s="59">
        <f t="shared" si="3"/>
        <v>128.065986814616</v>
      </c>
    </row>
    <row r="64" spans="12:25" x14ac:dyDescent="0.25">
      <c r="P64" s="57">
        <v>45870</v>
      </c>
      <c r="Q64" s="6">
        <v>138.18</v>
      </c>
      <c r="R64" s="6">
        <v>6460.26</v>
      </c>
      <c r="S64" s="6">
        <v>21496.54</v>
      </c>
      <c r="T64" s="6">
        <v>45544.88</v>
      </c>
      <c r="U64" s="57">
        <v>45870</v>
      </c>
      <c r="V64" s="60">
        <f t="shared" si="0"/>
        <v>120.04169924420121</v>
      </c>
      <c r="W64" s="60">
        <f t="shared" si="1"/>
        <v>146.9824310734746</v>
      </c>
      <c r="X64" s="60">
        <f t="shared" si="2"/>
        <v>146.50725020923241</v>
      </c>
      <c r="Y64" s="60">
        <f t="shared" si="3"/>
        <v>129.89979051125803</v>
      </c>
    </row>
    <row r="65" spans="16:25" x14ac:dyDescent="0.25">
      <c r="P65" s="57">
        <v>45901</v>
      </c>
      <c r="Q65" s="6">
        <v>131.80000000000001</v>
      </c>
      <c r="R65" s="6">
        <v>6715.79</v>
      </c>
      <c r="S65" s="6">
        <v>22780.51</v>
      </c>
      <c r="T65" s="6">
        <v>46758.28</v>
      </c>
      <c r="U65" s="57">
        <v>45901</v>
      </c>
      <c r="V65" s="60">
        <f t="shared" si="0"/>
        <v>114.49917470245853</v>
      </c>
      <c r="W65" s="60">
        <f t="shared" si="1"/>
        <v>152.79619408180628</v>
      </c>
      <c r="X65" s="60">
        <f t="shared" si="2"/>
        <v>155.25800330955215</v>
      </c>
      <c r="Y65" s="60">
        <f t="shared" si="3"/>
        <v>133.36056164088578</v>
      </c>
    </row>
    <row r="66" spans="16:25" x14ac:dyDescent="0.25">
      <c r="P66" s="57">
        <v>45931</v>
      </c>
      <c r="Q66" s="6">
        <v>121.65</v>
      </c>
      <c r="R66" s="6">
        <v>6840.2</v>
      </c>
      <c r="S66" s="6">
        <v>23204.87</v>
      </c>
      <c r="T66" s="6">
        <v>47207.12</v>
      </c>
      <c r="U66" s="57">
        <v>45931</v>
      </c>
      <c r="V66" s="60">
        <f t="shared" si="0"/>
        <v>105.68152202241335</v>
      </c>
      <c r="W66" s="59">
        <f t="shared" si="1"/>
        <v>155.62674335534189</v>
      </c>
      <c r="X66" s="59">
        <f t="shared" si="2"/>
        <v>158.15018115300001</v>
      </c>
      <c r="Y66" s="59">
        <f t="shared" si="3"/>
        <v>134.64071040783992</v>
      </c>
    </row>
    <row r="67" spans="16:25" x14ac:dyDescent="0.25">
      <c r="P67" s="57">
        <v>45962</v>
      </c>
      <c r="Q67" s="6">
        <v>63.42</v>
      </c>
      <c r="R67" s="6">
        <v>6849.09</v>
      </c>
      <c r="S67" s="6">
        <v>23365.69</v>
      </c>
      <c r="T67" s="6">
        <v>46245.41</v>
      </c>
      <c r="U67" s="57">
        <v>45962</v>
      </c>
      <c r="V67" s="60">
        <f t="shared" si="0"/>
        <v>55.095126400833983</v>
      </c>
      <c r="W67" s="60">
        <f t="shared" si="1"/>
        <v>155.82900670267514</v>
      </c>
      <c r="X67" s="60">
        <f t="shared" si="2"/>
        <v>159.24623177224612</v>
      </c>
      <c r="Y67" s="60">
        <f t="shared" si="3"/>
        <v>131.89779117009942</v>
      </c>
    </row>
    <row r="68" spans="16:25" x14ac:dyDescent="0.25">
      <c r="P68" s="57">
        <v>45992</v>
      </c>
      <c r="Q68" s="6">
        <v>67.94</v>
      </c>
      <c r="R68" s="6">
        <v>6929.94</v>
      </c>
      <c r="S68" s="6">
        <v>23593.1</v>
      </c>
      <c r="T68" s="6">
        <v>48134.89</v>
      </c>
      <c r="U68" s="57">
        <v>45992</v>
      </c>
      <c r="V68" s="60">
        <f t="shared" si="0"/>
        <v>59.021805229780213</v>
      </c>
      <c r="W68" s="60">
        <f t="shared" si="1"/>
        <v>157.66848832606033</v>
      </c>
      <c r="X68" s="60">
        <f t="shared" si="2"/>
        <v>160.7961190457367</v>
      </c>
      <c r="Y68" s="60">
        <f t="shared" si="3"/>
        <v>137.28682844882783</v>
      </c>
    </row>
    <row r="69" spans="16:25" x14ac:dyDescent="0.25">
      <c r="P69" s="57">
        <v>46023</v>
      </c>
      <c r="Q69" s="6">
        <v>67.56</v>
      </c>
      <c r="R69" s="6">
        <v>6939.03</v>
      </c>
      <c r="S69" s="6">
        <v>23461.82</v>
      </c>
      <c r="T69" s="6">
        <v>49098.71</v>
      </c>
      <c r="U69" s="57">
        <v>46023</v>
      </c>
      <c r="V69" s="60">
        <f t="shared" si="0"/>
        <v>58.691686213187388</v>
      </c>
      <c r="W69" s="59">
        <f t="shared" si="1"/>
        <v>157.87530202991402</v>
      </c>
      <c r="X69" s="59">
        <f t="shared" si="2"/>
        <v>159.90139497351541</v>
      </c>
      <c r="Y69" s="59">
        <f t="shared" si="3"/>
        <v>140.03576567493451</v>
      </c>
    </row>
    <row r="70" spans="16:25" x14ac:dyDescent="0.25">
      <c r="P70" s="57">
        <v>46054</v>
      </c>
      <c r="Q70" s="6">
        <v>62.29</v>
      </c>
      <c r="R70" s="6">
        <v>6909.51</v>
      </c>
      <c r="S70" s="6">
        <v>22668.21</v>
      </c>
      <c r="T70" s="6">
        <v>48977.919999999998</v>
      </c>
      <c r="U70" s="57">
        <v>46054</v>
      </c>
      <c r="V70" s="60">
        <f t="shared" si="0"/>
        <v>54.113456693597428</v>
      </c>
      <c r="W70" s="60">
        <f t="shared" si="1"/>
        <v>157.20366940749807</v>
      </c>
      <c r="X70" s="60">
        <f t="shared" si="2"/>
        <v>154.49263529225743</v>
      </c>
      <c r="Y70" s="60">
        <f t="shared" si="3"/>
        <v>139.69125723192499</v>
      </c>
    </row>
    <row r="71" spans="16:25" x14ac:dyDescent="0.25">
      <c r="P71" s="57">
        <v>46082</v>
      </c>
      <c r="Q71" s="6">
        <v>53.9</v>
      </c>
      <c r="R71" s="6">
        <v>6368.85</v>
      </c>
      <c r="S71" s="6">
        <v>20948.36</v>
      </c>
      <c r="T71" s="6">
        <v>45577.47</v>
      </c>
      <c r="U71" s="57">
        <v>46082</v>
      </c>
      <c r="V71" s="60">
        <f t="shared" si="0"/>
        <v>46.824776300929543</v>
      </c>
      <c r="W71" s="60">
        <f t="shared" si="1"/>
        <v>144.90269062581055</v>
      </c>
      <c r="X71" s="60">
        <f t="shared" si="2"/>
        <v>142.77119108438268</v>
      </c>
      <c r="Y71" s="60">
        <f t="shared" si="3"/>
        <v>129.99274133630715</v>
      </c>
    </row>
    <row r="72" spans="16:25" x14ac:dyDescent="0.25">
      <c r="P72" s="57">
        <v>46113</v>
      </c>
      <c r="Q72" s="6">
        <v>63.97</v>
      </c>
      <c r="R72" s="6">
        <v>7123.06</v>
      </c>
      <c r="S72" s="6">
        <v>24468.48</v>
      </c>
      <c r="T72" s="6">
        <v>49447.43</v>
      </c>
      <c r="U72" s="57">
        <v>46113</v>
      </c>
      <c r="V72" s="60">
        <f t="shared" si="0"/>
        <v>55.572930240639387</v>
      </c>
      <c r="W72" s="59">
        <f t="shared" si="1"/>
        <v>162.06231258219083</v>
      </c>
      <c r="X72" s="59">
        <f t="shared" si="2"/>
        <v>166.76217296363035</v>
      </c>
      <c r="Y72" s="59">
        <f t="shared" si="3"/>
        <v>141.0303594678501</v>
      </c>
    </row>
    <row r="73" spans="16:25" x14ac:dyDescent="0.25">
      <c r="P73" s="57">
        <v>46143</v>
      </c>
      <c r="Q73" s="6">
        <v>57.13</v>
      </c>
      <c r="R73" s="6">
        <v>7473.47</v>
      </c>
      <c r="S73" s="6">
        <v>26343.97</v>
      </c>
      <c r="T73" s="6">
        <v>50579.7</v>
      </c>
      <c r="U73" s="57">
        <v>46143</v>
      </c>
      <c r="V73" s="60">
        <f t="shared" si="0"/>
        <v>49.630787941968549</v>
      </c>
      <c r="W73" s="60">
        <f t="shared" si="1"/>
        <v>170.03476472381612</v>
      </c>
      <c r="X73" s="60">
        <f t="shared" si="2"/>
        <v>179.54436408345308</v>
      </c>
      <c r="Y73" s="60">
        <f t="shared" si="3"/>
        <v>144.25973751873488</v>
      </c>
    </row>
    <row r="74" spans="16:25" x14ac:dyDescent="0.25">
      <c r="P74" s="57">
        <v>46174</v>
      </c>
      <c r="Q74" s="6">
        <v>52.33</v>
      </c>
      <c r="R74" s="6">
        <v>7425.29</v>
      </c>
      <c r="S74" s="6">
        <v>25883.49</v>
      </c>
      <c r="T74" s="6">
        <v>51200.15</v>
      </c>
      <c r="U74" s="57">
        <v>46174</v>
      </c>
      <c r="V74" s="60">
        <f t="shared" si="0"/>
        <v>45.460863521848665</v>
      </c>
      <c r="W74" s="60">
        <f t="shared" si="1"/>
        <v>168.93858383804371</v>
      </c>
      <c r="X74" s="60">
        <f t="shared" si="2"/>
        <v>176.40601444316923</v>
      </c>
      <c r="Y74" s="60">
        <f t="shared" si="3"/>
        <v>146.02933983238046</v>
      </c>
    </row>
    <row r="75" spans="16:25" x14ac:dyDescent="0.25">
      <c r="P75" s="57">
        <v>46204</v>
      </c>
      <c r="Q75" s="61">
        <v>52.71</v>
      </c>
      <c r="R75" s="6">
        <v>7483.24</v>
      </c>
      <c r="S75" s="6">
        <v>25832.67</v>
      </c>
      <c r="T75" s="6">
        <v>52900.07</v>
      </c>
      <c r="U75" s="57">
        <v>46204</v>
      </c>
      <c r="V75" s="60">
        <f t="shared" si="0"/>
        <v>45.790982538441497</v>
      </c>
      <c r="W75" s="59">
        <f t="shared" si="1"/>
        <v>170.25704963983927</v>
      </c>
      <c r="X75" s="59">
        <f t="shared" si="2"/>
        <v>176.0596564499464</v>
      </c>
      <c r="Y75" s="59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C8AB-DD13-4C13-A629-4A2BB2BEECF0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2026-09-01T15:32:22Z</dcterms:modified>
  <cp:category/>
  <cp:contentStatus/>
</cp:coreProperties>
</file>