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all\Desktop\personal projects\dcf models\"/>
    </mc:Choice>
  </mc:AlternateContent>
  <xr:revisionPtr revIDLastSave="0" documentId="13_ncr:1_{63A0F02B-D3B8-4990-BE5E-C20187FB1CC7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WACC Input" sheetId="11" r:id="rId1"/>
    <sheet name="Base Assumptions" sheetId="1" r:id="rId2"/>
    <sheet name="Bear Assumptions" sheetId="9" r:id="rId3"/>
    <sheet name="Bull Assumptions" sheetId="10" r:id="rId4"/>
    <sheet name="Export" sheetId="1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  <c r="C19" i="11"/>
  <c r="C22" i="11"/>
  <c r="C24" i="11" s="1"/>
  <c r="C18" i="11"/>
  <c r="C12" i="11"/>
  <c r="C14" i="11" s="1"/>
  <c r="C13" i="11" l="1"/>
  <c r="C28" i="11" s="1"/>
  <c r="I21" i="10" l="1"/>
  <c r="H21" i="10"/>
  <c r="G21" i="10"/>
  <c r="F21" i="10"/>
  <c r="E21" i="10"/>
  <c r="I21" i="9"/>
  <c r="H21" i="9"/>
  <c r="G21" i="9"/>
  <c r="F21" i="9"/>
  <c r="E21" i="9"/>
  <c r="M42" i="10"/>
  <c r="M38" i="10"/>
  <c r="G38" i="10"/>
  <c r="B38" i="10"/>
  <c r="G37" i="10"/>
  <c r="B37" i="10"/>
  <c r="G36" i="10"/>
  <c r="G39" i="10" s="1"/>
  <c r="I31" i="10"/>
  <c r="H31" i="10"/>
  <c r="G31" i="10"/>
  <c r="F31" i="10"/>
  <c r="E31" i="10"/>
  <c r="D31" i="10"/>
  <c r="Y29" i="10"/>
  <c r="X29" i="10"/>
  <c r="W29" i="10"/>
  <c r="V29" i="10"/>
  <c r="Y28" i="10"/>
  <c r="X28" i="10"/>
  <c r="W28" i="10"/>
  <c r="V28" i="10"/>
  <c r="Y27" i="10"/>
  <c r="X27" i="10"/>
  <c r="W27" i="10"/>
  <c r="V27" i="10"/>
  <c r="D27" i="10"/>
  <c r="Y26" i="10"/>
  <c r="X26" i="10"/>
  <c r="W26" i="10"/>
  <c r="V26" i="10"/>
  <c r="E26" i="10"/>
  <c r="D26" i="10"/>
  <c r="Y25" i="10"/>
  <c r="X25" i="10"/>
  <c r="W25" i="10"/>
  <c r="V25" i="10"/>
  <c r="E25" i="10"/>
  <c r="D25" i="10"/>
  <c r="Y24" i="10"/>
  <c r="X24" i="10"/>
  <c r="W24" i="10"/>
  <c r="V24" i="10"/>
  <c r="Y23" i="10"/>
  <c r="X23" i="10"/>
  <c r="W23" i="10"/>
  <c r="V23" i="10"/>
  <c r="Y22" i="10"/>
  <c r="X22" i="10"/>
  <c r="W22" i="10"/>
  <c r="V22" i="10"/>
  <c r="E22" i="10"/>
  <c r="E24" i="10" s="1"/>
  <c r="D22" i="10"/>
  <c r="D23" i="10" s="1"/>
  <c r="Y21" i="10"/>
  <c r="X21" i="10"/>
  <c r="W21" i="10"/>
  <c r="V21" i="10"/>
  <c r="F27" i="10"/>
  <c r="E27" i="10"/>
  <c r="Y20" i="10"/>
  <c r="X20" i="10"/>
  <c r="W20" i="10"/>
  <c r="V20" i="10"/>
  <c r="Y19" i="10"/>
  <c r="X19" i="10"/>
  <c r="W19" i="10"/>
  <c r="V19" i="10"/>
  <c r="Y18" i="10"/>
  <c r="X18" i="10"/>
  <c r="W18" i="10"/>
  <c r="V18" i="10"/>
  <c r="Y17" i="10"/>
  <c r="X17" i="10"/>
  <c r="W17" i="10"/>
  <c r="V17" i="10"/>
  <c r="Y16" i="10"/>
  <c r="X16" i="10"/>
  <c r="W16" i="10"/>
  <c r="V16" i="10"/>
  <c r="Y15" i="10"/>
  <c r="X15" i="10"/>
  <c r="W15" i="10"/>
  <c r="V15" i="10"/>
  <c r="T9" i="10"/>
  <c r="M42" i="9"/>
  <c r="M38" i="9"/>
  <c r="G38" i="9"/>
  <c r="B38" i="9"/>
  <c r="G37" i="9"/>
  <c r="B37" i="9"/>
  <c r="G36" i="9"/>
  <c r="G39" i="9" s="1"/>
  <c r="I31" i="9"/>
  <c r="H31" i="9"/>
  <c r="G31" i="9"/>
  <c r="F31" i="9"/>
  <c r="E31" i="9"/>
  <c r="D31" i="9"/>
  <c r="Y29" i="9"/>
  <c r="X29" i="9"/>
  <c r="W29" i="9"/>
  <c r="V29" i="9"/>
  <c r="Y28" i="9"/>
  <c r="X28" i="9"/>
  <c r="W28" i="9"/>
  <c r="V28" i="9"/>
  <c r="Y27" i="9"/>
  <c r="X27" i="9"/>
  <c r="W27" i="9"/>
  <c r="V27" i="9"/>
  <c r="D27" i="9"/>
  <c r="Y26" i="9"/>
  <c r="X26" i="9"/>
  <c r="W26" i="9"/>
  <c r="V26" i="9"/>
  <c r="D26" i="9"/>
  <c r="Y25" i="9"/>
  <c r="X25" i="9"/>
  <c r="W25" i="9"/>
  <c r="V25" i="9"/>
  <c r="D25" i="9"/>
  <c r="Y24" i="9"/>
  <c r="X24" i="9"/>
  <c r="W24" i="9"/>
  <c r="V24" i="9"/>
  <c r="Y23" i="9"/>
  <c r="X23" i="9"/>
  <c r="W23" i="9"/>
  <c r="V23" i="9"/>
  <c r="Y22" i="9"/>
  <c r="X22" i="9"/>
  <c r="W22" i="9"/>
  <c r="V22" i="9"/>
  <c r="D22" i="9"/>
  <c r="D24" i="9" s="1"/>
  <c r="Y21" i="9"/>
  <c r="X21" i="9"/>
  <c r="W21" i="9"/>
  <c r="V21" i="9"/>
  <c r="E27" i="9"/>
  <c r="Y20" i="9"/>
  <c r="X20" i="9"/>
  <c r="W20" i="9"/>
  <c r="V20" i="9"/>
  <c r="Y19" i="9"/>
  <c r="X19" i="9"/>
  <c r="W19" i="9"/>
  <c r="V19" i="9"/>
  <c r="Y18" i="9"/>
  <c r="X18" i="9"/>
  <c r="W18" i="9"/>
  <c r="V18" i="9"/>
  <c r="Y17" i="9"/>
  <c r="X17" i="9"/>
  <c r="W17" i="9"/>
  <c r="V17" i="9"/>
  <c r="Y16" i="9"/>
  <c r="X16" i="9"/>
  <c r="W16" i="9"/>
  <c r="V16" i="9"/>
  <c r="Y15" i="9"/>
  <c r="X15" i="9"/>
  <c r="W15" i="9"/>
  <c r="V15" i="9"/>
  <c r="T9" i="9"/>
  <c r="V29" i="1"/>
  <c r="W29" i="1"/>
  <c r="X29" i="1"/>
  <c r="Y29" i="1"/>
  <c r="E28" i="10" l="1"/>
  <c r="D28" i="9"/>
  <c r="Q7" i="9" s="1"/>
  <c r="C32" i="10"/>
  <c r="G40" i="10"/>
  <c r="C30" i="10"/>
  <c r="E30" i="10"/>
  <c r="E32" i="10" s="1"/>
  <c r="Q8" i="10"/>
  <c r="F25" i="10"/>
  <c r="F22" i="10"/>
  <c r="F26" i="10"/>
  <c r="E23" i="10"/>
  <c r="D24" i="10"/>
  <c r="D28" i="10" s="1"/>
  <c r="G40" i="9"/>
  <c r="C30" i="9"/>
  <c r="C32" i="9"/>
  <c r="E25" i="9"/>
  <c r="E22" i="9"/>
  <c r="E26" i="9"/>
  <c r="D23" i="9"/>
  <c r="Y17" i="1"/>
  <c r="Y18" i="1"/>
  <c r="Y19" i="1"/>
  <c r="Y20" i="1"/>
  <c r="Y21" i="1"/>
  <c r="Y22" i="1"/>
  <c r="Y23" i="1"/>
  <c r="Y24" i="1"/>
  <c r="Y25" i="1"/>
  <c r="Y26" i="1"/>
  <c r="Y27" i="1"/>
  <c r="Y28" i="1"/>
  <c r="Y16" i="1"/>
  <c r="Y15" i="1"/>
  <c r="X17" i="1"/>
  <c r="X18" i="1"/>
  <c r="X19" i="1"/>
  <c r="X20" i="1"/>
  <c r="X21" i="1"/>
  <c r="X22" i="1"/>
  <c r="X23" i="1"/>
  <c r="X24" i="1"/>
  <c r="X25" i="1"/>
  <c r="X26" i="1"/>
  <c r="X27" i="1"/>
  <c r="X28" i="1"/>
  <c r="X16" i="1"/>
  <c r="X15" i="1"/>
  <c r="W17" i="1"/>
  <c r="W18" i="1"/>
  <c r="W19" i="1"/>
  <c r="W20" i="1"/>
  <c r="W21" i="1"/>
  <c r="W22" i="1"/>
  <c r="W23" i="1"/>
  <c r="W24" i="1"/>
  <c r="W25" i="1"/>
  <c r="W26" i="1"/>
  <c r="W27" i="1"/>
  <c r="W28" i="1"/>
  <c r="W16" i="1"/>
  <c r="W15" i="1"/>
  <c r="V17" i="1"/>
  <c r="V18" i="1"/>
  <c r="V19" i="1"/>
  <c r="V20" i="1"/>
  <c r="V21" i="1"/>
  <c r="V22" i="1"/>
  <c r="V23" i="1"/>
  <c r="V24" i="1"/>
  <c r="V25" i="1"/>
  <c r="V26" i="1"/>
  <c r="V27" i="1"/>
  <c r="V28" i="1"/>
  <c r="V16" i="1"/>
  <c r="V15" i="1"/>
  <c r="E21" i="1"/>
  <c r="F21" i="1" s="1"/>
  <c r="G21" i="1" s="1"/>
  <c r="H21" i="1" s="1"/>
  <c r="I21" i="1" s="1"/>
  <c r="D30" i="9" l="1"/>
  <c r="D32" i="9" s="1"/>
  <c r="G27" i="10"/>
  <c r="G25" i="10"/>
  <c r="G26" i="10"/>
  <c r="G22" i="10"/>
  <c r="F23" i="10"/>
  <c r="F24" i="10"/>
  <c r="F28" i="10" s="1"/>
  <c r="Q7" i="10"/>
  <c r="D30" i="10"/>
  <c r="D32" i="10" s="1"/>
  <c r="G41" i="10"/>
  <c r="M48" i="10"/>
  <c r="E23" i="9"/>
  <c r="E24" i="9"/>
  <c r="E28" i="9" s="1"/>
  <c r="F27" i="9"/>
  <c r="F26" i="9"/>
  <c r="F22" i="9"/>
  <c r="F25" i="9"/>
  <c r="M48" i="9"/>
  <c r="G41" i="9"/>
  <c r="F30" i="10" l="1"/>
  <c r="F32" i="10" s="1"/>
  <c r="Q9" i="10"/>
  <c r="G23" i="10"/>
  <c r="G24" i="10"/>
  <c r="G28" i="10" s="1"/>
  <c r="H26" i="10"/>
  <c r="H22" i="10"/>
  <c r="H25" i="10"/>
  <c r="H27" i="10"/>
  <c r="G26" i="9"/>
  <c r="G22" i="9"/>
  <c r="G25" i="9"/>
  <c r="G27" i="9"/>
  <c r="F23" i="9"/>
  <c r="F24" i="9"/>
  <c r="F28" i="9" s="1"/>
  <c r="E30" i="9"/>
  <c r="E32" i="9" s="1"/>
  <c r="Q8" i="9"/>
  <c r="H24" i="10" l="1"/>
  <c r="H28" i="10" s="1"/>
  <c r="H23" i="10"/>
  <c r="I26" i="10"/>
  <c r="I22" i="10"/>
  <c r="I25" i="10"/>
  <c r="I27" i="10"/>
  <c r="Q10" i="10"/>
  <c r="G30" i="10"/>
  <c r="G32" i="10" s="1"/>
  <c r="Q9" i="9"/>
  <c r="F30" i="9"/>
  <c r="F32" i="9" s="1"/>
  <c r="H26" i="9"/>
  <c r="H22" i="9"/>
  <c r="H25" i="9"/>
  <c r="H27" i="9"/>
  <c r="G24" i="9"/>
  <c r="G28" i="9" s="1"/>
  <c r="G23" i="9"/>
  <c r="M21" i="10" l="1"/>
  <c r="I24" i="10"/>
  <c r="I28" i="10" s="1"/>
  <c r="I23" i="10"/>
  <c r="Q11" i="10"/>
  <c r="H30" i="10"/>
  <c r="H32" i="10" s="1"/>
  <c r="Q10" i="9"/>
  <c r="G30" i="9"/>
  <c r="G32" i="9" s="1"/>
  <c r="I22" i="9"/>
  <c r="I25" i="9"/>
  <c r="I27" i="9"/>
  <c r="I26" i="9"/>
  <c r="H24" i="9"/>
  <c r="H28" i="9" s="1"/>
  <c r="H23" i="9"/>
  <c r="M21" i="9" l="1"/>
  <c r="M20" i="10"/>
  <c r="M22" i="10" s="1"/>
  <c r="J32" i="10" s="1"/>
  <c r="Q12" i="10"/>
  <c r="I30" i="10"/>
  <c r="I32" i="10" s="1"/>
  <c r="B36" i="10" s="1"/>
  <c r="I24" i="9"/>
  <c r="I28" i="9" s="1"/>
  <c r="I23" i="9"/>
  <c r="Q11" i="9"/>
  <c r="H30" i="9"/>
  <c r="H32" i="9" s="1"/>
  <c r="B39" i="10" l="1"/>
  <c r="B40" i="10" s="1"/>
  <c r="M41" i="10" s="1"/>
  <c r="J30" i="10"/>
  <c r="Q12" i="9"/>
  <c r="I30" i="9"/>
  <c r="I32" i="9" s="1"/>
  <c r="B36" i="9" s="1"/>
  <c r="M20" i="9"/>
  <c r="M22" i="9" s="1"/>
  <c r="J32" i="9" s="1"/>
  <c r="M47" i="10" l="1"/>
  <c r="B41" i="10"/>
  <c r="M43" i="10"/>
  <c r="T7" i="10"/>
  <c r="M44" i="10"/>
  <c r="M37" i="10"/>
  <c r="M49" i="10"/>
  <c r="M50" i="10"/>
  <c r="B39" i="9"/>
  <c r="B40" i="9" s="1"/>
  <c r="J30" i="9"/>
  <c r="M50" i="9" l="1"/>
  <c r="B41" i="9"/>
  <c r="M37" i="9"/>
  <c r="M47" i="9"/>
  <c r="M44" i="9"/>
  <c r="M43" i="9"/>
  <c r="M41" i="9"/>
  <c r="T7" i="9"/>
  <c r="M49" i="9"/>
  <c r="M42" i="1" l="1"/>
  <c r="T9" i="1"/>
  <c r="D22" i="1" l="1"/>
  <c r="D27" i="1"/>
  <c r="D26" i="1"/>
  <c r="D25" i="1"/>
  <c r="G36" i="1"/>
  <c r="E27" i="1" l="1"/>
  <c r="E25" i="1"/>
  <c r="E26" i="1"/>
  <c r="F26" i="1"/>
  <c r="F27" i="1"/>
  <c r="G27" i="1"/>
  <c r="G25" i="1"/>
  <c r="G26" i="1"/>
  <c r="F25" i="1"/>
  <c r="H26" i="1" l="1"/>
  <c r="H27" i="1"/>
  <c r="H25" i="1"/>
  <c r="I26" i="1" l="1"/>
  <c r="I27" i="1"/>
  <c r="I25" i="1"/>
  <c r="E22" i="1"/>
  <c r="B38" i="1"/>
  <c r="F22" i="1" l="1"/>
  <c r="D23" i="1"/>
  <c r="M38" i="1"/>
  <c r="B37" i="1"/>
  <c r="G37" i="1"/>
  <c r="G38" i="1"/>
  <c r="E31" i="1"/>
  <c r="F31" i="1"/>
  <c r="G31" i="1"/>
  <c r="H31" i="1"/>
  <c r="I31" i="1"/>
  <c r="D31" i="1"/>
  <c r="G22" i="1" l="1"/>
  <c r="D24" i="1"/>
  <c r="G39" i="1"/>
  <c r="C30" i="1" s="1"/>
  <c r="H22" i="1" l="1"/>
  <c r="D28" i="1"/>
  <c r="Q7" i="1" s="1"/>
  <c r="G40" i="1"/>
  <c r="C32" i="1"/>
  <c r="E24" i="1"/>
  <c r="E28" i="1" s="1"/>
  <c r="E23" i="1"/>
  <c r="G41" i="1" l="1"/>
  <c r="I22" i="1"/>
  <c r="M21" i="1" s="1"/>
  <c r="D30" i="1"/>
  <c r="D32" i="1" s="1"/>
  <c r="M48" i="1"/>
  <c r="E30" i="1"/>
  <c r="E32" i="1" s="1"/>
  <c r="Q8" i="1"/>
  <c r="F24" i="1"/>
  <c r="F28" i="1" s="1"/>
  <c r="F23" i="1"/>
  <c r="F30" i="1" l="1"/>
  <c r="F32" i="1" s="1"/>
  <c r="Q9" i="1"/>
  <c r="G24" i="1"/>
  <c r="G28" i="1" s="1"/>
  <c r="G23" i="1"/>
  <c r="G30" i="1" l="1"/>
  <c r="G32" i="1" s="1"/>
  <c r="Q10" i="1"/>
  <c r="H24" i="1"/>
  <c r="H28" i="1" s="1"/>
  <c r="H23" i="1"/>
  <c r="H30" i="1" l="1"/>
  <c r="H32" i="1" s="1"/>
  <c r="Q11" i="1"/>
  <c r="I24" i="1"/>
  <c r="I28" i="1" s="1"/>
  <c r="Q12" i="1" s="1"/>
  <c r="I23" i="1"/>
  <c r="M20" i="1" l="1"/>
  <c r="M22" i="1" s="1"/>
  <c r="I30" i="1"/>
  <c r="I32" i="1" s="1"/>
  <c r="B36" i="1" s="1"/>
  <c r="B39" i="1" l="1"/>
  <c r="B40" i="1" s="1"/>
  <c r="J30" i="1"/>
  <c r="J32" i="1"/>
  <c r="T7" i="1" l="1"/>
  <c r="M44" i="1"/>
  <c r="M50" i="1"/>
  <c r="M41" i="1"/>
  <c r="M43" i="1"/>
  <c r="M37" i="1"/>
  <c r="B41" i="1"/>
  <c r="M47" i="1"/>
  <c r="M49" i="1"/>
</calcChain>
</file>

<file path=xl/sharedStrings.xml><?xml version="1.0" encoding="utf-8"?>
<sst xmlns="http://schemas.openxmlformats.org/spreadsheetml/2006/main" count="344" uniqueCount="129">
  <si>
    <t>Wallace Capital Research</t>
  </si>
  <si>
    <t>Assumptions</t>
  </si>
  <si>
    <t>Tax Rate</t>
  </si>
  <si>
    <t>Discount Rate (WACC)</t>
  </si>
  <si>
    <t>Perpetual Growth Rate</t>
  </si>
  <si>
    <t>EV/EBITDA Multiple</t>
  </si>
  <si>
    <t>Transaction Date</t>
  </si>
  <si>
    <t>Fiscal Year End</t>
  </si>
  <si>
    <t>Current Price</t>
  </si>
  <si>
    <t>Shares Outstanding</t>
  </si>
  <si>
    <t>Debt</t>
  </si>
  <si>
    <t>Cash</t>
  </si>
  <si>
    <t>Capex</t>
  </si>
  <si>
    <t>Entry</t>
  </si>
  <si>
    <t>Exit</t>
  </si>
  <si>
    <t>Terminal Value</t>
  </si>
  <si>
    <t>Date</t>
  </si>
  <si>
    <t>Perpetual Growth</t>
  </si>
  <si>
    <t>Revenue</t>
  </si>
  <si>
    <t>EV/EBITDA</t>
  </si>
  <si>
    <t>Average</t>
  </si>
  <si>
    <t>Taxes</t>
  </si>
  <si>
    <t>(EBIT * Tax Rate)</t>
  </si>
  <si>
    <t>NOPAT</t>
  </si>
  <si>
    <t>(EBIT * (1 - Tax Rate)</t>
  </si>
  <si>
    <t>Plus: D&amp;A</t>
  </si>
  <si>
    <t>Less: Change in NWC</t>
  </si>
  <si>
    <t>Unlevered Free Cash Flow</t>
  </si>
  <si>
    <t>(NOPAT + D&amp;A - Capex - Change in NWC)</t>
  </si>
  <si>
    <t>Enterprise Value</t>
  </si>
  <si>
    <t>Market Value</t>
  </si>
  <si>
    <t>(Market Cap + Debt - Cash)</t>
  </si>
  <si>
    <t>Market Cap</t>
  </si>
  <si>
    <t>(Shares Outstanding * Current Price)</t>
  </si>
  <si>
    <t>Time Period</t>
  </si>
  <si>
    <t>Transaction CF</t>
  </si>
  <si>
    <t>Discount Factor</t>
  </si>
  <si>
    <t>(Unlevered FCF 2031 + Average Terminal Value)</t>
  </si>
  <si>
    <t>(1/(1+WACC)^Time Period</t>
  </si>
  <si>
    <t>Present Value of Transaction CF</t>
  </si>
  <si>
    <t>Intrinsic Value</t>
  </si>
  <si>
    <t>Intrinsic Enterprise Value</t>
  </si>
  <si>
    <t>Discounted Cash Flow</t>
  </si>
  <si>
    <t>Intrinsic Equity Value</t>
  </si>
  <si>
    <t>(Sum all PV of Transaction CF)</t>
  </si>
  <si>
    <t>Upside / Downside %</t>
  </si>
  <si>
    <t>(Intrinsic Equity Value per Share / Current Price) - 1</t>
  </si>
  <si>
    <t>Enterprise Value per Share</t>
  </si>
  <si>
    <t>(Enterprise Value / Shares Outstanding)</t>
  </si>
  <si>
    <t>(Enterprise Value per Share / Current Price) - 1</t>
  </si>
  <si>
    <t>Rate of Return</t>
  </si>
  <si>
    <t>Target Price Upside</t>
  </si>
  <si>
    <t>Internal Rate of Return (IRR)</t>
  </si>
  <si>
    <t>Intrinsic Value vs Market Value</t>
  </si>
  <si>
    <t>Present Value of Transaction CF (millions)</t>
  </si>
  <si>
    <t>(IRR in millions)</t>
  </si>
  <si>
    <t>Chart Data</t>
  </si>
  <si>
    <t>Year</t>
  </si>
  <si>
    <t>Unlevered FCF</t>
  </si>
  <si>
    <t>Category</t>
  </si>
  <si>
    <t>Value ($ per share)</t>
  </si>
  <si>
    <t>5 YR DCF MODEL</t>
  </si>
  <si>
    <t>S&amp;P 500</t>
  </si>
  <si>
    <t>DJIA</t>
  </si>
  <si>
    <t>S&amp;P 500 Indexed</t>
  </si>
  <si>
    <t>DJIA Indexed</t>
  </si>
  <si>
    <t>Total returns indexed to 100</t>
  </si>
  <si>
    <t>(From Yahoo Finance)</t>
  </si>
  <si>
    <t>NASDAQ Composite</t>
  </si>
  <si>
    <t>NASDAQ Indexed</t>
  </si>
  <si>
    <t>Perpetual Growth Equity Value per Share</t>
  </si>
  <si>
    <t>Downside</t>
  </si>
  <si>
    <t>Mid to end of month closing price</t>
  </si>
  <si>
    <t>(Intrinsic EV + Cash - Debt + Average Growth Terminal Value) / 2</t>
  </si>
  <si>
    <t>(Intrinsic Equity Value / Shares Outstanding)</t>
  </si>
  <si>
    <t>*base-case assumptions</t>
  </si>
  <si>
    <t>*bear-case assumptions</t>
  </si>
  <si>
    <t>(as of July 2026)</t>
  </si>
  <si>
    <t>Intrinsic Value vs Current Price</t>
  </si>
  <si>
    <t>(3% of Revenue)</t>
  </si>
  <si>
    <t>(1% of Revenue)</t>
  </si>
  <si>
    <t>(2% of Revenue)</t>
  </si>
  <si>
    <t>Upside (%)</t>
  </si>
  <si>
    <t>Upside ($)</t>
  </si>
  <si>
    <t>(Revenue * 0.3)</t>
  </si>
  <si>
    <t>EBIT Margin (currently negative)</t>
  </si>
  <si>
    <t>(Revenue * 0.1)</t>
  </si>
  <si>
    <t>50.0x (assumes 5-year horizon)</t>
  </si>
  <si>
    <t>Less: Capex (currently exceeds revenue)</t>
  </si>
  <si>
    <t>(tax free company)</t>
  </si>
  <si>
    <t>(15% of Revenue)</t>
  </si>
  <si>
    <t>(30% of Revenue)</t>
  </si>
  <si>
    <t>45.0x (assumes 5-year horizon)</t>
  </si>
  <si>
    <t>(assumes continued strong revenue appreciation)</t>
  </si>
  <si>
    <t>(Revenue * 0.2)</t>
  </si>
  <si>
    <t>(35% of Revenue)</t>
  </si>
  <si>
    <t>SpaceX Indexed</t>
  </si>
  <si>
    <t>Space Exploration Technologies Corp</t>
  </si>
  <si>
    <t>*base-case assumptions.  These are highly tentative due to SpaceX's short tenure as publicly traded</t>
  </si>
  <si>
    <t>6,534,500,000 (35% of Revenue)</t>
  </si>
  <si>
    <t>(40% of Revenue)</t>
  </si>
  <si>
    <t>(13% of Revenue)</t>
  </si>
  <si>
    <t>55.0x (assumes 5-year horizon)</t>
  </si>
  <si>
    <t>7,648,000,000 (40% of Revenue)</t>
  </si>
  <si>
    <t>(17% of Revenue)</t>
  </si>
  <si>
    <t>Input</t>
  </si>
  <si>
    <t>Ticker</t>
  </si>
  <si>
    <t>Beta</t>
  </si>
  <si>
    <t>Total Debt</t>
  </si>
  <si>
    <t>Interest Expense (TTM)</t>
  </si>
  <si>
    <t>Effective Tax Rate</t>
  </si>
  <si>
    <t>Risk-Free Rate (beginning of month)</t>
  </si>
  <si>
    <t>Capital Structure Weights</t>
  </si>
  <si>
    <t>Total Capitalization</t>
  </si>
  <si>
    <t>Weight of Equity (E/V)</t>
  </si>
  <si>
    <t>Weight of Debt (D/V)</t>
  </si>
  <si>
    <r>
      <t>Cost of Equity (R</t>
    </r>
    <r>
      <rPr>
        <b/>
        <vertAlign val="subscript"/>
        <sz val="11"/>
        <color theme="1"/>
        <rFont val="Calibri"/>
        <family val="2"/>
        <scheme val="minor"/>
      </rPr>
      <t>e</t>
    </r>
    <r>
      <rPr>
        <b/>
        <sz val="11"/>
        <color theme="1"/>
        <rFont val="Calibri"/>
        <family val="2"/>
        <scheme val="minor"/>
      </rPr>
      <t>) via CAPM</t>
    </r>
  </si>
  <si>
    <t>Formula</t>
  </si>
  <si>
    <t>Risk-Free Rate + (Beta x Market Risk Premium)</t>
  </si>
  <si>
    <t>Market Risk Premium (assuming 9% return)</t>
  </si>
  <si>
    <t>Calculation</t>
  </si>
  <si>
    <r>
      <t>After-Tax Cost of Debt (R</t>
    </r>
    <r>
      <rPr>
        <b/>
        <vertAlign val="subscript"/>
        <sz val="11"/>
        <color theme="1"/>
        <rFont val="Calibri"/>
        <family val="2"/>
        <scheme val="minor"/>
      </rPr>
      <t>d</t>
    </r>
    <r>
      <rPr>
        <b/>
        <sz val="11"/>
        <color theme="1"/>
        <rFont val="Calibri"/>
        <family val="2"/>
        <scheme val="minor"/>
      </rPr>
      <t>)</t>
    </r>
  </si>
  <si>
    <t>Pre-Tax Cost of Debt</t>
  </si>
  <si>
    <t>After-Tax Shield Formula</t>
  </si>
  <si>
    <t>Pre-Tax Rate x (1-Tax Rate)</t>
  </si>
  <si>
    <t>Final Weighted Average Cost of Capital (WACC)</t>
  </si>
  <si>
    <r>
      <t>(W</t>
    </r>
    <r>
      <rPr>
        <vertAlign val="subscript"/>
        <sz val="11"/>
        <color theme="1"/>
        <rFont val="Calibri"/>
        <family val="2"/>
        <scheme val="minor"/>
      </rPr>
      <t>equity</t>
    </r>
    <r>
      <rPr>
        <sz val="11"/>
        <color theme="1"/>
        <rFont val="Calibri"/>
        <family val="2"/>
        <scheme val="minor"/>
      </rPr>
      <t xml:space="preserve"> x R</t>
    </r>
    <r>
      <rPr>
        <vertAlign val="sub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) + (W</t>
    </r>
    <r>
      <rPr>
        <vertAlign val="subscript"/>
        <sz val="11"/>
        <color theme="1"/>
        <rFont val="Calibri"/>
        <family val="2"/>
        <scheme val="minor"/>
      </rPr>
      <t>debt</t>
    </r>
    <r>
      <rPr>
        <sz val="11"/>
        <color theme="1"/>
        <rFont val="Calibri"/>
        <family val="2"/>
        <scheme val="minor"/>
      </rPr>
      <t xml:space="preserve"> x After-Tax R</t>
    </r>
    <r>
      <rPr>
        <vertAlign val="sub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)</t>
    </r>
  </si>
  <si>
    <t>SPCX</t>
  </si>
  <si>
    <t>5,601,000,000 (30% of Revenue)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</si>
</sst>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.0"/>
    <numFmt numFmtId="166" formatCode="&quot;$&quot;#,##0"/>
    <numFmt numFmtId="167" formatCode="_(&quot;$&quot;* #,##0_);_(&quot;$&quot;* \(#,##0\);_(&quot;$&quot;* &quot;-&quot;??_);_(@_)"/>
    <numFmt numFmtId="168" formatCode="_(* #,##0_);_(* \(#,##0\);_(* &quot;-&quot;??_);_(@_)"/>
    <numFmt numFmtId="169" formatCode="0.0%"/>
    <numFmt numFmtId="170" formatCode="0.0"/>
  </numFmts>
  <fonts count="9" x14ac:knownFonts="1">
    <font>
      <sz val="11"/>
      <color theme="1"/>
      <name val="Calibri"/>
      <family val="2"/>
      <scheme val="minor"/>
    </font>
    <font>
      <sz val="16"/>
      <color rgb="FF000000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0">
    <xf numFmtId="0" fontId="0" fillId="0" borderId="0" xfId="0"/>
    <xf numFmtId="0" fontId="0" fillId="2" borderId="0" xfId="0" applyFill="1"/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6" fontId="0" fillId="0" borderId="0" xfId="0" applyNumberFormat="1" applyAlignment="1">
      <alignment horizontal="center" vertical="top"/>
    </xf>
    <xf numFmtId="0" fontId="5" fillId="0" borderId="0" xfId="0" applyFont="1"/>
    <xf numFmtId="166" fontId="0" fillId="0" borderId="0" xfId="0" applyNumberFormat="1" applyAlignment="1">
      <alignment horizontal="center" vertical="top"/>
    </xf>
    <xf numFmtId="166" fontId="0" fillId="0" borderId="0" xfId="0" applyNumberFormat="1"/>
    <xf numFmtId="6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 applyAlignment="1">
      <alignment horizontal="left"/>
    </xf>
    <xf numFmtId="164" fontId="0" fillId="0" borderId="0" xfId="0" applyNumberFormat="1" applyAlignment="1">
      <alignment vertical="top"/>
    </xf>
    <xf numFmtId="6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9" fontId="0" fillId="0" borderId="0" xfId="0" applyNumberFormat="1"/>
    <xf numFmtId="3" fontId="0" fillId="0" borderId="0" xfId="0" applyNumberFormat="1"/>
    <xf numFmtId="2" fontId="0" fillId="0" borderId="0" xfId="0" applyNumberFormat="1"/>
    <xf numFmtId="168" fontId="0" fillId="0" borderId="0" xfId="1" applyNumberFormat="1" applyFont="1"/>
    <xf numFmtId="0" fontId="2" fillId="4" borderId="0" xfId="0" applyFont="1" applyFill="1"/>
    <xf numFmtId="0" fontId="0" fillId="4" borderId="0" xfId="0" applyFill="1"/>
    <xf numFmtId="168" fontId="0" fillId="0" borderId="0" xfId="2" applyNumberFormat="1" applyFont="1"/>
    <xf numFmtId="165" fontId="0" fillId="0" borderId="0" xfId="0" applyNumberFormat="1" applyAlignment="1">
      <alignment horizontal="center"/>
    </xf>
    <xf numFmtId="9" fontId="3" fillId="3" borderId="0" xfId="0" applyNumberFormat="1" applyFont="1" applyFill="1" applyAlignment="1">
      <alignment horizontal="left"/>
    </xf>
    <xf numFmtId="169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4" fontId="0" fillId="3" borderId="0" xfId="0" applyNumberFormat="1" applyFill="1" applyAlignment="1">
      <alignment horizontal="left"/>
    </xf>
    <xf numFmtId="6" fontId="0" fillId="3" borderId="0" xfId="0" applyNumberFormat="1" applyFill="1" applyAlignment="1">
      <alignment horizontal="left"/>
    </xf>
    <xf numFmtId="3" fontId="0" fillId="3" borderId="0" xfId="0" applyNumberFormat="1" applyFill="1" applyAlignment="1">
      <alignment horizontal="left"/>
    </xf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3" fontId="0" fillId="0" borderId="0" xfId="1" applyNumberFormat="1" applyFont="1"/>
    <xf numFmtId="0" fontId="4" fillId="5" borderId="1" xfId="0" applyFont="1" applyFill="1" applyBorder="1"/>
    <xf numFmtId="0" fontId="0" fillId="5" borderId="3" xfId="0" applyFill="1" applyBorder="1"/>
    <xf numFmtId="0" fontId="0" fillId="5" borderId="4" xfId="0" applyFill="1" applyBorder="1"/>
    <xf numFmtId="164" fontId="0" fillId="5" borderId="5" xfId="0" applyNumberFormat="1" applyFill="1" applyBorder="1"/>
    <xf numFmtId="0" fontId="0" fillId="5" borderId="5" xfId="0" applyFill="1" applyBorder="1"/>
    <xf numFmtId="0" fontId="4" fillId="5" borderId="4" xfId="0" applyFont="1" applyFill="1" applyBorder="1"/>
    <xf numFmtId="0" fontId="0" fillId="5" borderId="6" xfId="0" applyFill="1" applyBorder="1"/>
    <xf numFmtId="6" fontId="0" fillId="5" borderId="5" xfId="0" applyNumberFormat="1" applyFill="1" applyBorder="1"/>
    <xf numFmtId="10" fontId="0" fillId="5" borderId="5" xfId="3" applyNumberFormat="1" applyFont="1" applyFill="1" applyBorder="1"/>
    <xf numFmtId="10" fontId="0" fillId="5" borderId="8" xfId="3" applyNumberFormat="1" applyFont="1" applyFill="1" applyBorder="1"/>
    <xf numFmtId="170" fontId="0" fillId="0" borderId="0" xfId="0" applyNumberFormat="1"/>
    <xf numFmtId="14" fontId="0" fillId="0" borderId="0" xfId="0" applyNumberFormat="1"/>
    <xf numFmtId="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5" xfId="0" applyBorder="1" applyAlignment="1">
      <alignment horizontal="right"/>
    </xf>
    <xf numFmtId="168" fontId="0" fillId="0" borderId="5" xfId="1" applyNumberFormat="1" applyFont="1" applyBorder="1" applyAlignment="1">
      <alignment horizontal="right"/>
    </xf>
    <xf numFmtId="9" fontId="0" fillId="0" borderId="5" xfId="0" applyNumberFormat="1" applyBorder="1" applyAlignment="1">
      <alignment horizontal="right"/>
    </xf>
    <xf numFmtId="10" fontId="0" fillId="0" borderId="8" xfId="0" applyNumberFormat="1" applyBorder="1" applyAlignment="1">
      <alignment horizontal="right"/>
    </xf>
    <xf numFmtId="168" fontId="0" fillId="0" borderId="0" xfId="0" applyNumberFormat="1"/>
    <xf numFmtId="10" fontId="0" fillId="0" borderId="0" xfId="3" applyNumberFormat="1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'Base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'Base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'Base Assumptions'!$Q$7:$Q$12</c:f>
              <c:numCache>
                <c:formatCode>_(* #,##0_);_(* \(#,##0\);_(* "-"??_);_(@_)</c:formatCode>
                <c:ptCount val="6"/>
                <c:pt idx="0">
                  <c:v>-373400000</c:v>
                </c:pt>
                <c:pt idx="1">
                  <c:v>-541430000</c:v>
                </c:pt>
                <c:pt idx="2">
                  <c:v>-758002000</c:v>
                </c:pt>
                <c:pt idx="3">
                  <c:v>-1023302700</c:v>
                </c:pt>
                <c:pt idx="4">
                  <c:v>-1279128375</c:v>
                </c:pt>
                <c:pt idx="5">
                  <c:v>-1662866887.5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7-4AF1-9A8F-C1340CFDF6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.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E7-4242-935E-C5C9592ED43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'Base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'Base Assumptions'!$T$7:$T$9</c:f>
              <c:numCache>
                <c:formatCode>"$"#,##0.00</c:formatCode>
                <c:ptCount val="3"/>
                <c:pt idx="0">
                  <c:v>27.387821283791904</c:v>
                </c:pt>
                <c:pt idx="1">
                  <c:v>128.61000000000001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C-47D6-B258-AA75CCA0DF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SPCX vs Major Indices 1 Month</a:t>
            </a:r>
            <a:r>
              <a:rPr lang="en-US" sz="2000" baseline="0"/>
              <a:t> Performance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'Base Assumptions'!$V$14</c:f>
              <c:strCache>
                <c:ptCount val="1"/>
                <c:pt idx="0">
                  <c:v>SpaceX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Assumptions'!$U$15:$U$29</c:f>
              <c:numCache>
                <c:formatCode>m/d/yyyy</c:formatCode>
                <c:ptCount val="15"/>
                <c:pt idx="0">
                  <c:v>46185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46195</c:v>
                </c:pt>
                <c:pt idx="6">
                  <c:v>46196</c:v>
                </c:pt>
                <c:pt idx="7">
                  <c:v>46197</c:v>
                </c:pt>
                <c:pt idx="8">
                  <c:v>46198</c:v>
                </c:pt>
                <c:pt idx="9">
                  <c:v>46199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46209</c:v>
                </c:pt>
              </c:numCache>
            </c:numRef>
          </c:cat>
          <c:val>
            <c:numRef>
              <c:f>'Base Assumptions'!$V$15:$V$29</c:f>
              <c:numCache>
                <c:formatCode>0.00</c:formatCode>
                <c:ptCount val="15"/>
                <c:pt idx="0" formatCode="0">
                  <c:v>100</c:v>
                </c:pt>
                <c:pt idx="1">
                  <c:v>119.60236098167134</c:v>
                </c:pt>
                <c:pt idx="2">
                  <c:v>131.33892513202858</c:v>
                </c:pt>
                <c:pt idx="3">
                  <c:v>119.17986952469712</c:v>
                </c:pt>
                <c:pt idx="4">
                  <c:v>114.94252873563219</c:v>
                </c:pt>
                <c:pt idx="5">
                  <c:v>96.054675365020188</c:v>
                </c:pt>
                <c:pt idx="6">
                  <c:v>96.992854923889425</c:v>
                </c:pt>
                <c:pt idx="7">
                  <c:v>96.017396707051887</c:v>
                </c:pt>
                <c:pt idx="8">
                  <c:v>95.060577819198514</c:v>
                </c:pt>
                <c:pt idx="9">
                  <c:v>95.203479341410386</c:v>
                </c:pt>
                <c:pt idx="10">
                  <c:v>102.01304753028893</c:v>
                </c:pt>
                <c:pt idx="11">
                  <c:v>106.15719167443307</c:v>
                </c:pt>
                <c:pt idx="12">
                  <c:v>97.881329605467542</c:v>
                </c:pt>
                <c:pt idx="13">
                  <c:v>100.65237651444549</c:v>
                </c:pt>
                <c:pt idx="14">
                  <c:v>99.875737806772293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B3-4ECE-B81D-8DB2175BF751}"/>
            </c:ext>
          </c:extLst>
        </c:ser>
        <c:ser>
          <c:idx val="2"/>
          <c:order val="1"/>
          <c:tx>
            <c:strRef>
              <c:f>'Base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Assumptions'!$U$15:$U$29</c:f>
              <c:numCache>
                <c:formatCode>m/d/yyyy</c:formatCode>
                <c:ptCount val="15"/>
                <c:pt idx="0">
                  <c:v>46185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46195</c:v>
                </c:pt>
                <c:pt idx="6">
                  <c:v>46196</c:v>
                </c:pt>
                <c:pt idx="7">
                  <c:v>46197</c:v>
                </c:pt>
                <c:pt idx="8">
                  <c:v>46198</c:v>
                </c:pt>
                <c:pt idx="9">
                  <c:v>46199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46209</c:v>
                </c:pt>
              </c:numCache>
            </c:numRef>
          </c:cat>
          <c:val>
            <c:numRef>
              <c:f>'Base Assumptions'!$W$15:$W$29</c:f>
              <c:numCache>
                <c:formatCode>0.00</c:formatCode>
                <c:ptCount val="15"/>
                <c:pt idx="0" formatCode="0">
                  <c:v>100</c:v>
                </c:pt>
                <c:pt idx="1">
                  <c:v>101.65283806950451</c:v>
                </c:pt>
                <c:pt idx="2">
                  <c:v>101.07502428863238</c:v>
                </c:pt>
                <c:pt idx="3">
                  <c:v>99.847136363514039</c:v>
                </c:pt>
                <c:pt idx="4">
                  <c:v>100.93009987270334</c:v>
                </c:pt>
                <c:pt idx="5">
                  <c:v>100.55614912816593</c:v>
                </c:pt>
                <c:pt idx="6">
                  <c:v>99.111883802106178</c:v>
                </c:pt>
                <c:pt idx="7">
                  <c:v>99.014460146458433</c:v>
                </c:pt>
                <c:pt idx="8">
                  <c:v>99.004637043057485</c:v>
                </c:pt>
                <c:pt idx="9">
                  <c:v>98.957943661137932</c:v>
                </c:pt>
                <c:pt idx="10">
                  <c:v>100.12070306507739</c:v>
                </c:pt>
                <c:pt idx="11">
                  <c:v>100.91368317934833</c:v>
                </c:pt>
                <c:pt idx="12">
                  <c:v>100.69663296310549</c:v>
                </c:pt>
                <c:pt idx="13">
                  <c:v>100.69676752616579</c:v>
                </c:pt>
                <c:pt idx="14">
                  <c:v>101.42596474986073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B3-4ECE-B81D-8DB2175BF751}"/>
            </c:ext>
          </c:extLst>
        </c:ser>
        <c:ser>
          <c:idx val="0"/>
          <c:order val="2"/>
          <c:tx>
            <c:strRef>
              <c:f>'Base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Assumptions'!$U$15:$U$29</c:f>
              <c:numCache>
                <c:formatCode>m/d/yyyy</c:formatCode>
                <c:ptCount val="15"/>
                <c:pt idx="0">
                  <c:v>46185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46195</c:v>
                </c:pt>
                <c:pt idx="6">
                  <c:v>46196</c:v>
                </c:pt>
                <c:pt idx="7">
                  <c:v>46197</c:v>
                </c:pt>
                <c:pt idx="8">
                  <c:v>46198</c:v>
                </c:pt>
                <c:pt idx="9">
                  <c:v>46199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46209</c:v>
                </c:pt>
              </c:numCache>
            </c:numRef>
          </c:cat>
          <c:val>
            <c:numRef>
              <c:f>'Base Assumptions'!$X$15:$X$29</c:f>
              <c:numCache>
                <c:formatCode>0.00</c:formatCode>
                <c:ptCount val="15"/>
                <c:pt idx="0" formatCode="0">
                  <c:v>100</c:v>
                </c:pt>
                <c:pt idx="1">
                  <c:v>103.07120751644337</c:v>
                </c:pt>
                <c:pt idx="2">
                  <c:v>101.88305076627613</c:v>
                </c:pt>
                <c:pt idx="3">
                  <c:v>100.51303959543958</c:v>
                </c:pt>
                <c:pt idx="4">
                  <c:v>102.42996596216749</c:v>
                </c:pt>
                <c:pt idx="5">
                  <c:v>101.07289472992996</c:v>
                </c:pt>
                <c:pt idx="6">
                  <c:v>98.83424672561614</c:v>
                </c:pt>
                <c:pt idx="7">
                  <c:v>98.407808152084058</c:v>
                </c:pt>
                <c:pt idx="8">
                  <c:v>97.951858793209738</c:v>
                </c:pt>
                <c:pt idx="9">
                  <c:v>97.716313284025077</c:v>
                </c:pt>
                <c:pt idx="10">
                  <c:v>99.734634692014012</c:v>
                </c:pt>
                <c:pt idx="11">
                  <c:v>101.25490365732881</c:v>
                </c:pt>
                <c:pt idx="12">
                  <c:v>100.58399681098109</c:v>
                </c:pt>
                <c:pt idx="13">
                  <c:v>99.783033925042602</c:v>
                </c:pt>
                <c:pt idx="14">
                  <c:v>100.89737508517183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B3-4ECE-B81D-8DB2175BF751}"/>
            </c:ext>
          </c:extLst>
        </c:ser>
        <c:ser>
          <c:idx val="3"/>
          <c:order val="3"/>
          <c:tx>
            <c:strRef>
              <c:f>'Base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Assumptions'!$U$15:$U$29</c:f>
              <c:numCache>
                <c:formatCode>m/d/yyyy</c:formatCode>
                <c:ptCount val="15"/>
                <c:pt idx="0">
                  <c:v>46185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46195</c:v>
                </c:pt>
                <c:pt idx="6">
                  <c:v>46196</c:v>
                </c:pt>
                <c:pt idx="7">
                  <c:v>46197</c:v>
                </c:pt>
                <c:pt idx="8">
                  <c:v>46198</c:v>
                </c:pt>
                <c:pt idx="9">
                  <c:v>46199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46209</c:v>
                </c:pt>
              </c:numCache>
            </c:numRef>
          </c:cat>
          <c:val>
            <c:numRef>
              <c:f>'Base Assumptions'!$Y$15:$Y$29</c:f>
              <c:numCache>
                <c:formatCode>0.00</c:formatCode>
                <c:ptCount val="15"/>
                <c:pt idx="0" formatCode="0">
                  <c:v>100</c:v>
                </c:pt>
                <c:pt idx="1">
                  <c:v>100.91552599436039</c:v>
                </c:pt>
                <c:pt idx="2">
                  <c:v>101.5573726628473</c:v>
                </c:pt>
                <c:pt idx="3">
                  <c:v>100.56694763082723</c:v>
                </c:pt>
                <c:pt idx="4">
                  <c:v>100.70785937964457</c:v>
                </c:pt>
                <c:pt idx="5">
                  <c:v>100.99692865119624</c:v>
                </c:pt>
                <c:pt idx="6">
                  <c:v>100.90734276182339</c:v>
                </c:pt>
                <c:pt idx="7">
                  <c:v>101.26291300423067</c:v>
                </c:pt>
                <c:pt idx="8">
                  <c:v>101.40298494636761</c:v>
                </c:pt>
                <c:pt idx="9">
                  <c:v>101.3160551897514</c:v>
                </c:pt>
                <c:pt idx="10">
                  <c:v>101.91491547443412</c:v>
                </c:pt>
                <c:pt idx="11">
                  <c:v>102.18142714794229</c:v>
                </c:pt>
                <c:pt idx="12">
                  <c:v>102.15416272641089</c:v>
                </c:pt>
                <c:pt idx="13">
                  <c:v>103.31588879084634</c:v>
                </c:pt>
                <c:pt idx="14">
                  <c:v>103.62025035613662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2A-454E-843D-8BF897FE4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135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'Bear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'Bear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'Bear Assumptions'!$Q$7:$Q$12</c:f>
              <c:numCache>
                <c:formatCode>_(* #,##0_);_(* \(#,##0\);_(* "-"??_);_(@_)</c:formatCode>
                <c:ptCount val="6"/>
                <c:pt idx="0">
                  <c:v>-3771340000</c:v>
                </c:pt>
                <c:pt idx="1">
                  <c:v>-5279876000</c:v>
                </c:pt>
                <c:pt idx="2">
                  <c:v>-7127832600</c:v>
                </c:pt>
                <c:pt idx="3">
                  <c:v>-9266182380</c:v>
                </c:pt>
                <c:pt idx="4">
                  <c:v>-11119418856</c:v>
                </c:pt>
                <c:pt idx="5">
                  <c:v>-13899273570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64-42C3-BB11-B327E8F38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375-42BE-8B6E-BFB5E41D65A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'Bear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'Bear Assumptions'!$T$7:$T$9</c:f>
              <c:numCache>
                <c:formatCode>"$"#,##0.00</c:formatCode>
                <c:ptCount val="3"/>
                <c:pt idx="0">
                  <c:v>9.8877132541780988</c:v>
                </c:pt>
                <c:pt idx="1">
                  <c:v>146.11000000000001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75-42BE-8B6E-BFB5E41D6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SPCX vs Major Indices 1 Month</a:t>
            </a:r>
            <a:r>
              <a:rPr lang="en-US" sz="2000" baseline="0"/>
              <a:t> Performance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'Bear Assumptions'!$V$14</c:f>
              <c:strCache>
                <c:ptCount val="1"/>
                <c:pt idx="0">
                  <c:v>SpaceX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Assumptions'!$U$15:$U$29</c:f>
              <c:numCache>
                <c:formatCode>m/d/yyyy</c:formatCode>
                <c:ptCount val="15"/>
                <c:pt idx="0">
                  <c:v>46185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46195</c:v>
                </c:pt>
                <c:pt idx="6">
                  <c:v>46196</c:v>
                </c:pt>
                <c:pt idx="7">
                  <c:v>46197</c:v>
                </c:pt>
                <c:pt idx="8">
                  <c:v>46198</c:v>
                </c:pt>
                <c:pt idx="9">
                  <c:v>46199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46209</c:v>
                </c:pt>
              </c:numCache>
            </c:numRef>
          </c:cat>
          <c:val>
            <c:numRef>
              <c:f>'Bear Assumptions'!$V$15:$V$29</c:f>
              <c:numCache>
                <c:formatCode>0.00</c:formatCode>
                <c:ptCount val="15"/>
                <c:pt idx="0" formatCode="0">
                  <c:v>100</c:v>
                </c:pt>
                <c:pt idx="1">
                  <c:v>119.60236098167134</c:v>
                </c:pt>
                <c:pt idx="2">
                  <c:v>131.33892513202858</c:v>
                </c:pt>
                <c:pt idx="3">
                  <c:v>119.17986952469712</c:v>
                </c:pt>
                <c:pt idx="4">
                  <c:v>114.94252873563219</c:v>
                </c:pt>
                <c:pt idx="5">
                  <c:v>96.054675365020188</c:v>
                </c:pt>
                <c:pt idx="6">
                  <c:v>96.992854923889425</c:v>
                </c:pt>
                <c:pt idx="7">
                  <c:v>96.017396707051887</c:v>
                </c:pt>
                <c:pt idx="8">
                  <c:v>95.060577819198514</c:v>
                </c:pt>
                <c:pt idx="9">
                  <c:v>95.203479341410386</c:v>
                </c:pt>
                <c:pt idx="10">
                  <c:v>102.01304753028893</c:v>
                </c:pt>
                <c:pt idx="11">
                  <c:v>106.15719167443307</c:v>
                </c:pt>
                <c:pt idx="12">
                  <c:v>97.881329605467542</c:v>
                </c:pt>
                <c:pt idx="13">
                  <c:v>100.65237651444549</c:v>
                </c:pt>
                <c:pt idx="14">
                  <c:v>99.875737806772293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B8-43E4-992E-160488F90871}"/>
            </c:ext>
          </c:extLst>
        </c:ser>
        <c:ser>
          <c:idx val="2"/>
          <c:order val="1"/>
          <c:tx>
            <c:strRef>
              <c:f>'Bear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Assumptions'!$U$15:$U$29</c:f>
              <c:numCache>
                <c:formatCode>m/d/yyyy</c:formatCode>
                <c:ptCount val="15"/>
                <c:pt idx="0">
                  <c:v>46185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46195</c:v>
                </c:pt>
                <c:pt idx="6">
                  <c:v>46196</c:v>
                </c:pt>
                <c:pt idx="7">
                  <c:v>46197</c:v>
                </c:pt>
                <c:pt idx="8">
                  <c:v>46198</c:v>
                </c:pt>
                <c:pt idx="9">
                  <c:v>46199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46209</c:v>
                </c:pt>
              </c:numCache>
            </c:numRef>
          </c:cat>
          <c:val>
            <c:numRef>
              <c:f>'Bear Assumptions'!$W$15:$W$29</c:f>
              <c:numCache>
                <c:formatCode>0.00</c:formatCode>
                <c:ptCount val="15"/>
                <c:pt idx="0" formatCode="0">
                  <c:v>100</c:v>
                </c:pt>
                <c:pt idx="1">
                  <c:v>101.65283806950451</c:v>
                </c:pt>
                <c:pt idx="2">
                  <c:v>101.07502428863238</c:v>
                </c:pt>
                <c:pt idx="3">
                  <c:v>99.847136363514039</c:v>
                </c:pt>
                <c:pt idx="4">
                  <c:v>100.93009987270334</c:v>
                </c:pt>
                <c:pt idx="5">
                  <c:v>100.55614912816593</c:v>
                </c:pt>
                <c:pt idx="6">
                  <c:v>99.111883802106178</c:v>
                </c:pt>
                <c:pt idx="7">
                  <c:v>99.014460146458433</c:v>
                </c:pt>
                <c:pt idx="8">
                  <c:v>99.004637043057485</c:v>
                </c:pt>
                <c:pt idx="9">
                  <c:v>98.957943661137932</c:v>
                </c:pt>
                <c:pt idx="10">
                  <c:v>100.12070306507739</c:v>
                </c:pt>
                <c:pt idx="11">
                  <c:v>100.91368317934833</c:v>
                </c:pt>
                <c:pt idx="12">
                  <c:v>100.69663296310549</c:v>
                </c:pt>
                <c:pt idx="13">
                  <c:v>100.69676752616579</c:v>
                </c:pt>
                <c:pt idx="14">
                  <c:v>101.42596474986073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B8-43E4-992E-160488F90871}"/>
            </c:ext>
          </c:extLst>
        </c:ser>
        <c:ser>
          <c:idx val="0"/>
          <c:order val="2"/>
          <c:tx>
            <c:strRef>
              <c:f>'Bear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Assumptions'!$U$15:$U$29</c:f>
              <c:numCache>
                <c:formatCode>m/d/yyyy</c:formatCode>
                <c:ptCount val="15"/>
                <c:pt idx="0">
                  <c:v>46185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46195</c:v>
                </c:pt>
                <c:pt idx="6">
                  <c:v>46196</c:v>
                </c:pt>
                <c:pt idx="7">
                  <c:v>46197</c:v>
                </c:pt>
                <c:pt idx="8">
                  <c:v>46198</c:v>
                </c:pt>
                <c:pt idx="9">
                  <c:v>46199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46209</c:v>
                </c:pt>
              </c:numCache>
            </c:numRef>
          </c:cat>
          <c:val>
            <c:numRef>
              <c:f>'Bear Assumptions'!$X$15:$X$29</c:f>
              <c:numCache>
                <c:formatCode>0.00</c:formatCode>
                <c:ptCount val="15"/>
                <c:pt idx="0" formatCode="0">
                  <c:v>100</c:v>
                </c:pt>
                <c:pt idx="1">
                  <c:v>103.07120751644337</c:v>
                </c:pt>
                <c:pt idx="2">
                  <c:v>101.88305076627613</c:v>
                </c:pt>
                <c:pt idx="3">
                  <c:v>100.51303959543958</c:v>
                </c:pt>
                <c:pt idx="4">
                  <c:v>102.42996596216749</c:v>
                </c:pt>
                <c:pt idx="5">
                  <c:v>101.07289472992996</c:v>
                </c:pt>
                <c:pt idx="6">
                  <c:v>98.83424672561614</c:v>
                </c:pt>
                <c:pt idx="7">
                  <c:v>98.407808152084058</c:v>
                </c:pt>
                <c:pt idx="8">
                  <c:v>97.951858793209738</c:v>
                </c:pt>
                <c:pt idx="9">
                  <c:v>97.716313284025077</c:v>
                </c:pt>
                <c:pt idx="10">
                  <c:v>99.734634692014012</c:v>
                </c:pt>
                <c:pt idx="11">
                  <c:v>101.25490365732881</c:v>
                </c:pt>
                <c:pt idx="12">
                  <c:v>100.58399681098109</c:v>
                </c:pt>
                <c:pt idx="13">
                  <c:v>99.783033925042602</c:v>
                </c:pt>
                <c:pt idx="14">
                  <c:v>100.89737508517183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B8-43E4-992E-160488F90871}"/>
            </c:ext>
          </c:extLst>
        </c:ser>
        <c:ser>
          <c:idx val="3"/>
          <c:order val="3"/>
          <c:tx>
            <c:strRef>
              <c:f>'Bear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'Bear Assumptions'!$U$15:$U$29</c:f>
              <c:numCache>
                <c:formatCode>m/d/yyyy</c:formatCode>
                <c:ptCount val="15"/>
                <c:pt idx="0">
                  <c:v>46185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46195</c:v>
                </c:pt>
                <c:pt idx="6">
                  <c:v>46196</c:v>
                </c:pt>
                <c:pt idx="7">
                  <c:v>46197</c:v>
                </c:pt>
                <c:pt idx="8">
                  <c:v>46198</c:v>
                </c:pt>
                <c:pt idx="9">
                  <c:v>46199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46209</c:v>
                </c:pt>
              </c:numCache>
            </c:numRef>
          </c:cat>
          <c:val>
            <c:numRef>
              <c:f>'Bear Assumptions'!$Y$15:$Y$29</c:f>
              <c:numCache>
                <c:formatCode>0.00</c:formatCode>
                <c:ptCount val="15"/>
                <c:pt idx="0" formatCode="0">
                  <c:v>100</c:v>
                </c:pt>
                <c:pt idx="1">
                  <c:v>100.91552599436039</c:v>
                </c:pt>
                <c:pt idx="2">
                  <c:v>101.5573726628473</c:v>
                </c:pt>
                <c:pt idx="3">
                  <c:v>100.56694763082723</c:v>
                </c:pt>
                <c:pt idx="4">
                  <c:v>100.70785937964457</c:v>
                </c:pt>
                <c:pt idx="5">
                  <c:v>100.99692865119624</c:v>
                </c:pt>
                <c:pt idx="6">
                  <c:v>100.90734276182339</c:v>
                </c:pt>
                <c:pt idx="7">
                  <c:v>101.26291300423067</c:v>
                </c:pt>
                <c:pt idx="8">
                  <c:v>101.40298494636761</c:v>
                </c:pt>
                <c:pt idx="9">
                  <c:v>101.3160551897514</c:v>
                </c:pt>
                <c:pt idx="10">
                  <c:v>101.91491547443412</c:v>
                </c:pt>
                <c:pt idx="11">
                  <c:v>102.18142714794229</c:v>
                </c:pt>
                <c:pt idx="12">
                  <c:v>102.15416272641089</c:v>
                </c:pt>
                <c:pt idx="13">
                  <c:v>103.31588879084634</c:v>
                </c:pt>
                <c:pt idx="14">
                  <c:v>103.62025035613662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B8-43E4-992E-160488F90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135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Projected Unlevered</a:t>
            </a:r>
            <a:r>
              <a:rPr lang="en-US" baseline="0"/>
              <a:t> FCF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'Bull Assumptions'!$Q$6</c:f>
              <c:strCache>
                <c:ptCount val="1"/>
                <c:pt idx="0">
                  <c:v>Unlevered FCF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'Bull Assumptions'!$P$7:$P$12</c:f>
              <c:numCache>
                <c:formatCode>General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'Bull Assumptions'!$Q$7:$Q$12</c:f>
              <c:numCache>
                <c:formatCode>_(* #,##0_);_(* \(#,##0\);_(* "-"??_);_(@_)</c:formatCode>
                <c:ptCount val="6"/>
                <c:pt idx="0">
                  <c:v>2987200000</c:v>
                </c:pt>
                <c:pt idx="1">
                  <c:v>4630160000</c:v>
                </c:pt>
                <c:pt idx="2">
                  <c:v>6945240000</c:v>
                </c:pt>
                <c:pt idx="3">
                  <c:v>10070598000</c:v>
                </c:pt>
                <c:pt idx="4">
                  <c:v>14098837200</c:v>
                </c:pt>
                <c:pt idx="5">
                  <c:v>19738372080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4C-4CDA-B9AF-998D436457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960288"/>
        <c:axId val="491960768"/>
      </c:barChart>
      <c:catAx>
        <c:axId val="49196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768"/>
        <c:crosses val="autoZero"/>
        <c:auto val="1"/>
        <c:lblAlgn val="ctr"/>
        <c:lblOffset val="100"/>
        <c:noMultiLvlLbl val="0"/>
      </c:catAx>
      <c:valAx>
        <c:axId val="491960768"/>
        <c:scaling>
          <c:orientation val="minMax"/>
        </c:scaling>
        <c:delete val="0"/>
        <c:axPos val="l"/>
        <c:numFmt formatCode="#,##0" sourceLinked="0"/>
        <c:majorTickMark val="cross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960288"/>
        <c:crosses val="autoZero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1.7066666666666667E-2"/>
                <c:y val="0.40782407407407406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Intrinsic Value vs</a:t>
            </a:r>
            <a:r>
              <a:rPr lang="en-US" baseline="0"/>
              <a:t> Current Price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8C-4B52-A463-1F6DE782A92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'Bull Assumptions'!$S$7:$S$9</c:f>
              <c:strCache>
                <c:ptCount val="3"/>
                <c:pt idx="0">
                  <c:v>Intrinsic Value</c:v>
                </c:pt>
                <c:pt idx="1">
                  <c:v>Downside</c:v>
                </c:pt>
                <c:pt idx="2">
                  <c:v>Current Price</c:v>
                </c:pt>
              </c:strCache>
            </c:strRef>
          </c:cat>
          <c:val>
            <c:numRef>
              <c:f>'Bull Assumptions'!$T$7:$T$9</c:f>
              <c:numCache>
                <c:formatCode>"$"#,##0.00</c:formatCode>
                <c:ptCount val="3"/>
                <c:pt idx="0">
                  <c:v>66.534528639057513</c:v>
                </c:pt>
                <c:pt idx="1">
                  <c:v>89.47</c:v>
                </c:pt>
                <c:pt idx="2">
                  <c:v>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8C-4B52-A463-1F6DE782A9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8"/>
        <c:overlap val="-27"/>
        <c:axId val="497918752"/>
        <c:axId val="497935552"/>
      </c:barChart>
      <c:catAx>
        <c:axId val="49791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35552"/>
        <c:crosses val="autoZero"/>
        <c:auto val="1"/>
        <c:lblAlgn val="ctr"/>
        <c:lblOffset val="100"/>
        <c:noMultiLvlLbl val="0"/>
      </c:catAx>
      <c:valAx>
        <c:axId val="4979355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 ($ per share)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91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SPCX vs Major Indices 1 Month</a:t>
            </a:r>
            <a:r>
              <a:rPr lang="en-US" sz="2000" baseline="0"/>
              <a:t> Performance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'Bull Assumptions'!$V$14</c:f>
              <c:strCache>
                <c:ptCount val="1"/>
                <c:pt idx="0">
                  <c:v>SpaceX Indexed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Assumptions'!$U$15:$U$29</c:f>
              <c:numCache>
                <c:formatCode>m/d/yyyy</c:formatCode>
                <c:ptCount val="15"/>
                <c:pt idx="0">
                  <c:v>46185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46195</c:v>
                </c:pt>
                <c:pt idx="6">
                  <c:v>46196</c:v>
                </c:pt>
                <c:pt idx="7">
                  <c:v>46197</c:v>
                </c:pt>
                <c:pt idx="8">
                  <c:v>46198</c:v>
                </c:pt>
                <c:pt idx="9">
                  <c:v>46199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46209</c:v>
                </c:pt>
              </c:numCache>
            </c:numRef>
          </c:cat>
          <c:val>
            <c:numRef>
              <c:f>'Bull Assumptions'!$V$15:$V$29</c:f>
              <c:numCache>
                <c:formatCode>0.00</c:formatCode>
                <c:ptCount val="15"/>
                <c:pt idx="0" formatCode="0">
                  <c:v>100</c:v>
                </c:pt>
                <c:pt idx="1">
                  <c:v>119.60236098167134</c:v>
                </c:pt>
                <c:pt idx="2">
                  <c:v>131.33892513202858</c:v>
                </c:pt>
                <c:pt idx="3">
                  <c:v>119.17986952469712</c:v>
                </c:pt>
                <c:pt idx="4">
                  <c:v>114.94252873563219</c:v>
                </c:pt>
                <c:pt idx="5">
                  <c:v>96.054675365020188</c:v>
                </c:pt>
                <c:pt idx="6">
                  <c:v>96.992854923889425</c:v>
                </c:pt>
                <c:pt idx="7">
                  <c:v>96.017396707051887</c:v>
                </c:pt>
                <c:pt idx="8">
                  <c:v>95.060577819198514</c:v>
                </c:pt>
                <c:pt idx="9">
                  <c:v>95.203479341410386</c:v>
                </c:pt>
                <c:pt idx="10">
                  <c:v>102.01304753028893</c:v>
                </c:pt>
                <c:pt idx="11">
                  <c:v>106.15719167443307</c:v>
                </c:pt>
                <c:pt idx="12">
                  <c:v>97.881329605467542</c:v>
                </c:pt>
                <c:pt idx="13">
                  <c:v>100.65237651444549</c:v>
                </c:pt>
                <c:pt idx="14">
                  <c:v>99.875737806772293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2F-4F36-8503-233864B173D5}"/>
            </c:ext>
          </c:extLst>
        </c:ser>
        <c:ser>
          <c:idx val="2"/>
          <c:order val="1"/>
          <c:tx>
            <c:strRef>
              <c:f>'Bull Assumptions'!$W$14</c:f>
              <c:strCache>
                <c:ptCount val="1"/>
                <c:pt idx="0">
                  <c:v>S&amp;P 500 Indexed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Assumptions'!$U$15:$U$29</c:f>
              <c:numCache>
                <c:formatCode>m/d/yyyy</c:formatCode>
                <c:ptCount val="15"/>
                <c:pt idx="0">
                  <c:v>46185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46195</c:v>
                </c:pt>
                <c:pt idx="6">
                  <c:v>46196</c:v>
                </c:pt>
                <c:pt idx="7">
                  <c:v>46197</c:v>
                </c:pt>
                <c:pt idx="8">
                  <c:v>46198</c:v>
                </c:pt>
                <c:pt idx="9">
                  <c:v>46199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46209</c:v>
                </c:pt>
              </c:numCache>
            </c:numRef>
          </c:cat>
          <c:val>
            <c:numRef>
              <c:f>'Bull Assumptions'!$W$15:$W$29</c:f>
              <c:numCache>
                <c:formatCode>0.00</c:formatCode>
                <c:ptCount val="15"/>
                <c:pt idx="0" formatCode="0">
                  <c:v>100</c:v>
                </c:pt>
                <c:pt idx="1">
                  <c:v>101.65283806950451</c:v>
                </c:pt>
                <c:pt idx="2">
                  <c:v>101.07502428863238</c:v>
                </c:pt>
                <c:pt idx="3">
                  <c:v>99.847136363514039</c:v>
                </c:pt>
                <c:pt idx="4">
                  <c:v>100.93009987270334</c:v>
                </c:pt>
                <c:pt idx="5">
                  <c:v>100.55614912816593</c:v>
                </c:pt>
                <c:pt idx="6">
                  <c:v>99.111883802106178</c:v>
                </c:pt>
                <c:pt idx="7">
                  <c:v>99.014460146458433</c:v>
                </c:pt>
                <c:pt idx="8">
                  <c:v>99.004637043057485</c:v>
                </c:pt>
                <c:pt idx="9">
                  <c:v>98.957943661137932</c:v>
                </c:pt>
                <c:pt idx="10">
                  <c:v>100.12070306507739</c:v>
                </c:pt>
                <c:pt idx="11">
                  <c:v>100.91368317934833</c:v>
                </c:pt>
                <c:pt idx="12">
                  <c:v>100.69663296310549</c:v>
                </c:pt>
                <c:pt idx="13">
                  <c:v>100.69676752616579</c:v>
                </c:pt>
                <c:pt idx="14">
                  <c:v>101.42596474986073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2F-4F36-8503-233864B173D5}"/>
            </c:ext>
          </c:extLst>
        </c:ser>
        <c:ser>
          <c:idx val="0"/>
          <c:order val="2"/>
          <c:tx>
            <c:strRef>
              <c:f>'Bull Assumptions'!$X$14</c:f>
              <c:strCache>
                <c:ptCount val="1"/>
                <c:pt idx="0">
                  <c:v>NASDAQ Indexed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Assumptions'!$U$15:$U$29</c:f>
              <c:numCache>
                <c:formatCode>m/d/yyyy</c:formatCode>
                <c:ptCount val="15"/>
                <c:pt idx="0">
                  <c:v>46185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46195</c:v>
                </c:pt>
                <c:pt idx="6">
                  <c:v>46196</c:v>
                </c:pt>
                <c:pt idx="7">
                  <c:v>46197</c:v>
                </c:pt>
                <c:pt idx="8">
                  <c:v>46198</c:v>
                </c:pt>
                <c:pt idx="9">
                  <c:v>46199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46209</c:v>
                </c:pt>
              </c:numCache>
            </c:numRef>
          </c:cat>
          <c:val>
            <c:numRef>
              <c:f>'Bull Assumptions'!$X$15:$X$29</c:f>
              <c:numCache>
                <c:formatCode>0.00</c:formatCode>
                <c:ptCount val="15"/>
                <c:pt idx="0" formatCode="0">
                  <c:v>100</c:v>
                </c:pt>
                <c:pt idx="1">
                  <c:v>103.07120751644337</c:v>
                </c:pt>
                <c:pt idx="2">
                  <c:v>101.88305076627613</c:v>
                </c:pt>
                <c:pt idx="3">
                  <c:v>100.51303959543958</c:v>
                </c:pt>
                <c:pt idx="4">
                  <c:v>102.42996596216749</c:v>
                </c:pt>
                <c:pt idx="5">
                  <c:v>101.07289472992996</c:v>
                </c:pt>
                <c:pt idx="6">
                  <c:v>98.83424672561614</c:v>
                </c:pt>
                <c:pt idx="7">
                  <c:v>98.407808152084058</c:v>
                </c:pt>
                <c:pt idx="8">
                  <c:v>97.951858793209738</c:v>
                </c:pt>
                <c:pt idx="9">
                  <c:v>97.716313284025077</c:v>
                </c:pt>
                <c:pt idx="10">
                  <c:v>99.734634692014012</c:v>
                </c:pt>
                <c:pt idx="11">
                  <c:v>101.25490365732881</c:v>
                </c:pt>
                <c:pt idx="12">
                  <c:v>100.58399681098109</c:v>
                </c:pt>
                <c:pt idx="13">
                  <c:v>99.783033925042602</c:v>
                </c:pt>
                <c:pt idx="14">
                  <c:v>100.89737508517183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F2F-4F36-8503-233864B173D5}"/>
            </c:ext>
          </c:extLst>
        </c:ser>
        <c:ser>
          <c:idx val="3"/>
          <c:order val="3"/>
          <c:tx>
            <c:strRef>
              <c:f>'Bull Assumptions'!$Y$14</c:f>
              <c:strCache>
                <c:ptCount val="1"/>
                <c:pt idx="0">
                  <c:v>DJIA Indexed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'Bull Assumptions'!$U$15:$U$29</c:f>
              <c:numCache>
                <c:formatCode>m/d/yyyy</c:formatCode>
                <c:ptCount val="15"/>
                <c:pt idx="0">
                  <c:v>46185</c:v>
                </c:pt>
                <c:pt idx="1">
                  <c:v>46188</c:v>
                </c:pt>
                <c:pt idx="2">
                  <c:v>46189</c:v>
                </c:pt>
                <c:pt idx="3">
                  <c:v>46190</c:v>
                </c:pt>
                <c:pt idx="4">
                  <c:v>46191</c:v>
                </c:pt>
                <c:pt idx="5">
                  <c:v>46195</c:v>
                </c:pt>
                <c:pt idx="6">
                  <c:v>46196</c:v>
                </c:pt>
                <c:pt idx="7">
                  <c:v>46197</c:v>
                </c:pt>
                <c:pt idx="8">
                  <c:v>46198</c:v>
                </c:pt>
                <c:pt idx="9">
                  <c:v>46199</c:v>
                </c:pt>
                <c:pt idx="10">
                  <c:v>46202</c:v>
                </c:pt>
                <c:pt idx="11">
                  <c:v>46203</c:v>
                </c:pt>
                <c:pt idx="12">
                  <c:v>46204</c:v>
                </c:pt>
                <c:pt idx="13">
                  <c:v>46205</c:v>
                </c:pt>
                <c:pt idx="14">
                  <c:v>46209</c:v>
                </c:pt>
              </c:numCache>
            </c:numRef>
          </c:cat>
          <c:val>
            <c:numRef>
              <c:f>'Bull Assumptions'!$Y$15:$Y$29</c:f>
              <c:numCache>
                <c:formatCode>0.00</c:formatCode>
                <c:ptCount val="15"/>
                <c:pt idx="0" formatCode="0">
                  <c:v>100</c:v>
                </c:pt>
                <c:pt idx="1">
                  <c:v>100.91552599436039</c:v>
                </c:pt>
                <c:pt idx="2">
                  <c:v>101.5573726628473</c:v>
                </c:pt>
                <c:pt idx="3">
                  <c:v>100.56694763082723</c:v>
                </c:pt>
                <c:pt idx="4">
                  <c:v>100.70785937964457</c:v>
                </c:pt>
                <c:pt idx="5">
                  <c:v>100.99692865119624</c:v>
                </c:pt>
                <c:pt idx="6">
                  <c:v>100.90734276182339</c:v>
                </c:pt>
                <c:pt idx="7">
                  <c:v>101.26291300423067</c:v>
                </c:pt>
                <c:pt idx="8">
                  <c:v>101.40298494636761</c:v>
                </c:pt>
                <c:pt idx="9">
                  <c:v>101.3160551897514</c:v>
                </c:pt>
                <c:pt idx="10">
                  <c:v>101.91491547443412</c:v>
                </c:pt>
                <c:pt idx="11">
                  <c:v>102.18142714794229</c:v>
                </c:pt>
                <c:pt idx="12">
                  <c:v>102.15416272641089</c:v>
                </c:pt>
                <c:pt idx="13">
                  <c:v>103.31588879084634</c:v>
                </c:pt>
                <c:pt idx="14">
                  <c:v>103.62025035613662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2F-4F36-8503-233864B17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6660448"/>
        <c:axId val="776655168"/>
      </c:lineChart>
      <c:catAx>
        <c:axId val="77666044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55168"/>
        <c:crosses val="autoZero"/>
        <c:auto val="0"/>
        <c:lblAlgn val="ctr"/>
        <c:lblOffset val="100"/>
        <c:noMultiLvlLbl val="0"/>
      </c:catAx>
      <c:valAx>
        <c:axId val="776655168"/>
        <c:scaling>
          <c:orientation val="minMax"/>
          <c:max val="135"/>
          <c:min val="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Indexed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660448"/>
        <c:crosses val="autoZero"/>
        <c:crossBetween val="between"/>
        <c:majorUnit val="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F467AF-9725-9CF4-C007-1D70B4422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FE658E-833F-7947-7C40-F6E708349E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DB5B30A-4157-F3C8-4D90-932080E7B9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1D93A-03AF-4238-8D53-B956AF870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9DC336-A97E-46E0-BEE2-C2602E623E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3C98FF8-3767-48AA-88D8-37059608C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1095374</xdr:colOff>
      <xdr:row>3</xdr:row>
      <xdr:rowOff>33337</xdr:rowOff>
    </xdr:from>
    <xdr:to>
      <xdr:col>8</xdr:col>
      <xdr:colOff>123824</xdr:colOff>
      <xdr:row>17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5838E6-4220-4A36-B378-D9639C4F9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595312</xdr:colOff>
      <xdr:row>3</xdr:row>
      <xdr:rowOff>42862</xdr:rowOff>
    </xdr:from>
    <xdr:to>
      <xdr:col>13</xdr:col>
      <xdr:colOff>119062</xdr:colOff>
      <xdr:row>17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C25434-E2B3-4A1C-8DBD-FCD1BD775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1609725</xdr:colOff>
      <xdr:row>42</xdr:row>
      <xdr:rowOff>123825</xdr:rowOff>
    </xdr:from>
    <xdr:to>
      <xdr:col>9</xdr:col>
      <xdr:colOff>561975</xdr:colOff>
      <xdr:row>75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A1506A-4FB0-425A-AC68-2F426B3649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CCE1C-F792-4C6F-A351-07972C99A0C8}">
  <dimension ref="B2:C28"/>
  <sheetViews>
    <sheetView showGridLines="0" tabSelected="1" workbookViewId="0"/>
  </sheetViews>
  <sheetFormatPr defaultRowHeight="15" x14ac:dyDescent="0.25"/>
  <cols>
    <col min="2" max="2" width="41" bestFit="1" customWidth="1"/>
    <col min="3" max="3" width="20.42578125" bestFit="1" customWidth="1"/>
  </cols>
  <sheetData>
    <row r="2" spans="2:3" x14ac:dyDescent="0.25">
      <c r="B2" s="3" t="s">
        <v>105</v>
      </c>
    </row>
    <row r="3" spans="2:3" x14ac:dyDescent="0.25">
      <c r="B3" s="61" t="s">
        <v>106</v>
      </c>
      <c r="C3" s="62" t="s">
        <v>127</v>
      </c>
    </row>
    <row r="4" spans="2:3" x14ac:dyDescent="0.25">
      <c r="B4" s="63" t="s">
        <v>107</v>
      </c>
      <c r="C4" s="64">
        <v>1.8</v>
      </c>
    </row>
    <row r="5" spans="2:3" x14ac:dyDescent="0.25">
      <c r="B5" s="63" t="s">
        <v>32</v>
      </c>
      <c r="C5" s="65">
        <v>2040480000000</v>
      </c>
    </row>
    <row r="6" spans="2:3" x14ac:dyDescent="0.25">
      <c r="B6" s="63" t="s">
        <v>108</v>
      </c>
      <c r="C6" s="65">
        <v>21968000000</v>
      </c>
    </row>
    <row r="7" spans="2:3" x14ac:dyDescent="0.25">
      <c r="B7" s="63" t="s">
        <v>109</v>
      </c>
      <c r="C7" s="65">
        <v>2380000000</v>
      </c>
    </row>
    <row r="8" spans="2:3" x14ac:dyDescent="0.25">
      <c r="B8" s="63" t="s">
        <v>110</v>
      </c>
      <c r="C8" s="66">
        <v>0</v>
      </c>
    </row>
    <row r="9" spans="2:3" x14ac:dyDescent="0.25">
      <c r="B9" s="42" t="s">
        <v>111</v>
      </c>
      <c r="C9" s="67">
        <v>4.48E-2</v>
      </c>
    </row>
    <row r="11" spans="2:3" x14ac:dyDescent="0.25">
      <c r="B11" s="3" t="s">
        <v>112</v>
      </c>
    </row>
    <row r="12" spans="2:3" x14ac:dyDescent="0.25">
      <c r="B12" t="s">
        <v>113</v>
      </c>
      <c r="C12" s="68">
        <f>C5+C6</f>
        <v>2062448000000</v>
      </c>
    </row>
    <row r="13" spans="2:3" x14ac:dyDescent="0.25">
      <c r="B13" t="s">
        <v>114</v>
      </c>
      <c r="C13" s="69">
        <f>C5/C12</f>
        <v>0.98934857993995484</v>
      </c>
    </row>
    <row r="14" spans="2:3" x14ac:dyDescent="0.25">
      <c r="B14" t="s">
        <v>115</v>
      </c>
      <c r="C14" s="69">
        <f>C6/C12</f>
        <v>1.0651420060045149E-2</v>
      </c>
    </row>
    <row r="16" spans="2:3" ht="18" x14ac:dyDescent="0.35">
      <c r="B16" s="3" t="s">
        <v>116</v>
      </c>
    </row>
    <row r="17" spans="2:3" x14ac:dyDescent="0.25">
      <c r="B17" t="s">
        <v>117</v>
      </c>
      <c r="C17" t="s">
        <v>118</v>
      </c>
    </row>
    <row r="18" spans="2:3" x14ac:dyDescent="0.25">
      <c r="B18" t="s">
        <v>119</v>
      </c>
      <c r="C18" s="21">
        <f>9%-C9</f>
        <v>4.5199999999999997E-2</v>
      </c>
    </row>
    <row r="19" spans="2:3" x14ac:dyDescent="0.25">
      <c r="B19" t="s">
        <v>120</v>
      </c>
      <c r="C19" s="21">
        <f>C9+(1.8*C18)</f>
        <v>0.12615999999999999</v>
      </c>
    </row>
    <row r="21" spans="2:3" ht="18" x14ac:dyDescent="0.35">
      <c r="B21" s="3" t="s">
        <v>121</v>
      </c>
    </row>
    <row r="22" spans="2:3" x14ac:dyDescent="0.25">
      <c r="B22" t="s">
        <v>122</v>
      </c>
      <c r="C22" s="69">
        <f>C7/C6</f>
        <v>0.10833940276766206</v>
      </c>
    </row>
    <row r="23" spans="2:3" x14ac:dyDescent="0.25">
      <c r="B23" t="s">
        <v>123</v>
      </c>
      <c r="C23" t="s">
        <v>124</v>
      </c>
    </row>
    <row r="24" spans="2:3" x14ac:dyDescent="0.25">
      <c r="B24" t="s">
        <v>120</v>
      </c>
      <c r="C24" s="69">
        <f>C22*(1-C8)</f>
        <v>0.10833940276766206</v>
      </c>
    </row>
    <row r="26" spans="2:3" x14ac:dyDescent="0.25">
      <c r="B26" s="3" t="s">
        <v>125</v>
      </c>
    </row>
    <row r="27" spans="2:3" ht="18" x14ac:dyDescent="0.35">
      <c r="B27" t="s">
        <v>117</v>
      </c>
      <c r="C27" t="s">
        <v>126</v>
      </c>
    </row>
    <row r="28" spans="2:3" x14ac:dyDescent="0.25">
      <c r="B28" t="s">
        <v>120</v>
      </c>
      <c r="C28" s="21">
        <f>(C13*C19)+(C14*C24)</f>
        <v>0.12597018533315749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5" max="16" width="9.7109375" bestFit="1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61</v>
      </c>
    </row>
    <row r="5" spans="1:26" x14ac:dyDescent="0.25">
      <c r="A5" s="37" t="s">
        <v>1</v>
      </c>
      <c r="B5" s="38"/>
      <c r="C5" s="39"/>
      <c r="P5" t="s">
        <v>56</v>
      </c>
    </row>
    <row r="6" spans="1:26" x14ac:dyDescent="0.25">
      <c r="A6" s="40" t="s">
        <v>2</v>
      </c>
      <c r="B6" s="31">
        <v>0</v>
      </c>
      <c r="C6" s="41" t="s">
        <v>89</v>
      </c>
      <c r="P6" t="s">
        <v>57</v>
      </c>
      <c r="Q6" t="s">
        <v>58</v>
      </c>
      <c r="S6" t="s">
        <v>59</v>
      </c>
      <c r="T6" t="s">
        <v>60</v>
      </c>
    </row>
    <row r="7" spans="1:26" x14ac:dyDescent="0.25">
      <c r="A7" s="40" t="s">
        <v>3</v>
      </c>
      <c r="B7" s="32">
        <f>'WACC Input'!C28</f>
        <v>0.12597018533315749</v>
      </c>
      <c r="C7" s="41"/>
      <c r="P7">
        <v>2026</v>
      </c>
      <c r="Q7" s="26">
        <f>D28</f>
        <v>-373400000</v>
      </c>
      <c r="R7" s="26"/>
      <c r="S7" t="s">
        <v>40</v>
      </c>
      <c r="T7" s="16">
        <f>B40</f>
        <v>27.387821283791904</v>
      </c>
    </row>
    <row r="8" spans="1:26" x14ac:dyDescent="0.25">
      <c r="A8" s="40" t="s">
        <v>4</v>
      </c>
      <c r="B8" s="32">
        <v>0.04</v>
      </c>
      <c r="C8" s="41"/>
      <c r="P8">
        <v>2027</v>
      </c>
      <c r="Q8" s="26">
        <f>E28</f>
        <v>-541430000</v>
      </c>
      <c r="R8" s="26"/>
      <c r="S8" t="s">
        <v>71</v>
      </c>
      <c r="T8" s="16">
        <v>128.61000000000001</v>
      </c>
    </row>
    <row r="9" spans="1:26" x14ac:dyDescent="0.25">
      <c r="A9" s="40" t="s">
        <v>5</v>
      </c>
      <c r="B9" s="33" t="s">
        <v>87</v>
      </c>
      <c r="C9" s="41"/>
      <c r="P9">
        <v>2028</v>
      </c>
      <c r="Q9" s="26">
        <f>F28</f>
        <v>-758002000</v>
      </c>
      <c r="R9" s="26"/>
      <c r="S9" t="s">
        <v>8</v>
      </c>
      <c r="T9" s="16">
        <f>B12</f>
        <v>156</v>
      </c>
    </row>
    <row r="10" spans="1:26" x14ac:dyDescent="0.25">
      <c r="A10" s="40" t="s">
        <v>6</v>
      </c>
      <c r="B10" s="34">
        <v>46209</v>
      </c>
      <c r="C10" s="41"/>
      <c r="P10">
        <v>2029</v>
      </c>
      <c r="Q10" s="26">
        <f>G28</f>
        <v>-1023302700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-1279128375</v>
      </c>
      <c r="R11" s="26"/>
    </row>
    <row r="12" spans="1:26" x14ac:dyDescent="0.25">
      <c r="A12" s="40" t="s">
        <v>8</v>
      </c>
      <c r="B12" s="35">
        <v>156</v>
      </c>
      <c r="C12" s="41" t="s">
        <v>77</v>
      </c>
      <c r="P12">
        <v>2031</v>
      </c>
      <c r="Q12" s="26">
        <f>I28</f>
        <v>-1662866887.5</v>
      </c>
      <c r="R12" s="26"/>
    </row>
    <row r="13" spans="1:26" x14ac:dyDescent="0.25">
      <c r="A13" s="40" t="s">
        <v>9</v>
      </c>
      <c r="B13" s="36">
        <v>13080000000</v>
      </c>
      <c r="C13" s="41"/>
    </row>
    <row r="14" spans="1:26" x14ac:dyDescent="0.25">
      <c r="A14" s="40" t="s">
        <v>10</v>
      </c>
      <c r="B14" s="35">
        <v>21968000000</v>
      </c>
      <c r="C14" s="41"/>
      <c r="P14" s="6" t="s">
        <v>16</v>
      </c>
      <c r="Q14" s="6" t="s">
        <v>97</v>
      </c>
      <c r="R14" s="6" t="s">
        <v>62</v>
      </c>
      <c r="S14" s="6" t="s">
        <v>68</v>
      </c>
      <c r="T14" s="6" t="s">
        <v>63</v>
      </c>
      <c r="U14" s="6" t="s">
        <v>16</v>
      </c>
      <c r="V14" s="6" t="s">
        <v>96</v>
      </c>
      <c r="W14" s="6" t="s">
        <v>64</v>
      </c>
      <c r="X14" s="6" t="s">
        <v>69</v>
      </c>
      <c r="Y14" s="6" t="s">
        <v>65</v>
      </c>
      <c r="Z14" t="s">
        <v>66</v>
      </c>
    </row>
    <row r="15" spans="1:26" x14ac:dyDescent="0.25">
      <c r="A15" s="40" t="s">
        <v>11</v>
      </c>
      <c r="B15" s="35">
        <v>24700000000</v>
      </c>
      <c r="C15" s="41"/>
      <c r="O15" s="57"/>
      <c r="P15" s="7">
        <v>46185</v>
      </c>
      <c r="Q15" s="6">
        <v>160.94999999999999</v>
      </c>
      <c r="R15" s="6">
        <v>7431.46</v>
      </c>
      <c r="S15" s="6">
        <v>25888.84</v>
      </c>
      <c r="T15" s="6">
        <v>51202.26</v>
      </c>
      <c r="U15" s="7">
        <v>46185</v>
      </c>
      <c r="V15" s="60">
        <f>(Q15/$Q$15)*100</f>
        <v>100</v>
      </c>
      <c r="W15" s="60">
        <f>(R15/$R$15)*100</f>
        <v>100</v>
      </c>
      <c r="X15" s="60">
        <f>(S15/$S$15)*100</f>
        <v>100</v>
      </c>
      <c r="Y15" s="60">
        <f>(T15/$T$15)*100</f>
        <v>100</v>
      </c>
      <c r="Z15" t="s">
        <v>67</v>
      </c>
    </row>
    <row r="16" spans="1:26" x14ac:dyDescent="0.25">
      <c r="A16" s="40" t="s">
        <v>12</v>
      </c>
      <c r="B16" s="35" t="s">
        <v>99</v>
      </c>
      <c r="C16" s="41"/>
      <c r="P16" s="7">
        <v>46188</v>
      </c>
      <c r="Q16" s="58">
        <v>192.5</v>
      </c>
      <c r="R16" s="6">
        <v>7554.29</v>
      </c>
      <c r="S16" s="6">
        <v>26683.94</v>
      </c>
      <c r="T16" s="6">
        <v>51671.03</v>
      </c>
      <c r="U16" s="7">
        <v>46188</v>
      </c>
      <c r="V16" s="59">
        <f>(Q16/$Q$15)*100</f>
        <v>119.60236098167134</v>
      </c>
      <c r="W16" s="59">
        <f>(R16/$R$15)*100</f>
        <v>101.65283806950451</v>
      </c>
      <c r="X16" s="59">
        <f>(S16/$S$15)*100</f>
        <v>103.07120751644337</v>
      </c>
      <c r="Y16" s="59">
        <f>(T16/$T$15)*100</f>
        <v>100.91552599436039</v>
      </c>
      <c r="Z16" t="s">
        <v>72</v>
      </c>
    </row>
    <row r="17" spans="1:25" x14ac:dyDescent="0.25">
      <c r="A17" s="42" t="s">
        <v>98</v>
      </c>
      <c r="B17" s="43"/>
      <c r="C17" s="44"/>
      <c r="P17" s="7">
        <v>46189</v>
      </c>
      <c r="Q17" s="6">
        <v>211.39</v>
      </c>
      <c r="R17" s="6">
        <v>7511.35</v>
      </c>
      <c r="S17" s="6">
        <v>26376.34</v>
      </c>
      <c r="T17" s="6">
        <v>51999.67</v>
      </c>
      <c r="U17" s="7">
        <v>46189</v>
      </c>
      <c r="V17" s="59">
        <f t="shared" ref="V17:V28" si="0">(Q17/$Q$15)*100</f>
        <v>131.33892513202858</v>
      </c>
      <c r="W17" s="59">
        <f t="shared" ref="W17:W28" si="1">(R17/$R$15)*100</f>
        <v>101.07502428863238</v>
      </c>
      <c r="X17" s="59">
        <f t="shared" ref="X17:X28" si="2">(S17/$S$15)*100</f>
        <v>101.88305076627613</v>
      </c>
      <c r="Y17" s="59">
        <f t="shared" ref="Y17:Y28" si="3">(T17/$T$15)*100</f>
        <v>101.5573726628473</v>
      </c>
    </row>
    <row r="18" spans="1:25" x14ac:dyDescent="0.25">
      <c r="P18" s="7">
        <v>46190</v>
      </c>
      <c r="Q18" s="6">
        <v>191.82</v>
      </c>
      <c r="R18" s="6">
        <v>7420.1</v>
      </c>
      <c r="S18" s="6">
        <v>26021.66</v>
      </c>
      <c r="T18" s="6">
        <v>51492.55</v>
      </c>
      <c r="U18" s="7">
        <v>46190</v>
      </c>
      <c r="V18" s="59">
        <f t="shared" si="0"/>
        <v>119.17986952469712</v>
      </c>
      <c r="W18" s="59">
        <f t="shared" si="1"/>
        <v>99.847136363514039</v>
      </c>
      <c r="X18" s="59">
        <f t="shared" si="2"/>
        <v>100.51303959543958</v>
      </c>
      <c r="Y18" s="59">
        <f t="shared" si="3"/>
        <v>100.56694763082723</v>
      </c>
    </row>
    <row r="19" spans="1:25" x14ac:dyDescent="0.25">
      <c r="A19" s="11" t="s">
        <v>42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7">
        <v>46191</v>
      </c>
      <c r="Q19" s="6">
        <v>185</v>
      </c>
      <c r="R19" s="6">
        <v>7500.58</v>
      </c>
      <c r="S19" s="6">
        <v>26517.93</v>
      </c>
      <c r="T19" s="6">
        <v>51564.7</v>
      </c>
      <c r="U19" s="7">
        <v>46191</v>
      </c>
      <c r="V19" s="59">
        <f t="shared" si="0"/>
        <v>114.94252873563219</v>
      </c>
      <c r="W19" s="59">
        <f t="shared" si="1"/>
        <v>100.93009987270334</v>
      </c>
      <c r="X19" s="59">
        <f t="shared" si="2"/>
        <v>102.42996596216749</v>
      </c>
      <c r="Y19" s="59">
        <f t="shared" si="3"/>
        <v>100.70785937964457</v>
      </c>
    </row>
    <row r="20" spans="1:25" x14ac:dyDescent="0.25">
      <c r="A20" t="s">
        <v>16</v>
      </c>
      <c r="C20" s="7">
        <v>46209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-20116061821.876778</v>
      </c>
      <c r="P20" s="7">
        <v>46195</v>
      </c>
      <c r="Q20" s="6">
        <v>154.6</v>
      </c>
      <c r="R20" s="6">
        <v>7472.79</v>
      </c>
      <c r="S20" s="6">
        <v>26166.6</v>
      </c>
      <c r="T20" s="6">
        <v>51712.71</v>
      </c>
      <c r="U20" s="7">
        <v>46195</v>
      </c>
      <c r="V20" s="59">
        <f t="shared" si="0"/>
        <v>96.054675365020188</v>
      </c>
      <c r="W20" s="59">
        <f t="shared" si="1"/>
        <v>100.55614912816593</v>
      </c>
      <c r="X20" s="59">
        <f t="shared" si="2"/>
        <v>101.07289472992996</v>
      </c>
      <c r="Y20" s="59">
        <f t="shared" si="3"/>
        <v>100.99692865119624</v>
      </c>
    </row>
    <row r="21" spans="1:25" x14ac:dyDescent="0.25">
      <c r="A21" t="s">
        <v>18</v>
      </c>
      <c r="B21" t="s">
        <v>93</v>
      </c>
      <c r="D21" s="5">
        <v>18670000000</v>
      </c>
      <c r="E21" s="5">
        <f>D21*1.45</f>
        <v>27071500000</v>
      </c>
      <c r="F21" s="5">
        <f>E21*1.4</f>
        <v>37900100000</v>
      </c>
      <c r="G21" s="5">
        <f>F21*1.35</f>
        <v>51165135000</v>
      </c>
      <c r="H21" s="5">
        <f>G21*1.25</f>
        <v>63956418750</v>
      </c>
      <c r="I21" s="5">
        <f>H21*1.3</f>
        <v>83143344375</v>
      </c>
      <c r="L21" t="s">
        <v>19</v>
      </c>
      <c r="M21" s="13">
        <f>(I22+I25)*50</f>
        <v>1455008526562.5</v>
      </c>
      <c r="P21" s="7">
        <v>46196</v>
      </c>
      <c r="Q21" s="6">
        <v>156.11000000000001</v>
      </c>
      <c r="R21" s="6">
        <v>7365.46</v>
      </c>
      <c r="S21" s="6">
        <v>25587.040000000001</v>
      </c>
      <c r="T21" s="6">
        <v>51666.84</v>
      </c>
      <c r="U21" s="7">
        <v>46196</v>
      </c>
      <c r="V21" s="59">
        <f t="shared" si="0"/>
        <v>96.992854923889425</v>
      </c>
      <c r="W21" s="59">
        <f t="shared" si="1"/>
        <v>99.111883802106178</v>
      </c>
      <c r="X21" s="59">
        <f t="shared" si="2"/>
        <v>98.83424672561614</v>
      </c>
      <c r="Y21" s="59">
        <f t="shared" si="3"/>
        <v>100.90734276182339</v>
      </c>
    </row>
    <row r="22" spans="1:25" x14ac:dyDescent="0.25">
      <c r="A22" t="s">
        <v>85</v>
      </c>
      <c r="B22" t="s">
        <v>94</v>
      </c>
      <c r="C22" s="56">
        <v>0.2</v>
      </c>
      <c r="D22" s="5">
        <f>D21*$C$22</f>
        <v>3734000000</v>
      </c>
      <c r="E22" s="5">
        <f t="shared" ref="E22:I22" si="4">E21*$C$22</f>
        <v>5414300000</v>
      </c>
      <c r="F22" s="5">
        <f t="shared" si="4"/>
        <v>7580020000</v>
      </c>
      <c r="G22" s="5">
        <f t="shared" si="4"/>
        <v>10233027000</v>
      </c>
      <c r="H22" s="5">
        <f t="shared" si="4"/>
        <v>12791283750</v>
      </c>
      <c r="I22" s="5">
        <f t="shared" si="4"/>
        <v>16628668875</v>
      </c>
      <c r="L22" t="s">
        <v>20</v>
      </c>
      <c r="M22" s="13">
        <f>(M20+M21)/2</f>
        <v>717446232370.31165</v>
      </c>
      <c r="P22" s="7">
        <v>46197</v>
      </c>
      <c r="Q22" s="6">
        <v>154.54</v>
      </c>
      <c r="R22" s="6">
        <v>7358.22</v>
      </c>
      <c r="S22" s="6">
        <v>25476.639999999999</v>
      </c>
      <c r="T22" s="6">
        <v>51848.9</v>
      </c>
      <c r="U22" s="7">
        <v>46197</v>
      </c>
      <c r="V22" s="59">
        <f t="shared" si="0"/>
        <v>96.017396707051887</v>
      </c>
      <c r="W22" s="59">
        <f t="shared" si="1"/>
        <v>99.014460146458433</v>
      </c>
      <c r="X22" s="59">
        <f t="shared" si="2"/>
        <v>98.407808152084058</v>
      </c>
      <c r="Y22" s="59">
        <f t="shared" si="3"/>
        <v>101.26291300423067</v>
      </c>
    </row>
    <row r="23" spans="1:25" x14ac:dyDescent="0.25">
      <c r="A23" t="s">
        <v>21</v>
      </c>
      <c r="B23" t="s">
        <v>22</v>
      </c>
      <c r="C23" s="25"/>
      <c r="D23" s="5">
        <f>D22*$B$6</f>
        <v>0</v>
      </c>
      <c r="E23" s="5">
        <f t="shared" ref="E23:I23" si="5">E22*$B$6</f>
        <v>0</v>
      </c>
      <c r="F23" s="5">
        <f t="shared" si="5"/>
        <v>0</v>
      </c>
      <c r="G23" s="30">
        <f t="shared" si="5"/>
        <v>0</v>
      </c>
      <c r="H23" s="5">
        <f t="shared" si="5"/>
        <v>0</v>
      </c>
      <c r="I23" s="5">
        <f t="shared" si="5"/>
        <v>0</v>
      </c>
      <c r="P23" s="7">
        <v>46198</v>
      </c>
      <c r="Q23" s="6">
        <v>153</v>
      </c>
      <c r="R23" s="6">
        <v>7357.49</v>
      </c>
      <c r="S23" s="6">
        <v>25358.6</v>
      </c>
      <c r="T23" s="6">
        <v>51920.62</v>
      </c>
      <c r="U23" s="7">
        <v>46198</v>
      </c>
      <c r="V23" s="59">
        <f t="shared" si="0"/>
        <v>95.060577819198514</v>
      </c>
      <c r="W23" s="59">
        <f t="shared" si="1"/>
        <v>99.004637043057485</v>
      </c>
      <c r="X23" s="59">
        <f t="shared" si="2"/>
        <v>97.951858793209738</v>
      </c>
      <c r="Y23" s="59">
        <f t="shared" si="3"/>
        <v>101.40298494636761</v>
      </c>
    </row>
    <row r="24" spans="1:25" x14ac:dyDescent="0.25">
      <c r="A24" t="s">
        <v>23</v>
      </c>
      <c r="B24" t="s">
        <v>24</v>
      </c>
      <c r="C24" s="25"/>
      <c r="D24" s="5">
        <f>D22*(1-$B$6)</f>
        <v>3734000000</v>
      </c>
      <c r="E24" s="5">
        <f t="shared" ref="E24:I24" si="6">E22*(1-$B$6)</f>
        <v>5414300000</v>
      </c>
      <c r="F24" s="5">
        <f t="shared" si="6"/>
        <v>7580020000</v>
      </c>
      <c r="G24" s="5">
        <f t="shared" si="6"/>
        <v>10233027000</v>
      </c>
      <c r="H24" s="5">
        <f t="shared" si="6"/>
        <v>12791283750</v>
      </c>
      <c r="I24" s="5">
        <f t="shared" si="6"/>
        <v>16628668875</v>
      </c>
      <c r="P24" s="7">
        <v>46199</v>
      </c>
      <c r="Q24" s="6">
        <v>153.22999999999999</v>
      </c>
      <c r="R24" s="6">
        <v>7354.02</v>
      </c>
      <c r="S24" s="6">
        <v>25297.62</v>
      </c>
      <c r="T24" s="6">
        <v>51876.11</v>
      </c>
      <c r="U24" s="7">
        <v>46199</v>
      </c>
      <c r="V24" s="59">
        <f t="shared" si="0"/>
        <v>95.203479341410386</v>
      </c>
      <c r="W24" s="59">
        <f t="shared" si="1"/>
        <v>98.957943661137932</v>
      </c>
      <c r="X24" s="59">
        <f t="shared" si="2"/>
        <v>97.716313284025077</v>
      </c>
      <c r="Y24" s="59">
        <f t="shared" si="3"/>
        <v>101.3160551897514</v>
      </c>
    </row>
    <row r="25" spans="1:25" x14ac:dyDescent="0.25">
      <c r="A25" s="4" t="s">
        <v>25</v>
      </c>
      <c r="B25" s="8" t="s">
        <v>90</v>
      </c>
      <c r="C25" s="25">
        <v>0.15</v>
      </c>
      <c r="D25" s="12">
        <f>D21*$C$25</f>
        <v>2800500000</v>
      </c>
      <c r="E25" s="12">
        <f t="shared" ref="E25:I25" si="7">E21*$C$25</f>
        <v>4060725000</v>
      </c>
      <c r="F25" s="12">
        <f t="shared" si="7"/>
        <v>5685015000</v>
      </c>
      <c r="G25" s="12">
        <f t="shared" si="7"/>
        <v>7674770250</v>
      </c>
      <c r="H25" s="12">
        <f t="shared" si="7"/>
        <v>9593462812.5</v>
      </c>
      <c r="I25" s="12">
        <f t="shared" si="7"/>
        <v>12471501656.25</v>
      </c>
      <c r="P25" s="7">
        <v>46202</v>
      </c>
      <c r="Q25" s="6">
        <v>164.19</v>
      </c>
      <c r="R25" s="6">
        <v>7440.43</v>
      </c>
      <c r="S25" s="6">
        <v>25820.14</v>
      </c>
      <c r="T25" s="6">
        <v>52182.74</v>
      </c>
      <c r="U25" s="7">
        <v>46202</v>
      </c>
      <c r="V25" s="59">
        <f t="shared" si="0"/>
        <v>102.01304753028893</v>
      </c>
      <c r="W25" s="59">
        <f t="shared" si="1"/>
        <v>100.12070306507739</v>
      </c>
      <c r="X25" s="59">
        <f t="shared" si="2"/>
        <v>99.734634692014012</v>
      </c>
      <c r="Y25" s="59">
        <f t="shared" si="3"/>
        <v>101.91491547443412</v>
      </c>
    </row>
    <row r="26" spans="1:25" x14ac:dyDescent="0.25">
      <c r="A26" t="s">
        <v>88</v>
      </c>
      <c r="B26" t="s">
        <v>95</v>
      </c>
      <c r="C26" s="25">
        <v>0.35</v>
      </c>
      <c r="D26" s="10">
        <f>D21*$C$26</f>
        <v>6534500000</v>
      </c>
      <c r="E26" s="10">
        <f t="shared" ref="E26:I26" si="8">E21*$C$26</f>
        <v>9475025000</v>
      </c>
      <c r="F26" s="10">
        <f t="shared" si="8"/>
        <v>13265035000</v>
      </c>
      <c r="G26" s="10">
        <f t="shared" si="8"/>
        <v>17907797250</v>
      </c>
      <c r="H26" s="10">
        <f t="shared" si="8"/>
        <v>22384746562.5</v>
      </c>
      <c r="I26" s="10">
        <f t="shared" si="8"/>
        <v>29100170531.25</v>
      </c>
      <c r="P26" s="7">
        <v>46203</v>
      </c>
      <c r="Q26" s="6">
        <v>170.86</v>
      </c>
      <c r="R26" s="6">
        <v>7499.36</v>
      </c>
      <c r="S26" s="6">
        <v>26213.72</v>
      </c>
      <c r="T26" s="6">
        <v>52319.199999999997</v>
      </c>
      <c r="U26" s="7">
        <v>46203</v>
      </c>
      <c r="V26" s="59">
        <f t="shared" si="0"/>
        <v>106.15719167443307</v>
      </c>
      <c r="W26" s="59">
        <f t="shared" si="1"/>
        <v>100.91368317934833</v>
      </c>
      <c r="X26" s="59">
        <f t="shared" si="2"/>
        <v>101.25490365732881</v>
      </c>
      <c r="Y26" s="59">
        <f t="shared" si="3"/>
        <v>102.18142714794229</v>
      </c>
    </row>
    <row r="27" spans="1:25" x14ac:dyDescent="0.25">
      <c r="A27" t="s">
        <v>26</v>
      </c>
      <c r="B27" t="s">
        <v>81</v>
      </c>
      <c r="C27" s="25">
        <v>0.02</v>
      </c>
      <c r="D27" s="10">
        <f>D21*$C$27</f>
        <v>373400000</v>
      </c>
      <c r="E27" s="10">
        <f t="shared" ref="E27:I27" si="9">E21*$C$27</f>
        <v>541430000</v>
      </c>
      <c r="F27" s="10">
        <f t="shared" si="9"/>
        <v>758002000</v>
      </c>
      <c r="G27" s="10">
        <f t="shared" si="9"/>
        <v>1023302700</v>
      </c>
      <c r="H27" s="10">
        <f t="shared" si="9"/>
        <v>1279128375</v>
      </c>
      <c r="I27" s="10">
        <f t="shared" si="9"/>
        <v>1662866887.5</v>
      </c>
      <c r="P27" s="7">
        <v>46204</v>
      </c>
      <c r="Q27" s="6">
        <v>157.54</v>
      </c>
      <c r="R27" s="6">
        <v>7483.23</v>
      </c>
      <c r="S27" s="6">
        <v>26040.03</v>
      </c>
      <c r="T27" s="6">
        <v>52305.24</v>
      </c>
      <c r="U27" s="7">
        <v>46204</v>
      </c>
      <c r="V27" s="59">
        <f t="shared" si="0"/>
        <v>97.881329605467542</v>
      </c>
      <c r="W27" s="59">
        <f t="shared" si="1"/>
        <v>100.69663296310549</v>
      </c>
      <c r="X27" s="59">
        <f t="shared" si="2"/>
        <v>100.58399681098109</v>
      </c>
      <c r="Y27" s="59">
        <f t="shared" si="3"/>
        <v>102.15416272641089</v>
      </c>
    </row>
    <row r="28" spans="1:25" ht="30" x14ac:dyDescent="0.25">
      <c r="A28" s="8" t="s">
        <v>27</v>
      </c>
      <c r="B28" s="9" t="s">
        <v>28</v>
      </c>
      <c r="C28" s="18"/>
      <c r="D28" s="12">
        <f>D24+D25-D26-D27</f>
        <v>-373400000</v>
      </c>
      <c r="E28" s="12">
        <f t="shared" ref="E28:I28" si="10">E24+E25-E26-E27</f>
        <v>-541430000</v>
      </c>
      <c r="F28" s="12">
        <f t="shared" si="10"/>
        <v>-758002000</v>
      </c>
      <c r="G28" s="12">
        <f t="shared" si="10"/>
        <v>-1023302700</v>
      </c>
      <c r="H28" s="12">
        <f t="shared" si="10"/>
        <v>-1279128375</v>
      </c>
      <c r="I28" s="12">
        <f t="shared" si="10"/>
        <v>-1662866887.5</v>
      </c>
      <c r="P28" s="7">
        <v>46205</v>
      </c>
      <c r="Q28" s="6">
        <v>162</v>
      </c>
      <c r="R28" s="6">
        <v>7483.24</v>
      </c>
      <c r="S28" s="6">
        <v>25832.67</v>
      </c>
      <c r="T28" s="6">
        <v>52900.07</v>
      </c>
      <c r="U28" s="7">
        <v>46205</v>
      </c>
      <c r="V28" s="59">
        <f t="shared" si="0"/>
        <v>100.65237651444549</v>
      </c>
      <c r="W28" s="59">
        <f t="shared" si="1"/>
        <v>100.69676752616579</v>
      </c>
      <c r="X28" s="59">
        <f t="shared" si="2"/>
        <v>99.783033925042602</v>
      </c>
      <c r="Y28" s="59">
        <f t="shared" si="3"/>
        <v>103.31588879084634</v>
      </c>
    </row>
    <row r="29" spans="1:25" x14ac:dyDescent="0.25">
      <c r="A29" t="s">
        <v>34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7">
        <v>46209</v>
      </c>
      <c r="Q29" s="6">
        <v>160.75</v>
      </c>
      <c r="R29" s="6">
        <v>7537.43</v>
      </c>
      <c r="S29" s="6">
        <v>26121.16</v>
      </c>
      <c r="T29" s="6">
        <v>53055.91</v>
      </c>
      <c r="U29" s="7">
        <v>46209</v>
      </c>
      <c r="V29" s="59">
        <f>(Q29/$Q$15)*100</f>
        <v>99.875737806772293</v>
      </c>
      <c r="W29" s="59">
        <f>(R29/$R$15)*100</f>
        <v>101.42596474986073</v>
      </c>
      <c r="X29" s="59">
        <f>(S29/$S$15)*100</f>
        <v>100.89737508517183</v>
      </c>
      <c r="Y29" s="59">
        <f>(T29/$T$15)*100</f>
        <v>103.62025035613662</v>
      </c>
    </row>
    <row r="30" spans="1:25" x14ac:dyDescent="0.25">
      <c r="A30" t="s">
        <v>35</v>
      </c>
      <c r="C30" s="13">
        <f>-G39</f>
        <v>-2037748000000</v>
      </c>
      <c r="D30" s="5">
        <f>D28</f>
        <v>-373400000</v>
      </c>
      <c r="E30" s="5">
        <f t="shared" ref="E30:I30" si="11">E28</f>
        <v>-541430000</v>
      </c>
      <c r="F30" s="5">
        <f t="shared" si="11"/>
        <v>-758002000</v>
      </c>
      <c r="G30" s="5">
        <f t="shared" si="11"/>
        <v>-1023302700</v>
      </c>
      <c r="H30" s="5">
        <f t="shared" si="11"/>
        <v>-1279128375</v>
      </c>
      <c r="I30" s="5">
        <f t="shared" si="11"/>
        <v>-1662866887.5</v>
      </c>
      <c r="J30" s="13">
        <f>I28+M22</f>
        <v>715783365482.81165</v>
      </c>
      <c r="K30" t="s">
        <v>37</v>
      </c>
    </row>
    <row r="31" spans="1:25" x14ac:dyDescent="0.25">
      <c r="A31" t="s">
        <v>36</v>
      </c>
      <c r="D31" s="6">
        <f>1/(1+$B$7)^D29</f>
        <v>0.94240277122194549</v>
      </c>
      <c r="E31" s="6">
        <f t="shared" ref="E31:I31" si="12">1/(1+$B$7)^E29</f>
        <v>0.83696956055999194</v>
      </c>
      <c r="F31" s="6">
        <f t="shared" si="12"/>
        <v>0.74333190297782659</v>
      </c>
      <c r="G31" s="6">
        <f t="shared" si="12"/>
        <v>0.66017014718545675</v>
      </c>
      <c r="H31" s="6">
        <f t="shared" si="12"/>
        <v>0.58631228054242168</v>
      </c>
      <c r="I31" s="6">
        <f t="shared" si="12"/>
        <v>0.55254231798463693</v>
      </c>
      <c r="J31" t="s">
        <v>38</v>
      </c>
    </row>
    <row r="32" spans="1:25" x14ac:dyDescent="0.25">
      <c r="A32" t="s">
        <v>39</v>
      </c>
      <c r="C32" s="13">
        <f>-G39</f>
        <v>-2037748000000</v>
      </c>
      <c r="D32" s="5">
        <f>D30*D31</f>
        <v>-351893194.77427447</v>
      </c>
      <c r="E32" s="5">
        <f t="shared" ref="E32:I32" si="13">E30*E31</f>
        <v>-453160429.17399645</v>
      </c>
      <c r="F32" s="5">
        <f t="shared" si="13"/>
        <v>-563447069.1209985</v>
      </c>
      <c r="G32" s="5">
        <f t="shared" si="13"/>
        <v>-675553894.07427526</v>
      </c>
      <c r="H32" s="5">
        <f t="shared" si="13"/>
        <v>-749968674.65277195</v>
      </c>
      <c r="I32" s="5">
        <f t="shared" si="13"/>
        <v>-918804324.51914847</v>
      </c>
      <c r="J32" s="14">
        <f>M22</f>
        <v>717446232370.31165</v>
      </c>
    </row>
    <row r="33" spans="1:14" x14ac:dyDescent="0.25">
      <c r="A33" t="s">
        <v>54</v>
      </c>
      <c r="C33" s="29">
        <v>-2050828</v>
      </c>
      <c r="D33" s="45">
        <v>-352</v>
      </c>
      <c r="E33" s="24">
        <v>-453</v>
      </c>
      <c r="F33" s="24">
        <v>-563</v>
      </c>
      <c r="G33" s="24">
        <v>-676</v>
      </c>
      <c r="H33" s="24">
        <v>-750</v>
      </c>
      <c r="I33" s="24">
        <v>-919</v>
      </c>
      <c r="J33" s="24">
        <v>717446</v>
      </c>
    </row>
    <row r="35" spans="1:14" x14ac:dyDescent="0.25">
      <c r="A35" s="3" t="s">
        <v>40</v>
      </c>
      <c r="F35" s="3" t="s">
        <v>30</v>
      </c>
    </row>
    <row r="36" spans="1:14" x14ac:dyDescent="0.25">
      <c r="A36" s="13" t="s">
        <v>41</v>
      </c>
      <c r="B36" s="17">
        <f>SUM(D32:I32)</f>
        <v>-3712827586.315465</v>
      </c>
      <c r="C36" t="s">
        <v>44</v>
      </c>
      <c r="F36" t="s">
        <v>32</v>
      </c>
      <c r="G36" s="15">
        <f>B13*B12</f>
        <v>2040480000000</v>
      </c>
      <c r="H36" t="s">
        <v>33</v>
      </c>
      <c r="L36" s="3" t="s">
        <v>50</v>
      </c>
    </row>
    <row r="37" spans="1:14" x14ac:dyDescent="0.25">
      <c r="A37" t="s">
        <v>11</v>
      </c>
      <c r="B37" s="19">
        <f>B15</f>
        <v>24700000000</v>
      </c>
      <c r="F37" t="s">
        <v>10</v>
      </c>
      <c r="G37" s="14">
        <f>B14</f>
        <v>21968000000</v>
      </c>
      <c r="L37" t="s">
        <v>51</v>
      </c>
      <c r="M37" s="21">
        <f>(B40/B12)-1</f>
        <v>-0.824437043052616</v>
      </c>
    </row>
    <row r="38" spans="1:14" x14ac:dyDescent="0.25">
      <c r="A38" t="s">
        <v>10</v>
      </c>
      <c r="B38" s="19">
        <f>B14</f>
        <v>21968000000</v>
      </c>
      <c r="C38" s="3"/>
      <c r="F38" t="s">
        <v>11</v>
      </c>
      <c r="G38" s="14">
        <f>B15</f>
        <v>24700000000</v>
      </c>
      <c r="L38" t="s">
        <v>52</v>
      </c>
      <c r="M38" s="23">
        <f>IRR(C33:J33)</f>
        <v>-0.13974788728682908</v>
      </c>
      <c r="N38" t="s">
        <v>55</v>
      </c>
    </row>
    <row r="39" spans="1:14" x14ac:dyDescent="0.25">
      <c r="A39" t="s">
        <v>43</v>
      </c>
      <c r="B39" s="17">
        <f>(((B36+B37)-B38)+(M22))/2</f>
        <v>358232702391.99811</v>
      </c>
      <c r="C39" t="s">
        <v>73</v>
      </c>
      <c r="F39" t="s">
        <v>29</v>
      </c>
      <c r="G39" s="13">
        <f>G36+G37-G38</f>
        <v>2037748000000</v>
      </c>
      <c r="H39" t="s">
        <v>31</v>
      </c>
    </row>
    <row r="40" spans="1:14" x14ac:dyDescent="0.25">
      <c r="A40" t="s">
        <v>70</v>
      </c>
      <c r="B40" s="20">
        <f>B39/B13</f>
        <v>27.387821283791904</v>
      </c>
      <c r="C40" t="s">
        <v>74</v>
      </c>
      <c r="F40" t="s">
        <v>47</v>
      </c>
      <c r="G40" s="16">
        <f>G39/B13</f>
        <v>155.79113149847095</v>
      </c>
      <c r="H40" t="s">
        <v>48</v>
      </c>
      <c r="L40" s="46" t="s">
        <v>78</v>
      </c>
      <c r="M40" s="47"/>
    </row>
    <row r="41" spans="1:14" x14ac:dyDescent="0.25">
      <c r="A41" t="s">
        <v>45</v>
      </c>
      <c r="B41" s="22">
        <f>(B40/B12)-1</f>
        <v>-0.824437043052616</v>
      </c>
      <c r="C41" t="s">
        <v>46</v>
      </c>
      <c r="F41" t="s">
        <v>45</v>
      </c>
      <c r="G41" s="21">
        <f>(G40/B12)-1</f>
        <v>-1.3389006508273127E-3</v>
      </c>
      <c r="H41" t="s">
        <v>49</v>
      </c>
      <c r="L41" s="48" t="s">
        <v>40</v>
      </c>
      <c r="M41" s="49">
        <f>B40</f>
        <v>27.387821283791904</v>
      </c>
    </row>
    <row r="42" spans="1:14" x14ac:dyDescent="0.25">
      <c r="L42" s="48" t="s">
        <v>8</v>
      </c>
      <c r="M42" s="53">
        <f>B12</f>
        <v>156</v>
      </c>
    </row>
    <row r="43" spans="1:14" x14ac:dyDescent="0.25">
      <c r="L43" s="48" t="s">
        <v>83</v>
      </c>
      <c r="M43" s="49">
        <f>(B40-B12)</f>
        <v>-128.61217871620809</v>
      </c>
    </row>
    <row r="44" spans="1:14" x14ac:dyDescent="0.25">
      <c r="L44" s="48" t="s">
        <v>82</v>
      </c>
      <c r="M44" s="54">
        <f>((B40-B12)/(B12))</f>
        <v>-0.824437043052616</v>
      </c>
    </row>
    <row r="45" spans="1:14" x14ac:dyDescent="0.25">
      <c r="L45" s="48"/>
      <c r="M45" s="50"/>
    </row>
    <row r="46" spans="1:14" x14ac:dyDescent="0.25">
      <c r="L46" s="51" t="s">
        <v>53</v>
      </c>
      <c r="M46" s="50"/>
    </row>
    <row r="47" spans="1:14" x14ac:dyDescent="0.25">
      <c r="L47" s="48" t="s">
        <v>40</v>
      </c>
      <c r="M47" s="49">
        <f>B40</f>
        <v>27.387821283791904</v>
      </c>
    </row>
    <row r="48" spans="1:14" x14ac:dyDescent="0.25">
      <c r="L48" s="48" t="s">
        <v>30</v>
      </c>
      <c r="M48" s="49">
        <f>G40</f>
        <v>155.79113149847095</v>
      </c>
    </row>
    <row r="49" spans="12:13" x14ac:dyDescent="0.25">
      <c r="L49" s="48" t="s">
        <v>83</v>
      </c>
      <c r="M49" s="49">
        <f>-(G40-B40)</f>
        <v>-128.40331021467904</v>
      </c>
    </row>
    <row r="50" spans="12:13" x14ac:dyDescent="0.25">
      <c r="L50" s="52" t="s">
        <v>82</v>
      </c>
      <c r="M50" s="55">
        <f>((B40-G40)/(G40))</f>
        <v>-0.82420166654954485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6DBB-0007-4649-89F0-A42925C7FFDC}">
  <dimension ref="A1:Z50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5" max="16" width="9.7109375" bestFit="1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61</v>
      </c>
    </row>
    <row r="5" spans="1:26" x14ac:dyDescent="0.25">
      <c r="A5" s="37" t="s">
        <v>1</v>
      </c>
      <c r="B5" s="38"/>
      <c r="C5" s="39"/>
      <c r="P5" t="s">
        <v>56</v>
      </c>
    </row>
    <row r="6" spans="1:26" x14ac:dyDescent="0.25">
      <c r="A6" s="40" t="s">
        <v>2</v>
      </c>
      <c r="B6" s="31">
        <v>0.02</v>
      </c>
      <c r="C6" s="41"/>
      <c r="P6" t="s">
        <v>57</v>
      </c>
      <c r="Q6" t="s">
        <v>58</v>
      </c>
      <c r="S6" t="s">
        <v>59</v>
      </c>
      <c r="T6" t="s">
        <v>60</v>
      </c>
    </row>
    <row r="7" spans="1:26" x14ac:dyDescent="0.25">
      <c r="A7" s="40" t="s">
        <v>3</v>
      </c>
      <c r="B7" s="32">
        <v>0.13600000000000001</v>
      </c>
      <c r="C7" s="41"/>
      <c r="P7">
        <v>2026</v>
      </c>
      <c r="Q7" s="26">
        <f>D28</f>
        <v>-3771340000</v>
      </c>
      <c r="R7" s="26"/>
      <c r="S7" t="s">
        <v>40</v>
      </c>
      <c r="T7" s="16">
        <f>B40</f>
        <v>9.8877132541780988</v>
      </c>
    </row>
    <row r="8" spans="1:26" x14ac:dyDescent="0.25">
      <c r="A8" s="40" t="s">
        <v>4</v>
      </c>
      <c r="B8" s="32">
        <v>0.03</v>
      </c>
      <c r="C8" s="41"/>
      <c r="P8">
        <v>2027</v>
      </c>
      <c r="Q8" s="26">
        <f>E28</f>
        <v>-5279876000</v>
      </c>
      <c r="R8" s="26"/>
      <c r="S8" t="s">
        <v>71</v>
      </c>
      <c r="T8" s="16">
        <v>146.11000000000001</v>
      </c>
    </row>
    <row r="9" spans="1:26" x14ac:dyDescent="0.25">
      <c r="A9" s="40" t="s">
        <v>5</v>
      </c>
      <c r="B9" s="33" t="s">
        <v>92</v>
      </c>
      <c r="C9" s="41"/>
      <c r="P9">
        <v>2028</v>
      </c>
      <c r="Q9" s="26">
        <f>F28</f>
        <v>-7127832600</v>
      </c>
      <c r="R9" s="26"/>
      <c r="S9" t="s">
        <v>8</v>
      </c>
      <c r="T9" s="16">
        <f>B12</f>
        <v>156</v>
      </c>
    </row>
    <row r="10" spans="1:26" x14ac:dyDescent="0.25">
      <c r="A10" s="40" t="s">
        <v>6</v>
      </c>
      <c r="B10" s="34">
        <v>46209</v>
      </c>
      <c r="C10" s="41"/>
      <c r="P10">
        <v>2029</v>
      </c>
      <c r="Q10" s="26">
        <f>G28</f>
        <v>-9266182380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-11119418856</v>
      </c>
      <c r="R11" s="26"/>
    </row>
    <row r="12" spans="1:26" x14ac:dyDescent="0.25">
      <c r="A12" s="40" t="s">
        <v>8</v>
      </c>
      <c r="B12" s="35">
        <v>156</v>
      </c>
      <c r="C12" s="41" t="s">
        <v>77</v>
      </c>
      <c r="P12">
        <v>2031</v>
      </c>
      <c r="Q12" s="26">
        <f>I28</f>
        <v>-13899273570</v>
      </c>
      <c r="R12" s="26"/>
    </row>
    <row r="13" spans="1:26" x14ac:dyDescent="0.25">
      <c r="A13" s="40" t="s">
        <v>9</v>
      </c>
      <c r="B13" s="36">
        <v>13080000000</v>
      </c>
      <c r="C13" s="41"/>
    </row>
    <row r="14" spans="1:26" x14ac:dyDescent="0.25">
      <c r="A14" s="40" t="s">
        <v>10</v>
      </c>
      <c r="B14" s="35">
        <v>21968000000</v>
      </c>
      <c r="C14" s="41"/>
      <c r="P14" s="6" t="s">
        <v>16</v>
      </c>
      <c r="Q14" s="6" t="s">
        <v>97</v>
      </c>
      <c r="R14" s="6" t="s">
        <v>62</v>
      </c>
      <c r="S14" s="6" t="s">
        <v>68</v>
      </c>
      <c r="T14" s="6" t="s">
        <v>63</v>
      </c>
      <c r="U14" s="6" t="s">
        <v>16</v>
      </c>
      <c r="V14" s="6" t="s">
        <v>96</v>
      </c>
      <c r="W14" s="6" t="s">
        <v>64</v>
      </c>
      <c r="X14" s="6" t="s">
        <v>69</v>
      </c>
      <c r="Y14" s="6" t="s">
        <v>65</v>
      </c>
      <c r="Z14" t="s">
        <v>66</v>
      </c>
    </row>
    <row r="15" spans="1:26" x14ac:dyDescent="0.25">
      <c r="A15" s="40" t="s">
        <v>11</v>
      </c>
      <c r="B15" s="35">
        <v>24700000000</v>
      </c>
      <c r="C15" s="41"/>
      <c r="O15" s="57"/>
      <c r="P15" s="7">
        <v>46185</v>
      </c>
      <c r="Q15" s="6">
        <v>160.94999999999999</v>
      </c>
      <c r="R15" s="6">
        <v>7431.46</v>
      </c>
      <c r="S15" s="6">
        <v>25888.84</v>
      </c>
      <c r="T15" s="6">
        <v>51202.26</v>
      </c>
      <c r="U15" s="7">
        <v>46185</v>
      </c>
      <c r="V15" s="60">
        <f>(Q15/$Q$15)*100</f>
        <v>100</v>
      </c>
      <c r="W15" s="60">
        <f>(R15/$R$15)*100</f>
        <v>100</v>
      </c>
      <c r="X15" s="60">
        <f>(S15/$S$15)*100</f>
        <v>100</v>
      </c>
      <c r="Y15" s="60">
        <f>(T15/$T$15)*100</f>
        <v>100</v>
      </c>
      <c r="Z15" t="s">
        <v>67</v>
      </c>
    </row>
    <row r="16" spans="1:26" x14ac:dyDescent="0.25">
      <c r="A16" s="40" t="s">
        <v>12</v>
      </c>
      <c r="B16" s="35" t="s">
        <v>103</v>
      </c>
      <c r="C16" s="41"/>
      <c r="P16" s="7">
        <v>46188</v>
      </c>
      <c r="Q16" s="58">
        <v>192.5</v>
      </c>
      <c r="R16" s="6">
        <v>7554.29</v>
      </c>
      <c r="S16" s="6">
        <v>26683.94</v>
      </c>
      <c r="T16" s="6">
        <v>51671.03</v>
      </c>
      <c r="U16" s="7">
        <v>46188</v>
      </c>
      <c r="V16" s="59">
        <f>(Q16/$Q$15)*100</f>
        <v>119.60236098167134</v>
      </c>
      <c r="W16" s="59">
        <f>(R16/$R$15)*100</f>
        <v>101.65283806950451</v>
      </c>
      <c r="X16" s="59">
        <f>(S16/$S$15)*100</f>
        <v>103.07120751644337</v>
      </c>
      <c r="Y16" s="59">
        <f>(T16/$T$15)*100</f>
        <v>100.91552599436039</v>
      </c>
      <c r="Z16" t="s">
        <v>72</v>
      </c>
    </row>
    <row r="17" spans="1:25" x14ac:dyDescent="0.25">
      <c r="A17" s="42" t="s">
        <v>76</v>
      </c>
      <c r="B17" s="43"/>
      <c r="C17" s="44"/>
      <c r="P17" s="7">
        <v>46189</v>
      </c>
      <c r="Q17" s="6">
        <v>211.39</v>
      </c>
      <c r="R17" s="6">
        <v>7511.35</v>
      </c>
      <c r="S17" s="6">
        <v>26376.34</v>
      </c>
      <c r="T17" s="6">
        <v>51999.67</v>
      </c>
      <c r="U17" s="7">
        <v>46189</v>
      </c>
      <c r="V17" s="59">
        <f t="shared" ref="V17:V28" si="0">(Q17/$Q$15)*100</f>
        <v>131.33892513202858</v>
      </c>
      <c r="W17" s="59">
        <f t="shared" ref="W17:W28" si="1">(R17/$R$15)*100</f>
        <v>101.07502428863238</v>
      </c>
      <c r="X17" s="59">
        <f t="shared" ref="X17:X28" si="2">(S17/$S$15)*100</f>
        <v>101.88305076627613</v>
      </c>
      <c r="Y17" s="59">
        <f t="shared" ref="Y17:Y28" si="3">(T17/$T$15)*100</f>
        <v>101.5573726628473</v>
      </c>
    </row>
    <row r="18" spans="1:25" x14ac:dyDescent="0.25">
      <c r="P18" s="7">
        <v>46190</v>
      </c>
      <c r="Q18" s="6">
        <v>191.82</v>
      </c>
      <c r="R18" s="6">
        <v>7420.1</v>
      </c>
      <c r="S18" s="6">
        <v>26021.66</v>
      </c>
      <c r="T18" s="6">
        <v>51492.55</v>
      </c>
      <c r="U18" s="7">
        <v>46190</v>
      </c>
      <c r="V18" s="59">
        <f t="shared" si="0"/>
        <v>119.17986952469712</v>
      </c>
      <c r="W18" s="59">
        <f t="shared" si="1"/>
        <v>99.847136363514039</v>
      </c>
      <c r="X18" s="59">
        <f t="shared" si="2"/>
        <v>100.51303959543958</v>
      </c>
      <c r="Y18" s="59">
        <f t="shared" si="3"/>
        <v>100.56694763082723</v>
      </c>
    </row>
    <row r="19" spans="1:25" x14ac:dyDescent="0.25">
      <c r="A19" s="11" t="s">
        <v>42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7">
        <v>46191</v>
      </c>
      <c r="Q19" s="6">
        <v>185</v>
      </c>
      <c r="R19" s="6">
        <v>7500.58</v>
      </c>
      <c r="S19" s="6">
        <v>26517.93</v>
      </c>
      <c r="T19" s="6">
        <v>51564.7</v>
      </c>
      <c r="U19" s="7">
        <v>46191</v>
      </c>
      <c r="V19" s="59">
        <f t="shared" si="0"/>
        <v>114.94252873563219</v>
      </c>
      <c r="W19" s="59">
        <f t="shared" si="1"/>
        <v>100.93009987270334</v>
      </c>
      <c r="X19" s="59">
        <f t="shared" si="2"/>
        <v>102.42996596216749</v>
      </c>
      <c r="Y19" s="59">
        <f t="shared" si="3"/>
        <v>100.70785937964457</v>
      </c>
    </row>
    <row r="20" spans="1:25" x14ac:dyDescent="0.25">
      <c r="A20" t="s">
        <v>16</v>
      </c>
      <c r="C20" s="7">
        <v>46209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-135058979029.24527</v>
      </c>
      <c r="P20" s="7">
        <v>46195</v>
      </c>
      <c r="Q20" s="6">
        <v>154.6</v>
      </c>
      <c r="R20" s="6">
        <v>7472.79</v>
      </c>
      <c r="S20" s="6">
        <v>26166.6</v>
      </c>
      <c r="T20" s="6">
        <v>51712.71</v>
      </c>
      <c r="U20" s="7">
        <v>46195</v>
      </c>
      <c r="V20" s="59">
        <f t="shared" si="0"/>
        <v>96.054675365020188</v>
      </c>
      <c r="W20" s="59">
        <f t="shared" si="1"/>
        <v>100.55614912816593</v>
      </c>
      <c r="X20" s="59">
        <f t="shared" si="2"/>
        <v>101.07289472992996</v>
      </c>
      <c r="Y20" s="59">
        <f t="shared" si="3"/>
        <v>100.99692865119624</v>
      </c>
    </row>
    <row r="21" spans="1:25" x14ac:dyDescent="0.25">
      <c r="A21" t="s">
        <v>18</v>
      </c>
      <c r="D21" s="5">
        <v>18670000000</v>
      </c>
      <c r="E21" s="5">
        <f>D21*1.4</f>
        <v>26138000000</v>
      </c>
      <c r="F21" s="5">
        <f>E21*1.35</f>
        <v>35286300000</v>
      </c>
      <c r="G21" s="5">
        <f>F21*1.3</f>
        <v>45872190000</v>
      </c>
      <c r="H21" s="5">
        <f>G21*1.2</f>
        <v>55046628000</v>
      </c>
      <c r="I21" s="5">
        <f>H21*1.25</f>
        <v>68808285000</v>
      </c>
      <c r="L21" t="s">
        <v>19</v>
      </c>
      <c r="M21" s="13">
        <f>(I22+I25)*45</f>
        <v>712165749750</v>
      </c>
      <c r="P21" s="7">
        <v>46196</v>
      </c>
      <c r="Q21" s="6">
        <v>156.11000000000001</v>
      </c>
      <c r="R21" s="6">
        <v>7365.46</v>
      </c>
      <c r="S21" s="6">
        <v>25587.040000000001</v>
      </c>
      <c r="T21" s="6">
        <v>51666.84</v>
      </c>
      <c r="U21" s="7">
        <v>46196</v>
      </c>
      <c r="V21" s="59">
        <f t="shared" si="0"/>
        <v>96.992854923889425</v>
      </c>
      <c r="W21" s="59">
        <f t="shared" si="1"/>
        <v>99.111883802106178</v>
      </c>
      <c r="X21" s="59">
        <f t="shared" si="2"/>
        <v>98.83424672561614</v>
      </c>
      <c r="Y21" s="59">
        <f t="shared" si="3"/>
        <v>100.90734276182339</v>
      </c>
    </row>
    <row r="22" spans="1:25" x14ac:dyDescent="0.25">
      <c r="A22" t="s">
        <v>85</v>
      </c>
      <c r="B22" t="s">
        <v>86</v>
      </c>
      <c r="C22" s="56">
        <v>0.1</v>
      </c>
      <c r="D22" s="5">
        <f>D21*$C$22</f>
        <v>1867000000</v>
      </c>
      <c r="E22" s="5">
        <f t="shared" ref="E22:I22" si="4">E21*$C$22</f>
        <v>2613800000</v>
      </c>
      <c r="F22" s="5">
        <f t="shared" si="4"/>
        <v>3528630000</v>
      </c>
      <c r="G22" s="5">
        <f t="shared" si="4"/>
        <v>4587219000</v>
      </c>
      <c r="H22" s="5">
        <f t="shared" si="4"/>
        <v>5504662800</v>
      </c>
      <c r="I22" s="5">
        <f t="shared" si="4"/>
        <v>6880828500</v>
      </c>
      <c r="L22" t="s">
        <v>20</v>
      </c>
      <c r="M22" s="13">
        <f>(M20+M21)/2</f>
        <v>288553385360.37738</v>
      </c>
      <c r="P22" s="7">
        <v>46197</v>
      </c>
      <c r="Q22" s="6">
        <v>154.54</v>
      </c>
      <c r="R22" s="6">
        <v>7358.22</v>
      </c>
      <c r="S22" s="6">
        <v>25476.639999999999</v>
      </c>
      <c r="T22" s="6">
        <v>51848.9</v>
      </c>
      <c r="U22" s="7">
        <v>46197</v>
      </c>
      <c r="V22" s="59">
        <f t="shared" si="0"/>
        <v>96.017396707051887</v>
      </c>
      <c r="W22" s="59">
        <f t="shared" si="1"/>
        <v>99.014460146458433</v>
      </c>
      <c r="X22" s="59">
        <f t="shared" si="2"/>
        <v>98.407808152084058</v>
      </c>
      <c r="Y22" s="59">
        <f t="shared" si="3"/>
        <v>101.26291300423067</v>
      </c>
    </row>
    <row r="23" spans="1:25" x14ac:dyDescent="0.25">
      <c r="A23" t="s">
        <v>21</v>
      </c>
      <c r="B23" t="s">
        <v>22</v>
      </c>
      <c r="C23" s="25"/>
      <c r="D23" s="5">
        <f>D22*$B$6</f>
        <v>37340000</v>
      </c>
      <c r="E23" s="5">
        <f t="shared" ref="E23:I23" si="5">E22*$B$6</f>
        <v>52276000</v>
      </c>
      <c r="F23" s="5">
        <f t="shared" si="5"/>
        <v>70572600</v>
      </c>
      <c r="G23" s="30">
        <f t="shared" si="5"/>
        <v>91744380</v>
      </c>
      <c r="H23" s="5">
        <f t="shared" si="5"/>
        <v>110093256</v>
      </c>
      <c r="I23" s="5">
        <f t="shared" si="5"/>
        <v>137616570</v>
      </c>
      <c r="P23" s="7">
        <v>46198</v>
      </c>
      <c r="Q23" s="6">
        <v>153</v>
      </c>
      <c r="R23" s="6">
        <v>7357.49</v>
      </c>
      <c r="S23" s="6">
        <v>25358.6</v>
      </c>
      <c r="T23" s="6">
        <v>51920.62</v>
      </c>
      <c r="U23" s="7">
        <v>46198</v>
      </c>
      <c r="V23" s="59">
        <f t="shared" si="0"/>
        <v>95.060577819198514</v>
      </c>
      <c r="W23" s="59">
        <f t="shared" si="1"/>
        <v>99.004637043057485</v>
      </c>
      <c r="X23" s="59">
        <f t="shared" si="2"/>
        <v>97.951858793209738</v>
      </c>
      <c r="Y23" s="59">
        <f t="shared" si="3"/>
        <v>101.40298494636761</v>
      </c>
    </row>
    <row r="24" spans="1:25" x14ac:dyDescent="0.25">
      <c r="A24" t="s">
        <v>23</v>
      </c>
      <c r="B24" t="s">
        <v>24</v>
      </c>
      <c r="C24" s="25"/>
      <c r="D24" s="5">
        <f>D22*(1-$B$6)</f>
        <v>1829660000</v>
      </c>
      <c r="E24" s="5">
        <f t="shared" ref="E24:I24" si="6">E22*(1-$B$6)</f>
        <v>2561524000</v>
      </c>
      <c r="F24" s="5">
        <f t="shared" si="6"/>
        <v>3458057400</v>
      </c>
      <c r="G24" s="5">
        <f t="shared" si="6"/>
        <v>4495474620</v>
      </c>
      <c r="H24" s="5">
        <f t="shared" si="6"/>
        <v>5394569544</v>
      </c>
      <c r="I24" s="5">
        <f t="shared" si="6"/>
        <v>6743211930</v>
      </c>
      <c r="P24" s="7">
        <v>46199</v>
      </c>
      <c r="Q24" s="6">
        <v>153.22999999999999</v>
      </c>
      <c r="R24" s="6">
        <v>7354.02</v>
      </c>
      <c r="S24" s="6">
        <v>25297.62</v>
      </c>
      <c r="T24" s="6">
        <v>51876.11</v>
      </c>
      <c r="U24" s="7">
        <v>46199</v>
      </c>
      <c r="V24" s="59">
        <f t="shared" si="0"/>
        <v>95.203479341410386</v>
      </c>
      <c r="W24" s="59">
        <f t="shared" si="1"/>
        <v>98.957943661137932</v>
      </c>
      <c r="X24" s="59">
        <f t="shared" si="2"/>
        <v>97.716313284025077</v>
      </c>
      <c r="Y24" s="59">
        <f t="shared" si="3"/>
        <v>101.3160551897514</v>
      </c>
    </row>
    <row r="25" spans="1:25" x14ac:dyDescent="0.25">
      <c r="A25" s="4" t="s">
        <v>25</v>
      </c>
      <c r="B25" s="8" t="s">
        <v>101</v>
      </c>
      <c r="C25" s="25">
        <v>0.13</v>
      </c>
      <c r="D25" s="12">
        <f>D21*$C$25</f>
        <v>2427100000</v>
      </c>
      <c r="E25" s="12">
        <f t="shared" ref="E25:I25" si="7">E21*$C$25</f>
        <v>3397940000</v>
      </c>
      <c r="F25" s="12">
        <f t="shared" si="7"/>
        <v>4587219000</v>
      </c>
      <c r="G25" s="12">
        <f t="shared" si="7"/>
        <v>5963384700</v>
      </c>
      <c r="H25" s="12">
        <f t="shared" si="7"/>
        <v>7156061640</v>
      </c>
      <c r="I25" s="12">
        <f t="shared" si="7"/>
        <v>8945077050</v>
      </c>
      <c r="P25" s="7">
        <v>46202</v>
      </c>
      <c r="Q25" s="6">
        <v>164.19</v>
      </c>
      <c r="R25" s="6">
        <v>7440.43</v>
      </c>
      <c r="S25" s="6">
        <v>25820.14</v>
      </c>
      <c r="T25" s="6">
        <v>52182.74</v>
      </c>
      <c r="U25" s="7">
        <v>46202</v>
      </c>
      <c r="V25" s="59">
        <f t="shared" si="0"/>
        <v>102.01304753028893</v>
      </c>
      <c r="W25" s="59">
        <f t="shared" si="1"/>
        <v>100.12070306507739</v>
      </c>
      <c r="X25" s="59">
        <f t="shared" si="2"/>
        <v>99.734634692014012</v>
      </c>
      <c r="Y25" s="59">
        <f t="shared" si="3"/>
        <v>101.91491547443412</v>
      </c>
    </row>
    <row r="26" spans="1:25" x14ac:dyDescent="0.25">
      <c r="A26" t="s">
        <v>88</v>
      </c>
      <c r="B26" t="s">
        <v>100</v>
      </c>
      <c r="C26" s="25">
        <v>0.4</v>
      </c>
      <c r="D26" s="10">
        <f>D21*$C$26</f>
        <v>7468000000</v>
      </c>
      <c r="E26" s="10">
        <f t="shared" ref="E26:I26" si="8">E21*$C$26</f>
        <v>10455200000</v>
      </c>
      <c r="F26" s="10">
        <f t="shared" si="8"/>
        <v>14114520000</v>
      </c>
      <c r="G26" s="10">
        <f t="shared" si="8"/>
        <v>18348876000</v>
      </c>
      <c r="H26" s="10">
        <f t="shared" si="8"/>
        <v>22018651200</v>
      </c>
      <c r="I26" s="10">
        <f t="shared" si="8"/>
        <v>27523314000</v>
      </c>
      <c r="P26" s="7">
        <v>46203</v>
      </c>
      <c r="Q26" s="6">
        <v>170.86</v>
      </c>
      <c r="R26" s="6">
        <v>7499.36</v>
      </c>
      <c r="S26" s="6">
        <v>26213.72</v>
      </c>
      <c r="T26" s="6">
        <v>52319.199999999997</v>
      </c>
      <c r="U26" s="7">
        <v>46203</v>
      </c>
      <c r="V26" s="59">
        <f t="shared" si="0"/>
        <v>106.15719167443307</v>
      </c>
      <c r="W26" s="59">
        <f t="shared" si="1"/>
        <v>100.91368317934833</v>
      </c>
      <c r="X26" s="59">
        <f t="shared" si="2"/>
        <v>101.25490365732881</v>
      </c>
      <c r="Y26" s="59">
        <f t="shared" si="3"/>
        <v>102.18142714794229</v>
      </c>
    </row>
    <row r="27" spans="1:25" x14ac:dyDescent="0.25">
      <c r="A27" t="s">
        <v>26</v>
      </c>
      <c r="B27" t="s">
        <v>79</v>
      </c>
      <c r="C27" s="25">
        <v>0.03</v>
      </c>
      <c r="D27" s="10">
        <f>D21*$C$27</f>
        <v>560100000</v>
      </c>
      <c r="E27" s="10">
        <f t="shared" ref="E27:I27" si="9">E21*$C$27</f>
        <v>784140000</v>
      </c>
      <c r="F27" s="10">
        <f t="shared" si="9"/>
        <v>1058589000</v>
      </c>
      <c r="G27" s="10">
        <f t="shared" si="9"/>
        <v>1376165700</v>
      </c>
      <c r="H27" s="10">
        <f t="shared" si="9"/>
        <v>1651398840</v>
      </c>
      <c r="I27" s="10">
        <f t="shared" si="9"/>
        <v>2064248550</v>
      </c>
      <c r="P27" s="7">
        <v>46204</v>
      </c>
      <c r="Q27" s="6">
        <v>157.54</v>
      </c>
      <c r="R27" s="6">
        <v>7483.23</v>
      </c>
      <c r="S27" s="6">
        <v>26040.03</v>
      </c>
      <c r="T27" s="6">
        <v>52305.24</v>
      </c>
      <c r="U27" s="7">
        <v>46204</v>
      </c>
      <c r="V27" s="59">
        <f t="shared" si="0"/>
        <v>97.881329605467542</v>
      </c>
      <c r="W27" s="59">
        <f t="shared" si="1"/>
        <v>100.69663296310549</v>
      </c>
      <c r="X27" s="59">
        <f t="shared" si="2"/>
        <v>100.58399681098109</v>
      </c>
      <c r="Y27" s="59">
        <f t="shared" si="3"/>
        <v>102.15416272641089</v>
      </c>
    </row>
    <row r="28" spans="1:25" ht="30" x14ac:dyDescent="0.25">
      <c r="A28" s="8" t="s">
        <v>27</v>
      </c>
      <c r="B28" s="9" t="s">
        <v>28</v>
      </c>
      <c r="C28" s="18"/>
      <c r="D28" s="12">
        <f>D24+D25-D26-D27</f>
        <v>-3771340000</v>
      </c>
      <c r="E28" s="12">
        <f t="shared" ref="E28:I28" si="10">E24+E25-E26-E27</f>
        <v>-5279876000</v>
      </c>
      <c r="F28" s="12">
        <f t="shared" si="10"/>
        <v>-7127832600</v>
      </c>
      <c r="G28" s="12">
        <f t="shared" si="10"/>
        <v>-9266182380</v>
      </c>
      <c r="H28" s="12">
        <f t="shared" si="10"/>
        <v>-11119418856</v>
      </c>
      <c r="I28" s="12">
        <f t="shared" si="10"/>
        <v>-13899273570</v>
      </c>
      <c r="P28" s="7">
        <v>46205</v>
      </c>
      <c r="Q28" s="6">
        <v>162</v>
      </c>
      <c r="R28" s="6">
        <v>7483.24</v>
      </c>
      <c r="S28" s="6">
        <v>25832.67</v>
      </c>
      <c r="T28" s="6">
        <v>52900.07</v>
      </c>
      <c r="U28" s="7">
        <v>46205</v>
      </c>
      <c r="V28" s="59">
        <f t="shared" si="0"/>
        <v>100.65237651444549</v>
      </c>
      <c r="W28" s="59">
        <f t="shared" si="1"/>
        <v>100.69676752616579</v>
      </c>
      <c r="X28" s="59">
        <f t="shared" si="2"/>
        <v>99.783033925042602</v>
      </c>
      <c r="Y28" s="59">
        <f t="shared" si="3"/>
        <v>103.31588879084634</v>
      </c>
    </row>
    <row r="29" spans="1:25" x14ac:dyDescent="0.25">
      <c r="A29" t="s">
        <v>34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7">
        <v>46209</v>
      </c>
      <c r="Q29" s="6">
        <v>160.75</v>
      </c>
      <c r="R29" s="6">
        <v>7537.43</v>
      </c>
      <c r="S29" s="6">
        <v>26121.16</v>
      </c>
      <c r="T29" s="6">
        <v>53055.91</v>
      </c>
      <c r="U29" s="7">
        <v>46209</v>
      </c>
      <c r="V29" s="59">
        <f>(Q29/$Q$15)*100</f>
        <v>99.875737806772293</v>
      </c>
      <c r="W29" s="59">
        <f>(R29/$R$15)*100</f>
        <v>101.42596474986073</v>
      </c>
      <c r="X29" s="59">
        <f>(S29/$S$15)*100</f>
        <v>100.89737508517183</v>
      </c>
      <c r="Y29" s="59">
        <f>(T29/$T$15)*100</f>
        <v>103.62025035613662</v>
      </c>
    </row>
    <row r="30" spans="1:25" x14ac:dyDescent="0.25">
      <c r="A30" t="s">
        <v>35</v>
      </c>
      <c r="C30" s="13">
        <f>-G39</f>
        <v>-2037748000000</v>
      </c>
      <c r="D30" s="5">
        <f>D28</f>
        <v>-3771340000</v>
      </c>
      <c r="E30" s="5">
        <f t="shared" ref="E30:I30" si="11">E28</f>
        <v>-5279876000</v>
      </c>
      <c r="F30" s="5">
        <f t="shared" si="11"/>
        <v>-7127832600</v>
      </c>
      <c r="G30" s="5">
        <f t="shared" si="11"/>
        <v>-9266182380</v>
      </c>
      <c r="H30" s="5">
        <f t="shared" si="11"/>
        <v>-11119418856</v>
      </c>
      <c r="I30" s="5">
        <f t="shared" si="11"/>
        <v>-13899273570</v>
      </c>
      <c r="J30" s="13">
        <f>I28+M22</f>
        <v>274654111790.37738</v>
      </c>
      <c r="K30" t="s">
        <v>37</v>
      </c>
    </row>
    <row r="31" spans="1:25" x14ac:dyDescent="0.25">
      <c r="A31" t="s">
        <v>36</v>
      </c>
      <c r="D31" s="6">
        <f>1/(1+$B$7)^D29</f>
        <v>0.93823328130100192</v>
      </c>
      <c r="E31" s="6">
        <f t="shared" ref="E31:I31" si="12">1/(1+$B$7)^E29</f>
        <v>0.82590957861003678</v>
      </c>
      <c r="F31" s="6">
        <f t="shared" si="12"/>
        <v>0.7270330797623562</v>
      </c>
      <c r="G31" s="6">
        <f t="shared" si="12"/>
        <v>0.63999390824151081</v>
      </c>
      <c r="H31" s="6">
        <f t="shared" si="12"/>
        <v>0.56337491922668193</v>
      </c>
      <c r="I31" s="6">
        <f t="shared" si="12"/>
        <v>0.52857709906873673</v>
      </c>
      <c r="J31" t="s">
        <v>38</v>
      </c>
    </row>
    <row r="32" spans="1:25" x14ac:dyDescent="0.25">
      <c r="A32" t="s">
        <v>39</v>
      </c>
      <c r="C32" s="13">
        <f>-G39</f>
        <v>-2037748000000</v>
      </c>
      <c r="D32" s="5">
        <f>D30*D31</f>
        <v>-3538396703.1017208</v>
      </c>
      <c r="E32" s="5">
        <f t="shared" ref="E32:I32" si="13">E30*E31</f>
        <v>-4360700162.2732468</v>
      </c>
      <c r="F32" s="5">
        <f t="shared" si="13"/>
        <v>-5182170087.2085228</v>
      </c>
      <c r="G32" s="5">
        <f t="shared" si="13"/>
        <v>-5930300275.8548241</v>
      </c>
      <c r="H32" s="5">
        <f t="shared" si="13"/>
        <v>-6264401699.8466444</v>
      </c>
      <c r="I32" s="5">
        <f t="shared" si="13"/>
        <v>-7346837702.7933645</v>
      </c>
      <c r="J32" s="14">
        <f>M22</f>
        <v>288553385360.37738</v>
      </c>
    </row>
    <row r="33" spans="1:14" x14ac:dyDescent="0.25">
      <c r="A33" t="s">
        <v>54</v>
      </c>
      <c r="C33" s="29">
        <v>-2050828</v>
      </c>
      <c r="D33" s="45">
        <v>-3538</v>
      </c>
      <c r="E33" s="24">
        <v>-4361</v>
      </c>
      <c r="F33" s="24">
        <v>-5182</v>
      </c>
      <c r="G33" s="24">
        <v>-5930</v>
      </c>
      <c r="H33" s="24">
        <v>-6264</v>
      </c>
      <c r="I33" s="24">
        <v>-7347</v>
      </c>
      <c r="J33" s="24">
        <v>288553</v>
      </c>
    </row>
    <row r="35" spans="1:14" x14ac:dyDescent="0.25">
      <c r="A35" s="3" t="s">
        <v>40</v>
      </c>
      <c r="F35" s="3" t="s">
        <v>30</v>
      </c>
    </row>
    <row r="36" spans="1:14" x14ac:dyDescent="0.25">
      <c r="A36" s="13" t="s">
        <v>41</v>
      </c>
      <c r="B36" s="17">
        <f>SUM(D32:I32)</f>
        <v>-32622806631.078327</v>
      </c>
      <c r="C36" t="s">
        <v>44</v>
      </c>
      <c r="F36" t="s">
        <v>32</v>
      </c>
      <c r="G36" s="15">
        <f>B13*B12</f>
        <v>2040480000000</v>
      </c>
      <c r="H36" t="s">
        <v>33</v>
      </c>
      <c r="L36" s="3" t="s">
        <v>50</v>
      </c>
    </row>
    <row r="37" spans="1:14" x14ac:dyDescent="0.25">
      <c r="A37" t="s">
        <v>11</v>
      </c>
      <c r="B37" s="19">
        <f>B15</f>
        <v>24700000000</v>
      </c>
      <c r="F37" t="s">
        <v>10</v>
      </c>
      <c r="G37" s="14">
        <f>B14</f>
        <v>21968000000</v>
      </c>
      <c r="L37" t="s">
        <v>51</v>
      </c>
      <c r="M37" s="21">
        <f>(B40/B12)-1</f>
        <v>-0.93661722272962755</v>
      </c>
    </row>
    <row r="38" spans="1:14" x14ac:dyDescent="0.25">
      <c r="A38" t="s">
        <v>10</v>
      </c>
      <c r="B38" s="19">
        <f>B14</f>
        <v>21968000000</v>
      </c>
      <c r="C38" s="3"/>
      <c r="F38" t="s">
        <v>11</v>
      </c>
      <c r="G38" s="14">
        <f>B15</f>
        <v>24700000000</v>
      </c>
      <c r="L38" t="s">
        <v>52</v>
      </c>
      <c r="M38" s="23">
        <f>IRR(C33:J33)</f>
        <v>-0.25001504519261264</v>
      </c>
      <c r="N38" t="s">
        <v>55</v>
      </c>
    </row>
    <row r="39" spans="1:14" x14ac:dyDescent="0.25">
      <c r="A39" t="s">
        <v>43</v>
      </c>
      <c r="B39" s="17">
        <f>(((B36+B37)-B38)+(M22))/2</f>
        <v>129331289364.64952</v>
      </c>
      <c r="C39" t="s">
        <v>73</v>
      </c>
      <c r="F39" t="s">
        <v>29</v>
      </c>
      <c r="G39" s="13">
        <f>G36+G37-G38</f>
        <v>2037748000000</v>
      </c>
      <c r="H39" t="s">
        <v>31</v>
      </c>
    </row>
    <row r="40" spans="1:14" x14ac:dyDescent="0.25">
      <c r="A40" t="s">
        <v>70</v>
      </c>
      <c r="B40" s="20">
        <f>B39/B13</f>
        <v>9.8877132541780988</v>
      </c>
      <c r="C40" t="s">
        <v>74</v>
      </c>
      <c r="F40" t="s">
        <v>47</v>
      </c>
      <c r="G40" s="16">
        <f>G39/B13</f>
        <v>155.79113149847095</v>
      </c>
      <c r="H40" t="s">
        <v>48</v>
      </c>
      <c r="L40" s="46" t="s">
        <v>78</v>
      </c>
      <c r="M40" s="47"/>
    </row>
    <row r="41" spans="1:14" x14ac:dyDescent="0.25">
      <c r="A41" t="s">
        <v>45</v>
      </c>
      <c r="B41" s="22">
        <f>(B40/B12)-1</f>
        <v>-0.93661722272962755</v>
      </c>
      <c r="C41" t="s">
        <v>46</v>
      </c>
      <c r="F41" t="s">
        <v>45</v>
      </c>
      <c r="G41" s="21">
        <f>(G40/B12)-1</f>
        <v>-1.3389006508273127E-3</v>
      </c>
      <c r="H41" t="s">
        <v>49</v>
      </c>
      <c r="L41" s="48" t="s">
        <v>40</v>
      </c>
      <c r="M41" s="49">
        <f>B40</f>
        <v>9.8877132541780988</v>
      </c>
    </row>
    <row r="42" spans="1:14" x14ac:dyDescent="0.25">
      <c r="L42" s="48" t="s">
        <v>8</v>
      </c>
      <c r="M42" s="53">
        <f>B12</f>
        <v>156</v>
      </c>
    </row>
    <row r="43" spans="1:14" x14ac:dyDescent="0.25">
      <c r="L43" s="48" t="s">
        <v>83</v>
      </c>
      <c r="M43" s="49">
        <f>(B40-B12)</f>
        <v>-146.1122867458219</v>
      </c>
    </row>
    <row r="44" spans="1:14" x14ac:dyDescent="0.25">
      <c r="L44" s="48" t="s">
        <v>82</v>
      </c>
      <c r="M44" s="54">
        <f>((B40-B12)/(B12))</f>
        <v>-0.93661722272962755</v>
      </c>
    </row>
    <row r="45" spans="1:14" x14ac:dyDescent="0.25">
      <c r="L45" s="48"/>
      <c r="M45" s="50"/>
    </row>
    <row r="46" spans="1:14" x14ac:dyDescent="0.25">
      <c r="L46" s="51" t="s">
        <v>53</v>
      </c>
      <c r="M46" s="50"/>
    </row>
    <row r="47" spans="1:14" x14ac:dyDescent="0.25">
      <c r="L47" s="48" t="s">
        <v>40</v>
      </c>
      <c r="M47" s="49">
        <f>B40</f>
        <v>9.8877132541780988</v>
      </c>
    </row>
    <row r="48" spans="1:14" x14ac:dyDescent="0.25">
      <c r="L48" s="48" t="s">
        <v>30</v>
      </c>
      <c r="M48" s="49">
        <f>G40</f>
        <v>155.79113149847095</v>
      </c>
    </row>
    <row r="49" spans="12:13" x14ac:dyDescent="0.25">
      <c r="L49" s="48" t="s">
        <v>83</v>
      </c>
      <c r="M49" s="49">
        <f>-(G40-B40)</f>
        <v>-145.90341824429285</v>
      </c>
    </row>
    <row r="50" spans="12:13" x14ac:dyDescent="0.25">
      <c r="L50" s="52" t="s">
        <v>82</v>
      </c>
      <c r="M50" s="55">
        <f>((B40-G40)/(G40))</f>
        <v>-0.93653224571210503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DA75-6EB0-4E1C-8C05-1EC5F7D5888E}">
  <dimension ref="A1:Z50"/>
  <sheetViews>
    <sheetView showGridLines="0" zoomScaleNormal="100" workbookViewId="0"/>
  </sheetViews>
  <sheetFormatPr defaultRowHeight="15" x14ac:dyDescent="0.25"/>
  <cols>
    <col min="1" max="1" width="37.5703125" customWidth="1"/>
    <col min="2" max="2" width="29.85546875" customWidth="1"/>
    <col min="3" max="3" width="20.85546875" bestFit="1" customWidth="1"/>
    <col min="4" max="4" width="21" customWidth="1"/>
    <col min="5" max="5" width="21.5703125" customWidth="1"/>
    <col min="6" max="6" width="24.7109375" customWidth="1"/>
    <col min="7" max="7" width="18.7109375" customWidth="1"/>
    <col min="8" max="8" width="17.85546875" customWidth="1"/>
    <col min="9" max="9" width="19.42578125" customWidth="1"/>
    <col min="10" max="10" width="24.42578125" customWidth="1"/>
    <col min="12" max="12" width="24" customWidth="1"/>
    <col min="13" max="13" width="22.5703125" customWidth="1"/>
    <col min="15" max="16" width="9.7109375" bestFit="1" customWidth="1"/>
    <col min="17" max="17" width="20.140625" customWidth="1"/>
    <col min="19" max="19" width="19" customWidth="1"/>
    <col min="20" max="20" width="11" customWidth="1"/>
    <col min="21" max="21" width="14.42578125" customWidth="1"/>
    <col min="22" max="22" width="16.28515625" customWidth="1"/>
    <col min="23" max="23" width="17.140625" customWidth="1"/>
    <col min="24" max="24" width="17" customWidth="1"/>
    <col min="25" max="25" width="12.85546875" customWidth="1"/>
  </cols>
  <sheetData>
    <row r="1" spans="1:26" s="28" customFormat="1" ht="33.75" x14ac:dyDescent="0.5">
      <c r="A1" s="27" t="s">
        <v>0</v>
      </c>
    </row>
    <row r="3" spans="1:26" s="1" customFormat="1" ht="21" x14ac:dyDescent="0.35">
      <c r="A3" s="2" t="s">
        <v>61</v>
      </c>
    </row>
    <row r="5" spans="1:26" x14ac:dyDescent="0.25">
      <c r="A5" s="37" t="s">
        <v>1</v>
      </c>
      <c r="B5" s="38"/>
      <c r="C5" s="39"/>
      <c r="P5" t="s">
        <v>56</v>
      </c>
    </row>
    <row r="6" spans="1:26" x14ac:dyDescent="0.25">
      <c r="A6" s="40" t="s">
        <v>2</v>
      </c>
      <c r="B6" s="31">
        <v>0</v>
      </c>
      <c r="C6" s="41"/>
      <c r="P6" t="s">
        <v>57</v>
      </c>
      <c r="Q6" t="s">
        <v>58</v>
      </c>
      <c r="S6" t="s">
        <v>59</v>
      </c>
      <c r="T6" t="s">
        <v>60</v>
      </c>
    </row>
    <row r="7" spans="1:26" x14ac:dyDescent="0.25">
      <c r="A7" s="40" t="s">
        <v>3</v>
      </c>
      <c r="B7" s="32">
        <v>0.14599999999999999</v>
      </c>
      <c r="C7" s="41"/>
      <c r="P7">
        <v>2026</v>
      </c>
      <c r="Q7" s="26">
        <f>D28</f>
        <v>2987200000</v>
      </c>
      <c r="R7" s="26"/>
      <c r="S7" t="s">
        <v>40</v>
      </c>
      <c r="T7" s="16">
        <f>B40</f>
        <v>66.534528639057513</v>
      </c>
    </row>
    <row r="8" spans="1:26" x14ac:dyDescent="0.25">
      <c r="A8" s="40" t="s">
        <v>4</v>
      </c>
      <c r="B8" s="32">
        <v>0.05</v>
      </c>
      <c r="C8" s="41"/>
      <c r="P8">
        <v>2027</v>
      </c>
      <c r="Q8" s="26">
        <f>E28</f>
        <v>4630160000</v>
      </c>
      <c r="R8" s="26"/>
      <c r="S8" t="s">
        <v>71</v>
      </c>
      <c r="T8" s="16">
        <v>89.47</v>
      </c>
    </row>
    <row r="9" spans="1:26" x14ac:dyDescent="0.25">
      <c r="A9" s="40" t="s">
        <v>5</v>
      </c>
      <c r="B9" s="33" t="s">
        <v>102</v>
      </c>
      <c r="C9" s="41"/>
      <c r="P9">
        <v>2028</v>
      </c>
      <c r="Q9" s="26">
        <f>F28</f>
        <v>6945240000</v>
      </c>
      <c r="R9" s="26"/>
      <c r="S9" t="s">
        <v>8</v>
      </c>
      <c r="T9" s="16">
        <f>B12</f>
        <v>156</v>
      </c>
    </row>
    <row r="10" spans="1:26" x14ac:dyDescent="0.25">
      <c r="A10" s="40" t="s">
        <v>6</v>
      </c>
      <c r="B10" s="34">
        <v>46209</v>
      </c>
      <c r="C10" s="41"/>
      <c r="P10">
        <v>2029</v>
      </c>
      <c r="Q10" s="26">
        <f>G28</f>
        <v>10070598000</v>
      </c>
      <c r="R10" s="26"/>
    </row>
    <row r="11" spans="1:26" x14ac:dyDescent="0.25">
      <c r="A11" s="40" t="s">
        <v>7</v>
      </c>
      <c r="B11" s="34">
        <v>46387</v>
      </c>
      <c r="C11" s="41"/>
      <c r="P11">
        <v>2030</v>
      </c>
      <c r="Q11" s="26">
        <f>H28</f>
        <v>14098837200</v>
      </c>
      <c r="R11" s="26"/>
    </row>
    <row r="12" spans="1:26" x14ac:dyDescent="0.25">
      <c r="A12" s="40" t="s">
        <v>8</v>
      </c>
      <c r="B12" s="35">
        <v>156</v>
      </c>
      <c r="C12" s="41" t="s">
        <v>77</v>
      </c>
      <c r="P12">
        <v>2031</v>
      </c>
      <c r="Q12" s="26">
        <f>I28</f>
        <v>19738372080</v>
      </c>
      <c r="R12" s="26"/>
    </row>
    <row r="13" spans="1:26" x14ac:dyDescent="0.25">
      <c r="A13" s="40" t="s">
        <v>9</v>
      </c>
      <c r="B13" s="36">
        <v>13080000000</v>
      </c>
      <c r="C13" s="41"/>
    </row>
    <row r="14" spans="1:26" x14ac:dyDescent="0.25">
      <c r="A14" s="40" t="s">
        <v>10</v>
      </c>
      <c r="B14" s="35">
        <v>21968000000</v>
      </c>
      <c r="C14" s="41"/>
      <c r="P14" s="6" t="s">
        <v>16</v>
      </c>
      <c r="Q14" s="6" t="s">
        <v>97</v>
      </c>
      <c r="R14" s="6" t="s">
        <v>62</v>
      </c>
      <c r="S14" s="6" t="s">
        <v>68</v>
      </c>
      <c r="T14" s="6" t="s">
        <v>63</v>
      </c>
      <c r="U14" s="6" t="s">
        <v>16</v>
      </c>
      <c r="V14" s="6" t="s">
        <v>96</v>
      </c>
      <c r="W14" s="6" t="s">
        <v>64</v>
      </c>
      <c r="X14" s="6" t="s">
        <v>69</v>
      </c>
      <c r="Y14" s="6" t="s">
        <v>65</v>
      </c>
      <c r="Z14" t="s">
        <v>66</v>
      </c>
    </row>
    <row r="15" spans="1:26" x14ac:dyDescent="0.25">
      <c r="A15" s="40" t="s">
        <v>11</v>
      </c>
      <c r="B15" s="35">
        <v>24700000000</v>
      </c>
      <c r="C15" s="41"/>
      <c r="O15" s="57"/>
      <c r="P15" s="7">
        <v>46185</v>
      </c>
      <c r="Q15" s="6">
        <v>160.94999999999999</v>
      </c>
      <c r="R15" s="6">
        <v>7431.46</v>
      </c>
      <c r="S15" s="6">
        <v>25888.84</v>
      </c>
      <c r="T15" s="6">
        <v>51202.26</v>
      </c>
      <c r="U15" s="7">
        <v>46185</v>
      </c>
      <c r="V15" s="60">
        <f>(Q15/$Q$15)*100</f>
        <v>100</v>
      </c>
      <c r="W15" s="60">
        <f>(R15/$R$15)*100</f>
        <v>100</v>
      </c>
      <c r="X15" s="60">
        <f>(S15/$S$15)*100</f>
        <v>100</v>
      </c>
      <c r="Y15" s="60">
        <f>(T15/$T$15)*100</f>
        <v>100</v>
      </c>
      <c r="Z15" t="s">
        <v>67</v>
      </c>
    </row>
    <row r="16" spans="1:26" x14ac:dyDescent="0.25">
      <c r="A16" s="40" t="s">
        <v>12</v>
      </c>
      <c r="B16" s="35" t="s">
        <v>128</v>
      </c>
      <c r="C16" s="41"/>
      <c r="P16" s="7">
        <v>46188</v>
      </c>
      <c r="Q16" s="58">
        <v>192.5</v>
      </c>
      <c r="R16" s="6">
        <v>7554.29</v>
      </c>
      <c r="S16" s="6">
        <v>26683.94</v>
      </c>
      <c r="T16" s="6">
        <v>51671.03</v>
      </c>
      <c r="U16" s="7">
        <v>46188</v>
      </c>
      <c r="V16" s="59">
        <f>(Q16/$Q$15)*100</f>
        <v>119.60236098167134</v>
      </c>
      <c r="W16" s="59">
        <f>(R16/$R$15)*100</f>
        <v>101.65283806950451</v>
      </c>
      <c r="X16" s="59">
        <f>(S16/$S$15)*100</f>
        <v>103.07120751644337</v>
      </c>
      <c r="Y16" s="59">
        <f>(T16/$T$15)*100</f>
        <v>100.91552599436039</v>
      </c>
      <c r="Z16" t="s">
        <v>72</v>
      </c>
    </row>
    <row r="17" spans="1:25" x14ac:dyDescent="0.25">
      <c r="A17" s="42" t="s">
        <v>75</v>
      </c>
      <c r="B17" s="43"/>
      <c r="C17" s="44"/>
      <c r="P17" s="7">
        <v>46189</v>
      </c>
      <c r="Q17" s="6">
        <v>211.39</v>
      </c>
      <c r="R17" s="6">
        <v>7511.35</v>
      </c>
      <c r="S17" s="6">
        <v>26376.34</v>
      </c>
      <c r="T17" s="6">
        <v>51999.67</v>
      </c>
      <c r="U17" s="7">
        <v>46189</v>
      </c>
      <c r="V17" s="59">
        <f t="shared" ref="V17:V28" si="0">(Q17/$Q$15)*100</f>
        <v>131.33892513202858</v>
      </c>
      <c r="W17" s="59">
        <f t="shared" ref="W17:W28" si="1">(R17/$R$15)*100</f>
        <v>101.07502428863238</v>
      </c>
      <c r="X17" s="59">
        <f t="shared" ref="X17:X28" si="2">(S17/$S$15)*100</f>
        <v>101.88305076627613</v>
      </c>
      <c r="Y17" s="59">
        <f t="shared" ref="Y17:Y28" si="3">(T17/$T$15)*100</f>
        <v>101.5573726628473</v>
      </c>
    </row>
    <row r="18" spans="1:25" x14ac:dyDescent="0.25">
      <c r="P18" s="7">
        <v>46190</v>
      </c>
      <c r="Q18" s="6">
        <v>191.82</v>
      </c>
      <c r="R18" s="6">
        <v>7420.1</v>
      </c>
      <c r="S18" s="6">
        <v>26021.66</v>
      </c>
      <c r="T18" s="6">
        <v>51492.55</v>
      </c>
      <c r="U18" s="7">
        <v>46190</v>
      </c>
      <c r="V18" s="59">
        <f t="shared" si="0"/>
        <v>119.17986952469712</v>
      </c>
      <c r="W18" s="59">
        <f t="shared" si="1"/>
        <v>99.847136363514039</v>
      </c>
      <c r="X18" s="59">
        <f t="shared" si="2"/>
        <v>100.51303959543958</v>
      </c>
      <c r="Y18" s="59">
        <f t="shared" si="3"/>
        <v>100.56694763082723</v>
      </c>
    </row>
    <row r="19" spans="1:25" x14ac:dyDescent="0.25">
      <c r="A19" s="11" t="s">
        <v>42</v>
      </c>
      <c r="C19" s="6" t="s">
        <v>13</v>
      </c>
      <c r="D19" s="6">
        <v>2026</v>
      </c>
      <c r="E19" s="6">
        <v>2027</v>
      </c>
      <c r="F19" s="6">
        <v>2028</v>
      </c>
      <c r="G19" s="6">
        <v>2029</v>
      </c>
      <c r="H19" s="6">
        <v>2030</v>
      </c>
      <c r="I19" s="6">
        <v>2031</v>
      </c>
      <c r="J19" s="6" t="s">
        <v>14</v>
      </c>
      <c r="L19" s="3" t="s">
        <v>15</v>
      </c>
      <c r="P19" s="7">
        <v>46191</v>
      </c>
      <c r="Q19" s="6">
        <v>185</v>
      </c>
      <c r="R19" s="6">
        <v>7500.58</v>
      </c>
      <c r="S19" s="6">
        <v>26517.93</v>
      </c>
      <c r="T19" s="6">
        <v>51564.7</v>
      </c>
      <c r="U19" s="7">
        <v>46191</v>
      </c>
      <c r="V19" s="59">
        <f t="shared" si="0"/>
        <v>114.94252873563219</v>
      </c>
      <c r="W19" s="59">
        <f t="shared" si="1"/>
        <v>100.93009987270334</v>
      </c>
      <c r="X19" s="59">
        <f t="shared" si="2"/>
        <v>102.42996596216749</v>
      </c>
      <c r="Y19" s="59">
        <f t="shared" si="3"/>
        <v>100.70785937964457</v>
      </c>
    </row>
    <row r="20" spans="1:25" x14ac:dyDescent="0.25">
      <c r="A20" t="s">
        <v>16</v>
      </c>
      <c r="C20" s="7">
        <v>46209</v>
      </c>
      <c r="D20" s="7">
        <v>46047</v>
      </c>
      <c r="E20" s="7">
        <v>46412</v>
      </c>
      <c r="F20" s="7">
        <v>46777</v>
      </c>
      <c r="G20" s="7">
        <v>47143</v>
      </c>
      <c r="H20" s="7">
        <v>47508</v>
      </c>
      <c r="I20" s="7">
        <v>47873</v>
      </c>
      <c r="J20" s="7">
        <v>47873</v>
      </c>
      <c r="L20" t="s">
        <v>17</v>
      </c>
      <c r="M20" s="13">
        <f>I28*(1+B8)/(B7-B8)</f>
        <v>215888444625.00003</v>
      </c>
      <c r="P20" s="7">
        <v>46195</v>
      </c>
      <c r="Q20" s="6">
        <v>154.6</v>
      </c>
      <c r="R20" s="6">
        <v>7472.79</v>
      </c>
      <c r="S20" s="6">
        <v>26166.6</v>
      </c>
      <c r="T20" s="6">
        <v>51712.71</v>
      </c>
      <c r="U20" s="7">
        <v>46195</v>
      </c>
      <c r="V20" s="59">
        <f t="shared" si="0"/>
        <v>96.054675365020188</v>
      </c>
      <c r="W20" s="59">
        <f t="shared" si="1"/>
        <v>100.55614912816593</v>
      </c>
      <c r="X20" s="59">
        <f t="shared" si="2"/>
        <v>101.07289472992996</v>
      </c>
      <c r="Y20" s="59">
        <f t="shared" si="3"/>
        <v>100.99692865119624</v>
      </c>
    </row>
    <row r="21" spans="1:25" x14ac:dyDescent="0.25">
      <c r="A21" t="s">
        <v>18</v>
      </c>
      <c r="D21" s="5">
        <v>18670000000</v>
      </c>
      <c r="E21" s="5">
        <f>D21*1.55</f>
        <v>28938500000</v>
      </c>
      <c r="F21" s="5">
        <f>E21*1.5</f>
        <v>43407750000</v>
      </c>
      <c r="G21" s="5">
        <f>F21*1.45</f>
        <v>62941237500</v>
      </c>
      <c r="H21" s="5">
        <f>G21*1.4</f>
        <v>88117732500</v>
      </c>
      <c r="I21" s="5">
        <f>H21*1.4</f>
        <v>123364825499.99998</v>
      </c>
      <c r="L21" t="s">
        <v>19</v>
      </c>
      <c r="M21" s="13">
        <f>(I22+I25)*55</f>
        <v>3188980739174.9995</v>
      </c>
      <c r="P21" s="7">
        <v>46196</v>
      </c>
      <c r="Q21" s="6">
        <v>156.11000000000001</v>
      </c>
      <c r="R21" s="6">
        <v>7365.46</v>
      </c>
      <c r="S21" s="6">
        <v>25587.040000000001</v>
      </c>
      <c r="T21" s="6">
        <v>51666.84</v>
      </c>
      <c r="U21" s="7">
        <v>46196</v>
      </c>
      <c r="V21" s="59">
        <f t="shared" si="0"/>
        <v>96.992854923889425</v>
      </c>
      <c r="W21" s="59">
        <f t="shared" si="1"/>
        <v>99.111883802106178</v>
      </c>
      <c r="X21" s="59">
        <f t="shared" si="2"/>
        <v>98.83424672561614</v>
      </c>
      <c r="Y21" s="59">
        <f t="shared" si="3"/>
        <v>100.90734276182339</v>
      </c>
    </row>
    <row r="22" spans="1:25" x14ac:dyDescent="0.25">
      <c r="A22" t="s">
        <v>85</v>
      </c>
      <c r="B22" t="s">
        <v>84</v>
      </c>
      <c r="C22" s="56">
        <v>0.3</v>
      </c>
      <c r="D22" s="5">
        <f>D21*$C$22</f>
        <v>5601000000</v>
      </c>
      <c r="E22" s="5">
        <f t="shared" ref="E22:I22" si="4">E21*$C$22</f>
        <v>8681550000</v>
      </c>
      <c r="F22" s="5">
        <f t="shared" si="4"/>
        <v>13022325000</v>
      </c>
      <c r="G22" s="5">
        <f t="shared" si="4"/>
        <v>18882371250</v>
      </c>
      <c r="H22" s="5">
        <f t="shared" si="4"/>
        <v>26435319750</v>
      </c>
      <c r="I22" s="5">
        <f t="shared" si="4"/>
        <v>37009447649.999992</v>
      </c>
      <c r="L22" t="s">
        <v>20</v>
      </c>
      <c r="M22" s="13">
        <f>(M20+M21)/2</f>
        <v>1702434591899.9998</v>
      </c>
      <c r="P22" s="7">
        <v>46197</v>
      </c>
      <c r="Q22" s="6">
        <v>154.54</v>
      </c>
      <c r="R22" s="6">
        <v>7358.22</v>
      </c>
      <c r="S22" s="6">
        <v>25476.639999999999</v>
      </c>
      <c r="T22" s="6">
        <v>51848.9</v>
      </c>
      <c r="U22" s="7">
        <v>46197</v>
      </c>
      <c r="V22" s="59">
        <f t="shared" si="0"/>
        <v>96.017396707051887</v>
      </c>
      <c r="W22" s="59">
        <f t="shared" si="1"/>
        <v>99.014460146458433</v>
      </c>
      <c r="X22" s="59">
        <f t="shared" si="2"/>
        <v>98.407808152084058</v>
      </c>
      <c r="Y22" s="59">
        <f t="shared" si="3"/>
        <v>101.26291300423067</v>
      </c>
    </row>
    <row r="23" spans="1:25" x14ac:dyDescent="0.25">
      <c r="A23" t="s">
        <v>21</v>
      </c>
      <c r="B23" t="s">
        <v>22</v>
      </c>
      <c r="C23" s="25"/>
      <c r="D23" s="5">
        <f>D22*$B$6</f>
        <v>0</v>
      </c>
      <c r="E23" s="5">
        <f t="shared" ref="E23:I23" si="5">E22*$B$6</f>
        <v>0</v>
      </c>
      <c r="F23" s="5">
        <f t="shared" si="5"/>
        <v>0</v>
      </c>
      <c r="G23" s="30">
        <f t="shared" si="5"/>
        <v>0</v>
      </c>
      <c r="H23" s="5">
        <f t="shared" si="5"/>
        <v>0</v>
      </c>
      <c r="I23" s="5">
        <f t="shared" si="5"/>
        <v>0</v>
      </c>
      <c r="P23" s="7">
        <v>46198</v>
      </c>
      <c r="Q23" s="6">
        <v>153</v>
      </c>
      <c r="R23" s="6">
        <v>7357.49</v>
      </c>
      <c r="S23" s="6">
        <v>25358.6</v>
      </c>
      <c r="T23" s="6">
        <v>51920.62</v>
      </c>
      <c r="U23" s="7">
        <v>46198</v>
      </c>
      <c r="V23" s="59">
        <f t="shared" si="0"/>
        <v>95.060577819198514</v>
      </c>
      <c r="W23" s="59">
        <f t="shared" si="1"/>
        <v>99.004637043057485</v>
      </c>
      <c r="X23" s="59">
        <f t="shared" si="2"/>
        <v>97.951858793209738</v>
      </c>
      <c r="Y23" s="59">
        <f t="shared" si="3"/>
        <v>101.40298494636761</v>
      </c>
    </row>
    <row r="24" spans="1:25" x14ac:dyDescent="0.25">
      <c r="A24" t="s">
        <v>23</v>
      </c>
      <c r="B24" t="s">
        <v>24</v>
      </c>
      <c r="C24" s="25"/>
      <c r="D24" s="5">
        <f>D22*(1-$B$6)</f>
        <v>5601000000</v>
      </c>
      <c r="E24" s="5">
        <f t="shared" ref="E24:I24" si="6">E22*(1-$B$6)</f>
        <v>8681550000</v>
      </c>
      <c r="F24" s="5">
        <f t="shared" si="6"/>
        <v>13022325000</v>
      </c>
      <c r="G24" s="5">
        <f t="shared" si="6"/>
        <v>18882371250</v>
      </c>
      <c r="H24" s="5">
        <f t="shared" si="6"/>
        <v>26435319750</v>
      </c>
      <c r="I24" s="5">
        <f t="shared" si="6"/>
        <v>37009447649.999992</v>
      </c>
      <c r="P24" s="7">
        <v>46199</v>
      </c>
      <c r="Q24" s="6">
        <v>153.22999999999999</v>
      </c>
      <c r="R24" s="6">
        <v>7354.02</v>
      </c>
      <c r="S24" s="6">
        <v>25297.62</v>
      </c>
      <c r="T24" s="6">
        <v>51876.11</v>
      </c>
      <c r="U24" s="7">
        <v>46199</v>
      </c>
      <c r="V24" s="59">
        <f t="shared" si="0"/>
        <v>95.203479341410386</v>
      </c>
      <c r="W24" s="59">
        <f t="shared" si="1"/>
        <v>98.957943661137932</v>
      </c>
      <c r="X24" s="59">
        <f t="shared" si="2"/>
        <v>97.716313284025077</v>
      </c>
      <c r="Y24" s="59">
        <f t="shared" si="3"/>
        <v>101.3160551897514</v>
      </c>
    </row>
    <row r="25" spans="1:25" x14ac:dyDescent="0.25">
      <c r="A25" s="4" t="s">
        <v>25</v>
      </c>
      <c r="B25" s="8" t="s">
        <v>104</v>
      </c>
      <c r="C25" s="25">
        <v>0.17</v>
      </c>
      <c r="D25" s="12">
        <f>D21*$C$25</f>
        <v>3173900000</v>
      </c>
      <c r="E25" s="12">
        <f t="shared" ref="E25:I25" si="7">E21*$C$25</f>
        <v>4919545000</v>
      </c>
      <c r="F25" s="12">
        <f t="shared" si="7"/>
        <v>7379317500.000001</v>
      </c>
      <c r="G25" s="12">
        <f t="shared" si="7"/>
        <v>10700010375</v>
      </c>
      <c r="H25" s="12">
        <f t="shared" si="7"/>
        <v>14980014525.000002</v>
      </c>
      <c r="I25" s="12">
        <f t="shared" si="7"/>
        <v>20972020335</v>
      </c>
      <c r="P25" s="7">
        <v>46202</v>
      </c>
      <c r="Q25" s="6">
        <v>164.19</v>
      </c>
      <c r="R25" s="6">
        <v>7440.43</v>
      </c>
      <c r="S25" s="6">
        <v>25820.14</v>
      </c>
      <c r="T25" s="6">
        <v>52182.74</v>
      </c>
      <c r="U25" s="7">
        <v>46202</v>
      </c>
      <c r="V25" s="59">
        <f t="shared" si="0"/>
        <v>102.01304753028893</v>
      </c>
      <c r="W25" s="59">
        <f t="shared" si="1"/>
        <v>100.12070306507739</v>
      </c>
      <c r="X25" s="59">
        <f t="shared" si="2"/>
        <v>99.734634692014012</v>
      </c>
      <c r="Y25" s="59">
        <f t="shared" si="3"/>
        <v>101.91491547443412</v>
      </c>
    </row>
    <row r="26" spans="1:25" x14ac:dyDescent="0.25">
      <c r="A26" t="s">
        <v>88</v>
      </c>
      <c r="B26" t="s">
        <v>91</v>
      </c>
      <c r="C26" s="56">
        <v>0.3</v>
      </c>
      <c r="D26" s="10">
        <f>D21*$C$26</f>
        <v>5601000000</v>
      </c>
      <c r="E26" s="10">
        <f t="shared" ref="E26:I26" si="8">E21*$C$26</f>
        <v>8681550000</v>
      </c>
      <c r="F26" s="10">
        <f t="shared" si="8"/>
        <v>13022325000</v>
      </c>
      <c r="G26" s="10">
        <f t="shared" si="8"/>
        <v>18882371250</v>
      </c>
      <c r="H26" s="10">
        <f t="shared" si="8"/>
        <v>26435319750</v>
      </c>
      <c r="I26" s="10">
        <f t="shared" si="8"/>
        <v>37009447649.999992</v>
      </c>
      <c r="P26" s="7">
        <v>46203</v>
      </c>
      <c r="Q26" s="6">
        <v>170.86</v>
      </c>
      <c r="R26" s="6">
        <v>7499.36</v>
      </c>
      <c r="S26" s="6">
        <v>26213.72</v>
      </c>
      <c r="T26" s="6">
        <v>52319.199999999997</v>
      </c>
      <c r="U26" s="7">
        <v>46203</v>
      </c>
      <c r="V26" s="59">
        <f t="shared" si="0"/>
        <v>106.15719167443307</v>
      </c>
      <c r="W26" s="59">
        <f t="shared" si="1"/>
        <v>100.91368317934833</v>
      </c>
      <c r="X26" s="59">
        <f t="shared" si="2"/>
        <v>101.25490365732881</v>
      </c>
      <c r="Y26" s="59">
        <f t="shared" si="3"/>
        <v>102.18142714794229</v>
      </c>
    </row>
    <row r="27" spans="1:25" x14ac:dyDescent="0.25">
      <c r="A27" t="s">
        <v>26</v>
      </c>
      <c r="B27" t="s">
        <v>80</v>
      </c>
      <c r="C27" s="25">
        <v>0.01</v>
      </c>
      <c r="D27" s="10">
        <f>D21*$C$27</f>
        <v>186700000</v>
      </c>
      <c r="E27" s="10">
        <f t="shared" ref="E27:I27" si="9">E21*$C$27</f>
        <v>289385000</v>
      </c>
      <c r="F27" s="10">
        <f t="shared" si="9"/>
        <v>434077500</v>
      </c>
      <c r="G27" s="10">
        <f t="shared" si="9"/>
        <v>629412375</v>
      </c>
      <c r="H27" s="10">
        <f t="shared" si="9"/>
        <v>881177325</v>
      </c>
      <c r="I27" s="10">
        <f t="shared" si="9"/>
        <v>1233648254.9999998</v>
      </c>
      <c r="P27" s="7">
        <v>46204</v>
      </c>
      <c r="Q27" s="6">
        <v>157.54</v>
      </c>
      <c r="R27" s="6">
        <v>7483.23</v>
      </c>
      <c r="S27" s="6">
        <v>26040.03</v>
      </c>
      <c r="T27" s="6">
        <v>52305.24</v>
      </c>
      <c r="U27" s="7">
        <v>46204</v>
      </c>
      <c r="V27" s="59">
        <f t="shared" si="0"/>
        <v>97.881329605467542</v>
      </c>
      <c r="W27" s="59">
        <f t="shared" si="1"/>
        <v>100.69663296310549</v>
      </c>
      <c r="X27" s="59">
        <f t="shared" si="2"/>
        <v>100.58399681098109</v>
      </c>
      <c r="Y27" s="59">
        <f t="shared" si="3"/>
        <v>102.15416272641089</v>
      </c>
    </row>
    <row r="28" spans="1:25" ht="30" x14ac:dyDescent="0.25">
      <c r="A28" s="8" t="s">
        <v>27</v>
      </c>
      <c r="B28" s="9" t="s">
        <v>28</v>
      </c>
      <c r="C28" s="18"/>
      <c r="D28" s="12">
        <f>D24+D25-D26-D27</f>
        <v>2987200000</v>
      </c>
      <c r="E28" s="12">
        <f t="shared" ref="E28:I28" si="10">E24+E25-E26-E27</f>
        <v>4630160000</v>
      </c>
      <c r="F28" s="12">
        <f t="shared" si="10"/>
        <v>6945240000</v>
      </c>
      <c r="G28" s="12">
        <f t="shared" si="10"/>
        <v>10070598000</v>
      </c>
      <c r="H28" s="12">
        <f t="shared" si="10"/>
        <v>14098837200</v>
      </c>
      <c r="I28" s="12">
        <f t="shared" si="10"/>
        <v>19738372080</v>
      </c>
      <c r="P28" s="7">
        <v>46205</v>
      </c>
      <c r="Q28" s="6">
        <v>162</v>
      </c>
      <c r="R28" s="6">
        <v>7483.24</v>
      </c>
      <c r="S28" s="6">
        <v>25832.67</v>
      </c>
      <c r="T28" s="6">
        <v>52900.07</v>
      </c>
      <c r="U28" s="7">
        <v>46205</v>
      </c>
      <c r="V28" s="59">
        <f t="shared" si="0"/>
        <v>100.65237651444549</v>
      </c>
      <c r="W28" s="59">
        <f t="shared" si="1"/>
        <v>100.69676752616579</v>
      </c>
      <c r="X28" s="59">
        <f t="shared" si="2"/>
        <v>99.783033925042602</v>
      </c>
      <c r="Y28" s="59">
        <f t="shared" si="3"/>
        <v>103.31588879084634</v>
      </c>
    </row>
    <row r="29" spans="1:25" x14ac:dyDescent="0.25">
      <c r="A29" t="s">
        <v>34</v>
      </c>
      <c r="C29">
        <v>0</v>
      </c>
      <c r="D29" s="6">
        <v>0.5</v>
      </c>
      <c r="E29" s="6">
        <v>1.5</v>
      </c>
      <c r="F29" s="6">
        <v>2.5</v>
      </c>
      <c r="G29" s="6">
        <v>3.5</v>
      </c>
      <c r="H29" s="6">
        <v>4.5</v>
      </c>
      <c r="I29" s="6">
        <v>5</v>
      </c>
      <c r="P29" s="7">
        <v>46209</v>
      </c>
      <c r="Q29" s="6">
        <v>160.75</v>
      </c>
      <c r="R29" s="6">
        <v>7537.43</v>
      </c>
      <c r="S29" s="6">
        <v>26121.16</v>
      </c>
      <c r="T29" s="6">
        <v>53055.91</v>
      </c>
      <c r="U29" s="7">
        <v>46209</v>
      </c>
      <c r="V29" s="59">
        <f>(Q29/$Q$15)*100</f>
        <v>99.875737806772293</v>
      </c>
      <c r="W29" s="59">
        <f>(R29/$R$15)*100</f>
        <v>101.42596474986073</v>
      </c>
      <c r="X29" s="59">
        <f>(S29/$S$15)*100</f>
        <v>100.89737508517183</v>
      </c>
      <c r="Y29" s="59">
        <f>(T29/$T$15)*100</f>
        <v>103.62025035613662</v>
      </c>
    </row>
    <row r="30" spans="1:25" x14ac:dyDescent="0.25">
      <c r="A30" t="s">
        <v>35</v>
      </c>
      <c r="C30" s="13">
        <f>-G39</f>
        <v>-2037748000000</v>
      </c>
      <c r="D30" s="5">
        <f>D28</f>
        <v>2987200000</v>
      </c>
      <c r="E30" s="5">
        <f t="shared" ref="E30:I30" si="11">E28</f>
        <v>4630160000</v>
      </c>
      <c r="F30" s="5">
        <f t="shared" si="11"/>
        <v>6945240000</v>
      </c>
      <c r="G30" s="5">
        <f t="shared" si="11"/>
        <v>10070598000</v>
      </c>
      <c r="H30" s="5">
        <f t="shared" si="11"/>
        <v>14098837200</v>
      </c>
      <c r="I30" s="5">
        <f t="shared" si="11"/>
        <v>19738372080</v>
      </c>
      <c r="J30" s="13">
        <f>I28+M22</f>
        <v>1722172963979.9998</v>
      </c>
      <c r="K30" t="s">
        <v>37</v>
      </c>
    </row>
    <row r="31" spans="1:25" x14ac:dyDescent="0.25">
      <c r="A31" t="s">
        <v>36</v>
      </c>
      <c r="D31" s="6">
        <f>1/(1+$B$7)^D29</f>
        <v>0.93413079867871796</v>
      </c>
      <c r="E31" s="6">
        <f t="shared" ref="E31:I31" si="12">1/(1+$B$7)^E29</f>
        <v>0.81512286097619391</v>
      </c>
      <c r="F31" s="6">
        <f t="shared" si="12"/>
        <v>0.71127649299842399</v>
      </c>
      <c r="G31" s="6">
        <f t="shared" si="12"/>
        <v>0.62066011605447124</v>
      </c>
      <c r="H31" s="6">
        <f t="shared" si="12"/>
        <v>0.54158823390442512</v>
      </c>
      <c r="I31" s="6">
        <f t="shared" si="12"/>
        <v>0.50591424949213715</v>
      </c>
      <c r="J31" t="s">
        <v>38</v>
      </c>
    </row>
    <row r="32" spans="1:25" x14ac:dyDescent="0.25">
      <c r="A32" t="s">
        <v>39</v>
      </c>
      <c r="C32" s="13">
        <f>-G39</f>
        <v>-2037748000000</v>
      </c>
      <c r="D32" s="5">
        <f>D30*D31</f>
        <v>2790435521.8130665</v>
      </c>
      <c r="E32" s="5">
        <f t="shared" ref="E32:I32" si="13">E30*E31</f>
        <v>3774149265.9775338</v>
      </c>
      <c r="F32" s="5">
        <f t="shared" si="13"/>
        <v>4939985950.2323742</v>
      </c>
      <c r="G32" s="5">
        <f t="shared" si="13"/>
        <v>6250418523.4179258</v>
      </c>
      <c r="H32" s="5">
        <f t="shared" si="13"/>
        <v>7635764339.2540102</v>
      </c>
      <c r="I32" s="5">
        <f t="shared" si="13"/>
        <v>9985923697.0497532</v>
      </c>
      <c r="J32" s="14">
        <f>M22</f>
        <v>1702434591899.9998</v>
      </c>
    </row>
    <row r="33" spans="1:14" x14ac:dyDescent="0.25">
      <c r="A33" t="s">
        <v>54</v>
      </c>
      <c r="C33" s="29">
        <v>-2050828</v>
      </c>
      <c r="D33" s="45">
        <v>2790</v>
      </c>
      <c r="E33" s="24">
        <v>3774</v>
      </c>
      <c r="F33" s="24">
        <v>4940</v>
      </c>
      <c r="G33" s="24">
        <v>6250</v>
      </c>
      <c r="H33" s="24">
        <v>7636</v>
      </c>
      <c r="I33" s="24">
        <v>9986</v>
      </c>
      <c r="J33" s="24">
        <v>1702435</v>
      </c>
    </row>
    <row r="35" spans="1:14" x14ac:dyDescent="0.25">
      <c r="A35" s="3" t="s">
        <v>40</v>
      </c>
      <c r="F35" s="3" t="s">
        <v>30</v>
      </c>
    </row>
    <row r="36" spans="1:14" x14ac:dyDescent="0.25">
      <c r="A36" s="13" t="s">
        <v>41</v>
      </c>
      <c r="B36" s="17">
        <f>SUM(D32:I32)</f>
        <v>35376677297.744659</v>
      </c>
      <c r="C36" t="s">
        <v>44</v>
      </c>
      <c r="F36" t="s">
        <v>32</v>
      </c>
      <c r="G36" s="15">
        <f>B13*B12</f>
        <v>2040480000000</v>
      </c>
      <c r="H36" t="s">
        <v>33</v>
      </c>
      <c r="L36" s="3" t="s">
        <v>50</v>
      </c>
    </row>
    <row r="37" spans="1:14" x14ac:dyDescent="0.25">
      <c r="A37" t="s">
        <v>11</v>
      </c>
      <c r="B37" s="19">
        <f>B15</f>
        <v>24700000000</v>
      </c>
      <c r="F37" t="s">
        <v>10</v>
      </c>
      <c r="G37" s="14">
        <f>B14</f>
        <v>21968000000</v>
      </c>
      <c r="L37" t="s">
        <v>51</v>
      </c>
      <c r="M37" s="21">
        <f>(B40/B12)-1</f>
        <v>-0.57349661128809282</v>
      </c>
    </row>
    <row r="38" spans="1:14" x14ac:dyDescent="0.25">
      <c r="A38" t="s">
        <v>10</v>
      </c>
      <c r="B38" s="19">
        <f>B14</f>
        <v>21968000000</v>
      </c>
      <c r="C38" s="3"/>
      <c r="F38" t="s">
        <v>11</v>
      </c>
      <c r="G38" s="14">
        <f>B15</f>
        <v>24700000000</v>
      </c>
      <c r="L38" t="s">
        <v>52</v>
      </c>
      <c r="M38" s="23">
        <f>IRR(C33:J33)</f>
        <v>-2.3564108997930377E-2</v>
      </c>
      <c r="N38" t="s">
        <v>55</v>
      </c>
    </row>
    <row r="39" spans="1:14" x14ac:dyDescent="0.25">
      <c r="A39" t="s">
        <v>43</v>
      </c>
      <c r="B39" s="17">
        <f>(((B36+B37)-B38)+(M22))/2</f>
        <v>870271634598.87219</v>
      </c>
      <c r="C39" t="s">
        <v>73</v>
      </c>
      <c r="F39" t="s">
        <v>29</v>
      </c>
      <c r="G39" s="13">
        <f>G36+G37-G38</f>
        <v>2037748000000</v>
      </c>
      <c r="H39" t="s">
        <v>31</v>
      </c>
    </row>
    <row r="40" spans="1:14" x14ac:dyDescent="0.25">
      <c r="A40" t="s">
        <v>70</v>
      </c>
      <c r="B40" s="20">
        <f>B39/B13</f>
        <v>66.534528639057513</v>
      </c>
      <c r="C40" t="s">
        <v>74</v>
      </c>
      <c r="F40" t="s">
        <v>47</v>
      </c>
      <c r="G40" s="16">
        <f>G39/B13</f>
        <v>155.79113149847095</v>
      </c>
      <c r="H40" t="s">
        <v>48</v>
      </c>
      <c r="L40" s="46" t="s">
        <v>78</v>
      </c>
      <c r="M40" s="47"/>
    </row>
    <row r="41" spans="1:14" x14ac:dyDescent="0.25">
      <c r="A41" t="s">
        <v>45</v>
      </c>
      <c r="B41" s="22">
        <f>(B40/B12)-1</f>
        <v>-0.57349661128809282</v>
      </c>
      <c r="C41" t="s">
        <v>46</v>
      </c>
      <c r="F41" t="s">
        <v>45</v>
      </c>
      <c r="G41" s="21">
        <f>(G40/B12)-1</f>
        <v>-1.3389006508273127E-3</v>
      </c>
      <c r="H41" t="s">
        <v>49</v>
      </c>
      <c r="L41" s="48" t="s">
        <v>40</v>
      </c>
      <c r="M41" s="49">
        <f>B40</f>
        <v>66.534528639057513</v>
      </c>
    </row>
    <row r="42" spans="1:14" x14ac:dyDescent="0.25">
      <c r="L42" s="48" t="s">
        <v>8</v>
      </c>
      <c r="M42" s="53">
        <f>B12</f>
        <v>156</v>
      </c>
    </row>
    <row r="43" spans="1:14" x14ac:dyDescent="0.25">
      <c r="L43" s="48" t="s">
        <v>83</v>
      </c>
      <c r="M43" s="49">
        <f>(B40-B12)</f>
        <v>-89.465471360942487</v>
      </c>
    </row>
    <row r="44" spans="1:14" x14ac:dyDescent="0.25">
      <c r="L44" s="48" t="s">
        <v>82</v>
      </c>
      <c r="M44" s="54">
        <f>((B40-B12)/(B12))</f>
        <v>-0.57349661128809282</v>
      </c>
    </row>
    <row r="45" spans="1:14" x14ac:dyDescent="0.25">
      <c r="L45" s="48"/>
      <c r="M45" s="50"/>
    </row>
    <row r="46" spans="1:14" x14ac:dyDescent="0.25">
      <c r="L46" s="51" t="s">
        <v>53</v>
      </c>
      <c r="M46" s="50"/>
    </row>
    <row r="47" spans="1:14" x14ac:dyDescent="0.25">
      <c r="L47" s="48" t="s">
        <v>40</v>
      </c>
      <c r="M47" s="49">
        <f>B40</f>
        <v>66.534528639057513</v>
      </c>
    </row>
    <row r="48" spans="1:14" x14ac:dyDescent="0.25">
      <c r="L48" s="48" t="s">
        <v>30</v>
      </c>
      <c r="M48" s="49">
        <f>G40</f>
        <v>155.79113149847095</v>
      </c>
    </row>
    <row r="49" spans="12:13" x14ac:dyDescent="0.25">
      <c r="L49" s="48" t="s">
        <v>83</v>
      </c>
      <c r="M49" s="49">
        <f>-(G40-B40)</f>
        <v>-89.256602859413434</v>
      </c>
    </row>
    <row r="50" spans="12:13" x14ac:dyDescent="0.25">
      <c r="L50" s="52" t="s">
        <v>82</v>
      </c>
      <c r="M50" s="55">
        <f>((B40-G40)/(G40))</f>
        <v>-0.57292480002489399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BB9B9-72BB-4551-95E3-7705A4A2C311}">
  <dimension ref="A1"/>
  <sheetViews>
    <sheetView showGridLines="0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 Input</vt:lpstr>
      <vt:lpstr>Base Assumptions</vt:lpstr>
      <vt:lpstr>Bear Assumptions</vt:lpstr>
      <vt:lpstr>Bull Assumptions</vt:lpstr>
      <vt:lpstr>Export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Ty Wallace</dc:creator>
  <cp:keywords/>
  <dc:description/>
  <cp:lastModifiedBy>Ty Wallace</cp:lastModifiedBy>
  <cp:revision/>
  <cp:lastPrinted>2026-05-14T15:37:58Z</cp:lastPrinted>
  <dcterms:created xsi:type="dcterms:W3CDTF">2026-04-12T21:29:31Z</dcterms:created>
  <dcterms:modified xsi:type="dcterms:W3CDTF">2026-09-01T16:10:58Z</dcterms:modified>
  <cp:category/>
  <cp:contentStatus/>
</cp:coreProperties>
</file>