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8DB8BD4C-AECA-4984-8F34-5E25ABB169B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13" r:id="rId1"/>
    <sheet name="Base Assumptions" sheetId="1" r:id="rId2"/>
    <sheet name="Bear Assumptions" sheetId="11" r:id="rId3"/>
    <sheet name="Bull Assumptions" sheetId="12" r:id="rId4"/>
    <sheet name="Export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19" i="13"/>
  <c r="C22" i="13"/>
  <c r="C24" i="13" s="1"/>
  <c r="C18" i="13"/>
  <c r="C12" i="13"/>
  <c r="C14" i="13" s="1"/>
  <c r="C13" i="13" l="1"/>
  <c r="C28" i="13" s="1"/>
  <c r="I21" i="12"/>
  <c r="H21" i="12"/>
  <c r="F21" i="12"/>
  <c r="F27" i="12" s="1"/>
  <c r="E21" i="12"/>
  <c r="E21" i="11"/>
  <c r="E27" i="11" s="1"/>
  <c r="Y69" i="12"/>
  <c r="X69" i="12"/>
  <c r="W69" i="12"/>
  <c r="V69" i="12"/>
  <c r="Y68" i="12"/>
  <c r="X68" i="12"/>
  <c r="W68" i="12"/>
  <c r="V68" i="12"/>
  <c r="Y67" i="12"/>
  <c r="X67" i="12"/>
  <c r="W67" i="12"/>
  <c r="V67" i="12"/>
  <c r="Y66" i="12"/>
  <c r="X66" i="12"/>
  <c r="W66" i="12"/>
  <c r="V66" i="12"/>
  <c r="Y65" i="12"/>
  <c r="X65" i="12"/>
  <c r="W65" i="12"/>
  <c r="V65" i="12"/>
  <c r="Y64" i="12"/>
  <c r="X64" i="12"/>
  <c r="W64" i="12"/>
  <c r="V64" i="12"/>
  <c r="Y63" i="12"/>
  <c r="X63" i="12"/>
  <c r="W63" i="12"/>
  <c r="V63" i="12"/>
  <c r="Y62" i="12"/>
  <c r="X62" i="12"/>
  <c r="W62" i="12"/>
  <c r="V62" i="12"/>
  <c r="Y61" i="12"/>
  <c r="X61" i="12"/>
  <c r="W61" i="12"/>
  <c r="V61" i="12"/>
  <c r="Y60" i="12"/>
  <c r="X60" i="12"/>
  <c r="W60" i="12"/>
  <c r="V60" i="12"/>
  <c r="Y59" i="12"/>
  <c r="X59" i="12"/>
  <c r="W59" i="12"/>
  <c r="V59" i="12"/>
  <c r="Y58" i="12"/>
  <c r="X58" i="12"/>
  <c r="W58" i="12"/>
  <c r="V58" i="12"/>
  <c r="Y57" i="12"/>
  <c r="X57" i="12"/>
  <c r="W57" i="12"/>
  <c r="V57" i="12"/>
  <c r="Y56" i="12"/>
  <c r="X56" i="12"/>
  <c r="W56" i="12"/>
  <c r="V56" i="12"/>
  <c r="Y55" i="12"/>
  <c r="X55" i="12"/>
  <c r="W55" i="12"/>
  <c r="V55" i="12"/>
  <c r="Y54" i="12"/>
  <c r="X54" i="12"/>
  <c r="W54" i="12"/>
  <c r="V54" i="12"/>
  <c r="Y53" i="12"/>
  <c r="X53" i="12"/>
  <c r="W53" i="12"/>
  <c r="V53" i="12"/>
  <c r="Y52" i="12"/>
  <c r="X52" i="12"/>
  <c r="W52" i="12"/>
  <c r="V52" i="12"/>
  <c r="Y51" i="12"/>
  <c r="X51" i="12"/>
  <c r="W51" i="12"/>
  <c r="V51" i="12"/>
  <c r="Y50" i="12"/>
  <c r="X50" i="12"/>
  <c r="W50" i="12"/>
  <c r="V50" i="12"/>
  <c r="Y49" i="12"/>
  <c r="X49" i="12"/>
  <c r="W49" i="12"/>
  <c r="V49" i="12"/>
  <c r="Y48" i="12"/>
  <c r="X48" i="12"/>
  <c r="W48" i="12"/>
  <c r="V48" i="12"/>
  <c r="Y47" i="12"/>
  <c r="X47" i="12"/>
  <c r="W47" i="12"/>
  <c r="V47" i="12"/>
  <c r="Y46" i="12"/>
  <c r="X46" i="12"/>
  <c r="W46" i="12"/>
  <c r="V46" i="12"/>
  <c r="Y45" i="12"/>
  <c r="X45" i="12"/>
  <c r="W45" i="12"/>
  <c r="V45" i="12"/>
  <c r="Y44" i="12"/>
  <c r="X44" i="12"/>
  <c r="W44" i="12"/>
  <c r="V44" i="12"/>
  <c r="Y43" i="12"/>
  <c r="X43" i="12"/>
  <c r="W43" i="12"/>
  <c r="V43" i="12"/>
  <c r="Y42" i="12"/>
  <c r="X42" i="12"/>
  <c r="W42" i="12"/>
  <c r="V42" i="12"/>
  <c r="M42" i="12"/>
  <c r="Y41" i="12"/>
  <c r="X41" i="12"/>
  <c r="W41" i="12"/>
  <c r="V41" i="12"/>
  <c r="Y40" i="12"/>
  <c r="X40" i="12"/>
  <c r="W40" i="12"/>
  <c r="V40" i="12"/>
  <c r="Y39" i="12"/>
  <c r="X39" i="12"/>
  <c r="W39" i="12"/>
  <c r="V39" i="12"/>
  <c r="Y38" i="12"/>
  <c r="X38" i="12"/>
  <c r="W38" i="12"/>
  <c r="V38" i="12"/>
  <c r="M38" i="12"/>
  <c r="G38" i="12"/>
  <c r="B38" i="12"/>
  <c r="Y37" i="12"/>
  <c r="X37" i="12"/>
  <c r="W37" i="12"/>
  <c r="V37" i="12"/>
  <c r="G37" i="12"/>
  <c r="B37" i="12"/>
  <c r="Y36" i="12"/>
  <c r="X36" i="12"/>
  <c r="W36" i="12"/>
  <c r="V36" i="12"/>
  <c r="G36" i="12"/>
  <c r="G39" i="12" s="1"/>
  <c r="Y35" i="12"/>
  <c r="X35" i="12"/>
  <c r="W35" i="12"/>
  <c r="V35" i="12"/>
  <c r="Y34" i="12"/>
  <c r="X34" i="12"/>
  <c r="W34" i="12"/>
  <c r="V34" i="12"/>
  <c r="Y33" i="12"/>
  <c r="X33" i="12"/>
  <c r="W33" i="12"/>
  <c r="V33" i="12"/>
  <c r="Y32" i="12"/>
  <c r="X32" i="12"/>
  <c r="W32" i="12"/>
  <c r="V32" i="12"/>
  <c r="Y31" i="12"/>
  <c r="X31" i="12"/>
  <c r="W31" i="12"/>
  <c r="V31" i="12"/>
  <c r="I31" i="12"/>
  <c r="H31" i="12"/>
  <c r="G31" i="12"/>
  <c r="F31" i="12"/>
  <c r="E31" i="12"/>
  <c r="D31" i="12"/>
  <c r="Y30" i="12"/>
  <c r="X30" i="12"/>
  <c r="W30" i="12"/>
  <c r="V30" i="12"/>
  <c r="Y29" i="12"/>
  <c r="X29" i="12"/>
  <c r="W29" i="12"/>
  <c r="V29" i="12"/>
  <c r="Y28" i="12"/>
  <c r="X28" i="12"/>
  <c r="W28" i="12"/>
  <c r="V28" i="12"/>
  <c r="Y27" i="12"/>
  <c r="X27" i="12"/>
  <c r="W27" i="12"/>
  <c r="V27" i="12"/>
  <c r="E27" i="12"/>
  <c r="D27" i="12"/>
  <c r="Y26" i="12"/>
  <c r="X26" i="12"/>
  <c r="W26" i="12"/>
  <c r="V26" i="12"/>
  <c r="E26" i="12"/>
  <c r="D26" i="12"/>
  <c r="Y25" i="12"/>
  <c r="X25" i="12"/>
  <c r="W25" i="12"/>
  <c r="V25" i="12"/>
  <c r="E25" i="12"/>
  <c r="D25" i="12"/>
  <c r="Y24" i="12"/>
  <c r="X24" i="12"/>
  <c r="W24" i="12"/>
  <c r="V24" i="12"/>
  <c r="Y23" i="12"/>
  <c r="X23" i="12"/>
  <c r="W23" i="12"/>
  <c r="V23" i="12"/>
  <c r="Y22" i="12"/>
  <c r="X22" i="12"/>
  <c r="W22" i="12"/>
  <c r="V22" i="12"/>
  <c r="E22" i="12"/>
  <c r="E24" i="12" s="1"/>
  <c r="D22" i="12"/>
  <c r="D24" i="12" s="1"/>
  <c r="D28" i="12" s="1"/>
  <c r="Y21" i="12"/>
  <c r="X21" i="12"/>
  <c r="W21" i="12"/>
  <c r="V21" i="12"/>
  <c r="Y20" i="12"/>
  <c r="X20" i="12"/>
  <c r="W20" i="12"/>
  <c r="V20" i="12"/>
  <c r="Y19" i="12"/>
  <c r="X19" i="12"/>
  <c r="W19" i="12"/>
  <c r="V19" i="12"/>
  <c r="Y18" i="12"/>
  <c r="X18" i="12"/>
  <c r="W18" i="12"/>
  <c r="V18" i="12"/>
  <c r="Y17" i="12"/>
  <c r="X17" i="12"/>
  <c r="W17" i="12"/>
  <c r="V17" i="12"/>
  <c r="Y16" i="12"/>
  <c r="X16" i="12"/>
  <c r="W16" i="12"/>
  <c r="V16" i="12"/>
  <c r="Y15" i="12"/>
  <c r="X15" i="12"/>
  <c r="W15" i="12"/>
  <c r="V15" i="12"/>
  <c r="T9" i="12"/>
  <c r="Y69" i="11"/>
  <c r="X69" i="11"/>
  <c r="W69" i="11"/>
  <c r="V69" i="11"/>
  <c r="Y68" i="11"/>
  <c r="X68" i="11"/>
  <c r="W68" i="11"/>
  <c r="V68" i="11"/>
  <c r="Y67" i="11"/>
  <c r="X67" i="11"/>
  <c r="W67" i="11"/>
  <c r="V67" i="11"/>
  <c r="Y66" i="11"/>
  <c r="X66" i="11"/>
  <c r="W66" i="11"/>
  <c r="V66" i="11"/>
  <c r="Y65" i="11"/>
  <c r="X65" i="11"/>
  <c r="W65" i="11"/>
  <c r="V65" i="11"/>
  <c r="Y64" i="11"/>
  <c r="X64" i="11"/>
  <c r="W64" i="11"/>
  <c r="V64" i="11"/>
  <c r="Y63" i="11"/>
  <c r="X63" i="11"/>
  <c r="W63" i="11"/>
  <c r="V63" i="11"/>
  <c r="Y62" i="11"/>
  <c r="X62" i="11"/>
  <c r="W62" i="11"/>
  <c r="V62" i="11"/>
  <c r="Y61" i="11"/>
  <c r="X61" i="11"/>
  <c r="W61" i="11"/>
  <c r="V61" i="11"/>
  <c r="Y60" i="11"/>
  <c r="X60" i="11"/>
  <c r="W60" i="11"/>
  <c r="V60" i="11"/>
  <c r="Y59" i="11"/>
  <c r="X59" i="11"/>
  <c r="W59" i="11"/>
  <c r="V59" i="11"/>
  <c r="Y58" i="11"/>
  <c r="X58" i="11"/>
  <c r="W58" i="11"/>
  <c r="V58" i="11"/>
  <c r="Y57" i="11"/>
  <c r="X57" i="11"/>
  <c r="W57" i="11"/>
  <c r="V57" i="11"/>
  <c r="Y56" i="11"/>
  <c r="X56" i="11"/>
  <c r="W56" i="11"/>
  <c r="V56" i="11"/>
  <c r="Y55" i="11"/>
  <c r="X55" i="11"/>
  <c r="W55" i="11"/>
  <c r="V55" i="11"/>
  <c r="Y54" i="11"/>
  <c r="X54" i="11"/>
  <c r="W54" i="11"/>
  <c r="V54" i="11"/>
  <c r="Y53" i="11"/>
  <c r="X53" i="11"/>
  <c r="W53" i="11"/>
  <c r="V53" i="11"/>
  <c r="Y52" i="11"/>
  <c r="X52" i="11"/>
  <c r="W52" i="11"/>
  <c r="V52" i="11"/>
  <c r="Y51" i="11"/>
  <c r="X51" i="11"/>
  <c r="W51" i="11"/>
  <c r="V51" i="11"/>
  <c r="Y50" i="11"/>
  <c r="X50" i="11"/>
  <c r="W50" i="11"/>
  <c r="V50" i="11"/>
  <c r="Y49" i="11"/>
  <c r="X49" i="11"/>
  <c r="W49" i="11"/>
  <c r="V49" i="11"/>
  <c r="Y48" i="11"/>
  <c r="X48" i="11"/>
  <c r="W48" i="11"/>
  <c r="V48" i="11"/>
  <c r="Y47" i="11"/>
  <c r="X47" i="11"/>
  <c r="W47" i="11"/>
  <c r="V47" i="11"/>
  <c r="Y46" i="11"/>
  <c r="X46" i="11"/>
  <c r="W46" i="11"/>
  <c r="V46" i="11"/>
  <c r="Y45" i="11"/>
  <c r="X45" i="11"/>
  <c r="W45" i="11"/>
  <c r="V45" i="11"/>
  <c r="Y44" i="11"/>
  <c r="X44" i="11"/>
  <c r="W44" i="11"/>
  <c r="V44" i="11"/>
  <c r="Y43" i="11"/>
  <c r="X43" i="11"/>
  <c r="W43" i="11"/>
  <c r="V43" i="11"/>
  <c r="Y42" i="11"/>
  <c r="X42" i="11"/>
  <c r="W42" i="11"/>
  <c r="V42" i="11"/>
  <c r="M42" i="11"/>
  <c r="Y41" i="11"/>
  <c r="X41" i="11"/>
  <c r="W41" i="11"/>
  <c r="V41" i="11"/>
  <c r="Y40" i="11"/>
  <c r="X40" i="11"/>
  <c r="W40" i="11"/>
  <c r="V40" i="11"/>
  <c r="Y39" i="11"/>
  <c r="X39" i="11"/>
  <c r="W39" i="11"/>
  <c r="V39" i="11"/>
  <c r="Y38" i="11"/>
  <c r="X38" i="11"/>
  <c r="W38" i="11"/>
  <c r="V38" i="11"/>
  <c r="M38" i="11"/>
  <c r="G38" i="11"/>
  <c r="B38" i="11"/>
  <c r="Y37" i="11"/>
  <c r="X37" i="11"/>
  <c r="W37" i="11"/>
  <c r="V37" i="11"/>
  <c r="G37" i="11"/>
  <c r="B37" i="11"/>
  <c r="Y36" i="11"/>
  <c r="X36" i="11"/>
  <c r="W36" i="11"/>
  <c r="V36" i="11"/>
  <c r="G36" i="11"/>
  <c r="G39" i="11" s="1"/>
  <c r="Y35" i="11"/>
  <c r="X35" i="11"/>
  <c r="W35" i="11"/>
  <c r="V35" i="11"/>
  <c r="Y34" i="11"/>
  <c r="X34" i="11"/>
  <c r="W34" i="11"/>
  <c r="V34" i="11"/>
  <c r="Y33" i="11"/>
  <c r="X33" i="11"/>
  <c r="W33" i="11"/>
  <c r="V33" i="11"/>
  <c r="Y32" i="11"/>
  <c r="X32" i="11"/>
  <c r="W32" i="11"/>
  <c r="V32" i="11"/>
  <c r="Y31" i="11"/>
  <c r="X31" i="11"/>
  <c r="W31" i="11"/>
  <c r="V31" i="11"/>
  <c r="I31" i="11"/>
  <c r="H31" i="11"/>
  <c r="G31" i="11"/>
  <c r="F31" i="11"/>
  <c r="E31" i="11"/>
  <c r="D31" i="11"/>
  <c r="Y30" i="11"/>
  <c r="X30" i="11"/>
  <c r="W30" i="11"/>
  <c r="V30" i="11"/>
  <c r="Y29" i="11"/>
  <c r="X29" i="11"/>
  <c r="W29" i="11"/>
  <c r="V29" i="11"/>
  <c r="Y28" i="11"/>
  <c r="X28" i="11"/>
  <c r="W28" i="11"/>
  <c r="V28" i="11"/>
  <c r="Y27" i="11"/>
  <c r="X27" i="11"/>
  <c r="W27" i="11"/>
  <c r="V27" i="11"/>
  <c r="D27" i="11"/>
  <c r="Y26" i="11"/>
  <c r="X26" i="11"/>
  <c r="W26" i="11"/>
  <c r="V26" i="11"/>
  <c r="E26" i="11"/>
  <c r="D26" i="11"/>
  <c r="Y25" i="11"/>
  <c r="X25" i="11"/>
  <c r="W25" i="11"/>
  <c r="V25" i="11"/>
  <c r="D25" i="11"/>
  <c r="Y24" i="11"/>
  <c r="X24" i="11"/>
  <c r="W24" i="11"/>
  <c r="V24" i="11"/>
  <c r="Y23" i="11"/>
  <c r="X23" i="11"/>
  <c r="W23" i="11"/>
  <c r="V23" i="11"/>
  <c r="Y22" i="11"/>
  <c r="X22" i="11"/>
  <c r="W22" i="11"/>
  <c r="V22" i="11"/>
  <c r="D22" i="11"/>
  <c r="D24" i="11" s="1"/>
  <c r="Y21" i="11"/>
  <c r="X21" i="11"/>
  <c r="W21" i="11"/>
  <c r="V21" i="11"/>
  <c r="Y20" i="11"/>
  <c r="X20" i="11"/>
  <c r="W20" i="11"/>
  <c r="V20" i="11"/>
  <c r="Y19" i="11"/>
  <c r="X19" i="11"/>
  <c r="W19" i="11"/>
  <c r="V19" i="11"/>
  <c r="Y18" i="11"/>
  <c r="X18" i="11"/>
  <c r="W18" i="11"/>
  <c r="V18" i="11"/>
  <c r="Y17" i="11"/>
  <c r="X17" i="11"/>
  <c r="W17" i="11"/>
  <c r="V17" i="11"/>
  <c r="Y16" i="11"/>
  <c r="X16" i="11"/>
  <c r="W16" i="11"/>
  <c r="V16" i="11"/>
  <c r="Y15" i="11"/>
  <c r="X15" i="11"/>
  <c r="W15" i="11"/>
  <c r="V15" i="11"/>
  <c r="T9" i="11"/>
  <c r="E28" i="12" l="1"/>
  <c r="E30" i="12" s="1"/>
  <c r="E32" i="12" s="1"/>
  <c r="E25" i="11"/>
  <c r="E22" i="11"/>
  <c r="E24" i="11" s="1"/>
  <c r="F21" i="11"/>
  <c r="E28" i="11"/>
  <c r="D28" i="11"/>
  <c r="D30" i="11" s="1"/>
  <c r="D32" i="11" s="1"/>
  <c r="G40" i="12"/>
  <c r="C30" i="12"/>
  <c r="C32" i="12"/>
  <c r="Q7" i="12"/>
  <c r="D30" i="12"/>
  <c r="D32" i="12" s="1"/>
  <c r="Q8" i="12"/>
  <c r="G21" i="12"/>
  <c r="F25" i="12"/>
  <c r="F22" i="12"/>
  <c r="D23" i="12"/>
  <c r="F26" i="12"/>
  <c r="E23" i="12"/>
  <c r="C32" i="11"/>
  <c r="G40" i="11"/>
  <c r="C30" i="11"/>
  <c r="Q7" i="11"/>
  <c r="E30" i="11"/>
  <c r="E32" i="11" s="1"/>
  <c r="Q8" i="11"/>
  <c r="D23" i="11"/>
  <c r="F26" i="11"/>
  <c r="E23" i="11"/>
  <c r="F27" i="11"/>
  <c r="F25" i="1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Y16" i="1"/>
  <c r="X16" i="1"/>
  <c r="W16" i="1"/>
  <c r="V16" i="1"/>
  <c r="Y15" i="1"/>
  <c r="X15" i="1"/>
  <c r="W15" i="1"/>
  <c r="V15" i="1"/>
  <c r="E21" i="1"/>
  <c r="F21" i="1" s="1"/>
  <c r="G21" i="1" s="1"/>
  <c r="H21" i="1" s="1"/>
  <c r="I21" i="1" s="1"/>
  <c r="F22" i="11" l="1"/>
  <c r="G21" i="11"/>
  <c r="H21" i="11" s="1"/>
  <c r="I21" i="11" s="1"/>
  <c r="G27" i="12"/>
  <c r="G26" i="12"/>
  <c r="G22" i="12"/>
  <c r="G25" i="12"/>
  <c r="F23" i="12"/>
  <c r="F24" i="12"/>
  <c r="F28" i="12" s="1"/>
  <c r="M48" i="12"/>
  <c r="G41" i="12"/>
  <c r="G41" i="11"/>
  <c r="M48" i="11"/>
  <c r="G27" i="11"/>
  <c r="G26" i="11"/>
  <c r="G22" i="11"/>
  <c r="G25" i="11"/>
  <c r="M42" i="1"/>
  <c r="T9" i="1"/>
  <c r="F23" i="11" l="1"/>
  <c r="F24" i="11"/>
  <c r="F28" i="11" s="1"/>
  <c r="F30" i="12"/>
  <c r="F32" i="12" s="1"/>
  <c r="Q9" i="12"/>
  <c r="H26" i="12"/>
  <c r="H22" i="12"/>
  <c r="H25" i="12"/>
  <c r="H27" i="12"/>
  <c r="G23" i="12"/>
  <c r="G24" i="12"/>
  <c r="G28" i="12" s="1"/>
  <c r="G23" i="11"/>
  <c r="G24" i="11"/>
  <c r="G28" i="11" s="1"/>
  <c r="F30" i="11"/>
  <c r="F32" i="11" s="1"/>
  <c r="Q9" i="11"/>
  <c r="H25" i="11"/>
  <c r="H26" i="11"/>
  <c r="H22" i="11"/>
  <c r="H27" i="11"/>
  <c r="D22" i="1"/>
  <c r="D27" i="1"/>
  <c r="D26" i="1"/>
  <c r="D25" i="1"/>
  <c r="G36" i="1"/>
  <c r="I26" i="12" l="1"/>
  <c r="I22" i="12"/>
  <c r="I25" i="12"/>
  <c r="I27" i="12"/>
  <c r="H24" i="12"/>
  <c r="H28" i="12" s="1"/>
  <c r="H23" i="12"/>
  <c r="Q10" i="12"/>
  <c r="G30" i="12"/>
  <c r="G32" i="12" s="1"/>
  <c r="I26" i="11"/>
  <c r="I27" i="11"/>
  <c r="I22" i="11"/>
  <c r="I25" i="11"/>
  <c r="H24" i="11"/>
  <c r="H28" i="11" s="1"/>
  <c r="H23" i="11"/>
  <c r="Q10" i="11"/>
  <c r="G30" i="11"/>
  <c r="G32" i="11" s="1"/>
  <c r="E27" i="1"/>
  <c r="E25" i="1"/>
  <c r="E26" i="1"/>
  <c r="F26" i="1"/>
  <c r="F27" i="1"/>
  <c r="G27" i="1"/>
  <c r="G25" i="1"/>
  <c r="G26" i="1"/>
  <c r="F25" i="1"/>
  <c r="M21" i="12" l="1"/>
  <c r="M21" i="11"/>
  <c r="Q11" i="12"/>
  <c r="H30" i="12"/>
  <c r="H32" i="12" s="1"/>
  <c r="I24" i="12"/>
  <c r="I28" i="12" s="1"/>
  <c r="I23" i="12"/>
  <c r="H30" i="11"/>
  <c r="H32" i="11" s="1"/>
  <c r="Q11" i="11"/>
  <c r="I23" i="11"/>
  <c r="I24" i="11"/>
  <c r="I28" i="11" s="1"/>
  <c r="H26" i="1"/>
  <c r="H27" i="1"/>
  <c r="H25" i="1"/>
  <c r="Q12" i="12" l="1"/>
  <c r="I30" i="12"/>
  <c r="I32" i="12" s="1"/>
  <c r="B36" i="12" s="1"/>
  <c r="M20" i="12"/>
  <c r="M22" i="12" s="1"/>
  <c r="J32" i="12" s="1"/>
  <c r="I30" i="11"/>
  <c r="I32" i="11" s="1"/>
  <c r="B36" i="11" s="1"/>
  <c r="M20" i="11"/>
  <c r="M22" i="11" s="1"/>
  <c r="J32" i="11" s="1"/>
  <c r="Q12" i="11"/>
  <c r="I26" i="1"/>
  <c r="I27" i="1"/>
  <c r="I25" i="1"/>
  <c r="E22" i="1"/>
  <c r="B38" i="1"/>
  <c r="B39" i="12" l="1"/>
  <c r="B40" i="12" s="1"/>
  <c r="M50" i="12" s="1"/>
  <c r="J30" i="12"/>
  <c r="B39" i="11"/>
  <c r="B40" i="11" s="1"/>
  <c r="J30" i="11"/>
  <c r="F22" i="1"/>
  <c r="D23" i="1"/>
  <c r="M38" i="1"/>
  <c r="B37" i="1"/>
  <c r="G37" i="1"/>
  <c r="G38" i="1"/>
  <c r="E31" i="1"/>
  <c r="F31" i="1"/>
  <c r="G31" i="1"/>
  <c r="H31" i="1"/>
  <c r="I31" i="1"/>
  <c r="D31" i="1"/>
  <c r="M47" i="12" l="1"/>
  <c r="B41" i="12"/>
  <c r="T7" i="12"/>
  <c r="M37" i="12"/>
  <c r="M44" i="12"/>
  <c r="M41" i="12"/>
  <c r="M43" i="12"/>
  <c r="M49" i="12"/>
  <c r="M50" i="11"/>
  <c r="T7" i="11"/>
  <c r="M41" i="11"/>
  <c r="M44" i="11"/>
  <c r="M37" i="11"/>
  <c r="M43" i="11"/>
  <c r="B41" i="11"/>
  <c r="M47" i="11"/>
  <c r="M49" i="11"/>
  <c r="G22" i="1"/>
  <c r="D24" i="1"/>
  <c r="G39" i="1"/>
  <c r="C30" i="1" s="1"/>
  <c r="H22" i="1" l="1"/>
  <c r="D28" i="1"/>
  <c r="Q7" i="1" s="1"/>
  <c r="G40" i="1"/>
  <c r="C32" i="1"/>
  <c r="E24" i="1"/>
  <c r="E28" i="1" s="1"/>
  <c r="E23" i="1"/>
  <c r="G41" i="1" l="1"/>
  <c r="I22" i="1"/>
  <c r="M21" i="1" s="1"/>
  <c r="D30" i="1"/>
  <c r="D32" i="1" s="1"/>
  <c r="M48" i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T7" i="1" l="1"/>
  <c r="M44" i="1"/>
  <c r="M50" i="1"/>
  <c r="M41" i="1"/>
  <c r="M43" i="1"/>
  <c r="M37" i="1"/>
  <c r="B41" i="1"/>
  <c r="M47" i="1"/>
  <c r="M49" i="1"/>
</calcChain>
</file>

<file path=xl/sharedStrings.xml><?xml version="1.0" encoding="utf-8"?>
<sst xmlns="http://schemas.openxmlformats.org/spreadsheetml/2006/main" count="345" uniqueCount="129">
  <si>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</si>
  <si>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</si>
  <si>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</si>
  <si>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</si>
  <si>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</si>
  <si>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</si>
  <si>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</si>
  <si>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</si>
  <si>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</si>
  <si>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</si>
  <si>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</si>
  <si>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</si>
  <si>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</si>
  <si>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</si>
  <si>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</si>
  <si>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</si>
  <si>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</si>
  <si>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</si>
  <si>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</si>
  <si>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</si>
  <si>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</si>
  <si>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</si>
  <si>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</si>
  <si>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</si>
  <si>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</si>
  <si>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</si>
  <si>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</si>
  <si>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</si>
  <si>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</si>
  <si>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</si>
  <si>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</si>
  <si>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</si>
  <si>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</si>
  <si>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</si>
  <si>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</si>
  <si>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</si>
  <si>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</si>
  <si>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</si>
  <si>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</si>
  <si>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</si>
  <si>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</si>
  <si>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</si>
  <si>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</si>
  <si>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</si>
  <si>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</si>
  <si>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</si>
  <si>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</si>
  <si>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</si>
  <si>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</si>
  <si>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</si>
  <si>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</si>
  <si>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</si>
  <si>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</si>
  <si>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</si>
  <si>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</si>
  <si>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</si>
  <si>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</si>
  <si>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</si>
  <si>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</si>
  <si>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</si>
  <si>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</si>
  <si>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</si>
  <si>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</si>
  <si>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</si>
  <si>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</si>
  <si>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</si>
  <si>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</si>
  <si>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</si>
  <si>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</si>
  <si>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</si>
  <si>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</si>
  <si>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</si>
  <si>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</si>
  <si>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</si>
  <si>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</si>
  <si>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</si>
  <si>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</si>
  <si>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</si>
  <si>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*base-case assumptions</t>
  </si>
  <si>
    <t>*bear-case assumptions</t>
  </si>
  <si>
    <t>*bull-case assumptions</t>
  </si>
  <si>
    <t>(as of July 2026)</t>
  </si>
  <si>
    <t>(5% of Revenue)</t>
  </si>
  <si>
    <t>(4% of Revenue)</t>
  </si>
  <si>
    <t>Intrinsic Value vs Current Price</t>
  </si>
  <si>
    <t>(0.5% of Revenue)</t>
  </si>
  <si>
    <t>(1% of Revenue)</t>
  </si>
  <si>
    <t>(0% of Revenue)</t>
  </si>
  <si>
    <t>Upside (%)</t>
  </si>
  <si>
    <t>Upside ($)</t>
  </si>
  <si>
    <t>(Following previous trend logic)</t>
  </si>
  <si>
    <t>13.5x</t>
  </si>
  <si>
    <t>(Revenue * 0.2)</t>
  </si>
  <si>
    <t>(10% of Revenue)</t>
  </si>
  <si>
    <t>(9% of Revenue)</t>
  </si>
  <si>
    <t>(4.5% of Revenue)</t>
  </si>
  <si>
    <t>Constellation Energy Corporation</t>
  </si>
  <si>
    <t>Constellation Indexed</t>
  </si>
  <si>
    <t>11.5x</t>
  </si>
  <si>
    <t>(Revenue * 0.18)</t>
  </si>
  <si>
    <t>(11% of Revenue)</t>
  </si>
  <si>
    <t>15.5x</t>
  </si>
  <si>
    <t>(Revenue * 0.22)</t>
  </si>
  <si>
    <t>2,297,700,000 (9% of Revenue)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</si>
  <si>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</si>
  <si>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</si>
  <si>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</si>
  <si>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</si>
  <si>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</si>
  <si>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</si>
  <si>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</si>
  <si>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</si>
  <si>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</si>
  <si>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</si>
  <si>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</si>
  <si>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</si>
  <si>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</si>
  <si>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</si>
  <si>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</si>
  <si>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</si>
  <si>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</si>
  <si>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</si>
  <si>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</si>
  <si>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</si>
  <si>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</si>
  <si>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</si>
  <si>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CEG</t>
  </si>
  <si>
    <t>2,553,000,000 (10% of Revenue)</t>
  </si>
  <si>
    <t>2,808,300,000 (11%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</si>
</sst>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00"/>
    <numFmt numFmtId="171" formatCode="0.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3" fontId="0" fillId="0" borderId="0" xfId="1" applyNumberFormat="1" applyFont="1"/>
    <xf numFmtId="170" fontId="0" fillId="0" borderId="0" xfId="0" applyNumberForma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6" fontId="0" fillId="5" borderId="5" xfId="0" applyNumberFormat="1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1" fontId="0" fillId="0" borderId="0" xfId="0" applyNumberFormat="1"/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2297700000</c:v>
                </c:pt>
                <c:pt idx="1">
                  <c:v>2872125000</c:v>
                </c:pt>
                <c:pt idx="2">
                  <c:v>3302943750</c:v>
                </c:pt>
                <c:pt idx="3">
                  <c:v>4458974062.5</c:v>
                </c:pt>
                <c:pt idx="4">
                  <c:v>5573717578.125</c:v>
                </c:pt>
                <c:pt idx="5">
                  <c:v>7245832851.5625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285.66666399448252</c:v>
                </c:pt>
                <c:pt idx="1">
                  <c:v>40.67</c:v>
                </c:pt>
                <c:pt idx="2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CEG vs Major Indices 5 Year Performance</a:t>
            </a:r>
            <a:r>
              <a:rPr lang="en-US" sz="2000" baseline="0"/>
              <a:t> (Please note trading began in January 2022)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Constellation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'Base Assumptions'!$V$15:$V$67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97.577777777777769</c:v>
                </c:pt>
                <c:pt idx="2">
                  <c:v>128.93333333333334</c:v>
                </c:pt>
                <c:pt idx="3">
                  <c:v>131.57777777777778</c:v>
                </c:pt>
                <c:pt idx="4">
                  <c:v>144.82222222222222</c:v>
                </c:pt>
                <c:pt idx="5">
                  <c:v>131.73333333333335</c:v>
                </c:pt>
                <c:pt idx="6">
                  <c:v>146.88888888888886</c:v>
                </c:pt>
                <c:pt idx="7">
                  <c:v>179.64444444444445</c:v>
                </c:pt>
                <c:pt idx="8">
                  <c:v>186.33333333333331</c:v>
                </c:pt>
                <c:pt idx="9">
                  <c:v>208.33333333333334</c:v>
                </c:pt>
                <c:pt idx="10">
                  <c:v>215.91111111111113</c:v>
                </c:pt>
                <c:pt idx="11">
                  <c:v>191.57777777777775</c:v>
                </c:pt>
                <c:pt idx="12">
                  <c:v>192.4</c:v>
                </c:pt>
                <c:pt idx="13">
                  <c:v>176.15555555555557</c:v>
                </c:pt>
                <c:pt idx="14">
                  <c:v>170.6</c:v>
                </c:pt>
                <c:pt idx="15">
                  <c:v>172.00000000000003</c:v>
                </c:pt>
                <c:pt idx="16">
                  <c:v>186.33333333333331</c:v>
                </c:pt>
                <c:pt idx="17">
                  <c:v>200.8</c:v>
                </c:pt>
                <c:pt idx="18">
                  <c:v>212.75555555555553</c:v>
                </c:pt>
                <c:pt idx="19">
                  <c:v>235.26666666666668</c:v>
                </c:pt>
                <c:pt idx="20">
                  <c:v>245.24444444444447</c:v>
                </c:pt>
                <c:pt idx="21">
                  <c:v>249.11111111111111</c:v>
                </c:pt>
                <c:pt idx="22">
                  <c:v>266.39999999999998</c:v>
                </c:pt>
                <c:pt idx="23">
                  <c:v>259.75555555555559</c:v>
                </c:pt>
                <c:pt idx="24">
                  <c:v>269.48888888888888</c:v>
                </c:pt>
                <c:pt idx="25">
                  <c:v>377.75555555555559</c:v>
                </c:pt>
                <c:pt idx="26">
                  <c:v>396.0888888888889</c:v>
                </c:pt>
                <c:pt idx="27">
                  <c:v>418.6</c:v>
                </c:pt>
                <c:pt idx="28">
                  <c:v>512.51111111111106</c:v>
                </c:pt>
                <c:pt idx="29">
                  <c:v>445.04444444444448</c:v>
                </c:pt>
                <c:pt idx="30">
                  <c:v>388.97777777777776</c:v>
                </c:pt>
                <c:pt idx="31">
                  <c:v>433.31111111111113</c:v>
                </c:pt>
                <c:pt idx="32">
                  <c:v>571.11111111111109</c:v>
                </c:pt>
                <c:pt idx="33">
                  <c:v>587.5777777777779</c:v>
                </c:pt>
                <c:pt idx="34">
                  <c:v>555.31111111111113</c:v>
                </c:pt>
                <c:pt idx="35">
                  <c:v>503.42222222222216</c:v>
                </c:pt>
                <c:pt idx="36">
                  <c:v>666.62222222222226</c:v>
                </c:pt>
                <c:pt idx="37">
                  <c:v>556.08888888888885</c:v>
                </c:pt>
                <c:pt idx="38">
                  <c:v>494.4</c:v>
                </c:pt>
                <c:pt idx="39">
                  <c:v>495.53333333333336</c:v>
                </c:pt>
                <c:pt idx="40">
                  <c:v>661.08888888888885</c:v>
                </c:pt>
                <c:pt idx="41">
                  <c:v>711.48888888888894</c:v>
                </c:pt>
                <c:pt idx="42">
                  <c:v>727.44444444444446</c:v>
                </c:pt>
                <c:pt idx="43">
                  <c:v>689.24444444444453</c:v>
                </c:pt>
                <c:pt idx="44">
                  <c:v>736.13333333333333</c:v>
                </c:pt>
                <c:pt idx="45">
                  <c:v>864.86666666666667</c:v>
                </c:pt>
                <c:pt idx="46">
                  <c:v>809.68888888888898</c:v>
                </c:pt>
                <c:pt idx="47">
                  <c:v>801.02222222222213</c:v>
                </c:pt>
                <c:pt idx="48">
                  <c:v>642.35555555555561</c:v>
                </c:pt>
                <c:pt idx="49">
                  <c:v>655.19999999999993</c:v>
                </c:pt>
                <c:pt idx="50">
                  <c:v>626.6444444444445</c:v>
                </c:pt>
                <c:pt idx="51">
                  <c:v>696.73333333333323</c:v>
                </c:pt>
                <c:pt idx="52">
                  <c:v>639.44444444444446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'Base Assumptions'!$W$15:$W$67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97.425192144036359</c:v>
                </c:pt>
                <c:pt idx="2">
                  <c:v>100.94499981113336</c:v>
                </c:pt>
                <c:pt idx="3">
                  <c:v>94.917265299864681</c:v>
                </c:pt>
                <c:pt idx="4">
                  <c:v>92.394451320177851</c:v>
                </c:pt>
                <c:pt idx="5">
                  <c:v>86.917318626917279</c:v>
                </c:pt>
                <c:pt idx="6">
                  <c:v>91.773413353538373</c:v>
                </c:pt>
                <c:pt idx="7">
                  <c:v>87.195508084603375</c:v>
                </c:pt>
                <c:pt idx="8">
                  <c:v>79.671060963930913</c:v>
                </c:pt>
                <c:pt idx="9">
                  <c:v>86.680013242884741</c:v>
                </c:pt>
                <c:pt idx="10">
                  <c:v>89.458797075011162</c:v>
                </c:pt>
                <c:pt idx="11">
                  <c:v>85.312174343910613</c:v>
                </c:pt>
                <c:pt idx="12">
                  <c:v>90.446236332165327</c:v>
                </c:pt>
                <c:pt idx="13">
                  <c:v>89.892523769422723</c:v>
                </c:pt>
                <c:pt idx="14">
                  <c:v>88.233830237771997</c:v>
                </c:pt>
                <c:pt idx="15">
                  <c:v>91.845182678484548</c:v>
                </c:pt>
                <c:pt idx="16">
                  <c:v>95.152570919425045</c:v>
                </c:pt>
                <c:pt idx="17">
                  <c:v>98.885686796888379</c:v>
                </c:pt>
                <c:pt idx="18">
                  <c:v>101.81534174863849</c:v>
                </c:pt>
                <c:pt idx="19">
                  <c:v>100.33862678395657</c:v>
                </c:pt>
                <c:pt idx="20">
                  <c:v>95.990027841165386</c:v>
                </c:pt>
                <c:pt idx="21">
                  <c:v>91.486336053753675</c:v>
                </c:pt>
                <c:pt idx="22">
                  <c:v>101.30673498454628</c:v>
                </c:pt>
                <c:pt idx="23">
                  <c:v>105.98373969288062</c:v>
                </c:pt>
                <c:pt idx="24">
                  <c:v>110.1783567713136</c:v>
                </c:pt>
                <c:pt idx="25">
                  <c:v>114.14388971965525</c:v>
                </c:pt>
                <c:pt idx="26">
                  <c:v>116.30141338908975</c:v>
                </c:pt>
                <c:pt idx="27">
                  <c:v>110.36988976853837</c:v>
                </c:pt>
                <c:pt idx="28">
                  <c:v>117.26418888442029</c:v>
                </c:pt>
                <c:pt idx="29">
                  <c:v>121.42169922209163</c:v>
                </c:pt>
                <c:pt idx="30">
                  <c:v>121.29904700113099</c:v>
                </c:pt>
                <c:pt idx="31">
                  <c:v>125.50521827429213</c:v>
                </c:pt>
                <c:pt idx="32">
                  <c:v>127.7865051449496</c:v>
                </c:pt>
                <c:pt idx="33">
                  <c:v>127.29167453611021</c:v>
                </c:pt>
                <c:pt idx="34">
                  <c:v>132.63637838210167</c:v>
                </c:pt>
                <c:pt idx="35">
                  <c:v>132.03933758912839</c:v>
                </c:pt>
                <c:pt idx="36">
                  <c:v>134.2181920795995</c:v>
                </c:pt>
                <c:pt idx="37">
                  <c:v>132.30663944024371</c:v>
                </c:pt>
                <c:pt idx="38">
                  <c:v>112.74405458912618</c:v>
                </c:pt>
                <c:pt idx="39">
                  <c:v>117.37950863564959</c:v>
                </c:pt>
                <c:pt idx="40">
                  <c:v>128.9363697164556</c:v>
                </c:pt>
                <c:pt idx="41">
                  <c:v>139.52467820456704</c:v>
                </c:pt>
                <c:pt idx="42">
                  <c:v>138.60611972367701</c:v>
                </c:pt>
                <c:pt idx="43">
                  <c:v>143.5444269897101</c:v>
                </c:pt>
                <c:pt idx="44">
                  <c:v>149.22220271834652</c:v>
                </c:pt>
                <c:pt idx="45">
                  <c:v>151.98654380706273</c:v>
                </c:pt>
                <c:pt idx="46">
                  <c:v>152.18407609770406</c:v>
                </c:pt>
                <c:pt idx="47">
                  <c:v>153.98053118188301</c:v>
                </c:pt>
                <c:pt idx="48">
                  <c:v>154.18250739357364</c:v>
                </c:pt>
                <c:pt idx="49">
                  <c:v>153.52658464669716</c:v>
                </c:pt>
                <c:pt idx="50">
                  <c:v>141.51333287412817</c:v>
                </c:pt>
                <c:pt idx="51">
                  <c:v>158.2715813470858</c:v>
                </c:pt>
                <c:pt idx="52">
                  <c:v>166.05755322150947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'Base Assumptions'!$X$15:$X$67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96.680384326865195</c:v>
                </c:pt>
                <c:pt idx="2">
                  <c:v>102.89552284328099</c:v>
                </c:pt>
                <c:pt idx="3">
                  <c:v>93.237171736536695</c:v>
                </c:pt>
                <c:pt idx="4">
                  <c:v>82.45570081703228</c:v>
                </c:pt>
                <c:pt idx="5">
                  <c:v>80.808928025492051</c:v>
                </c:pt>
                <c:pt idx="6">
                  <c:v>89.979499759269231</c:v>
                </c:pt>
                <c:pt idx="7">
                  <c:v>88.171440978841105</c:v>
                </c:pt>
                <c:pt idx="8">
                  <c:v>78.921424458101598</c:v>
                </c:pt>
                <c:pt idx="9">
                  <c:v>80.624476691959742</c:v>
                </c:pt>
                <c:pt idx="10">
                  <c:v>81.524294201329354</c:v>
                </c:pt>
                <c:pt idx="11">
                  <c:v>76.006149346032885</c:v>
                </c:pt>
                <c:pt idx="12">
                  <c:v>80.900282268635209</c:v>
                </c:pt>
                <c:pt idx="13">
                  <c:v>84.883995361121592</c:v>
                </c:pt>
                <c:pt idx="14">
                  <c:v>85.863983843806025</c:v>
                </c:pt>
                <c:pt idx="15">
                  <c:v>87.668556929742195</c:v>
                </c:pt>
                <c:pt idx="16">
                  <c:v>96.152664704511153</c:v>
                </c:pt>
                <c:pt idx="17">
                  <c:v>97.980838846903211</c:v>
                </c:pt>
                <c:pt idx="18">
                  <c:v>101.9043510907682</c:v>
                </c:pt>
                <c:pt idx="19">
                  <c:v>98.693445514601066</c:v>
                </c:pt>
                <c:pt idx="20">
                  <c:v>95.942361136830215</c:v>
                </c:pt>
                <c:pt idx="21">
                  <c:v>91.811813163870497</c:v>
                </c:pt>
                <c:pt idx="22">
                  <c:v>103.48772781373611</c:v>
                </c:pt>
                <c:pt idx="23">
                  <c:v>108.87690197283047</c:v>
                </c:pt>
                <c:pt idx="24">
                  <c:v>113.49530193739257</c:v>
                </c:pt>
                <c:pt idx="25">
                  <c:v>118.18639315583887</c:v>
                </c:pt>
                <c:pt idx="26">
                  <c:v>119.30384871504955</c:v>
                </c:pt>
                <c:pt idx="27">
                  <c:v>110.97587100606583</c:v>
                </c:pt>
                <c:pt idx="28">
                  <c:v>121.52743132637211</c:v>
                </c:pt>
                <c:pt idx="29">
                  <c:v>128.45771816271949</c:v>
                </c:pt>
                <c:pt idx="30">
                  <c:v>126.05055564148762</c:v>
                </c:pt>
                <c:pt idx="31">
                  <c:v>129.82607110671526</c:v>
                </c:pt>
                <c:pt idx="32">
                  <c:v>131.7145913349992</c:v>
                </c:pt>
                <c:pt idx="33">
                  <c:v>134.47961849073786</c:v>
                </c:pt>
                <c:pt idx="34">
                  <c:v>138.00191277485249</c:v>
                </c:pt>
                <c:pt idx="35">
                  <c:v>143.21869029386582</c:v>
                </c:pt>
                <c:pt idx="36">
                  <c:v>142.53179062304611</c:v>
                </c:pt>
                <c:pt idx="37">
                  <c:v>141.7806960786663</c:v>
                </c:pt>
                <c:pt idx="38">
                  <c:v>113.19640363470793</c:v>
                </c:pt>
                <c:pt idx="39">
                  <c:v>118.26997720501041</c:v>
                </c:pt>
                <c:pt idx="40">
                  <c:v>138.80158918621379</c:v>
                </c:pt>
                <c:pt idx="41">
                  <c:v>141.22443733265945</c:v>
                </c:pt>
                <c:pt idx="42">
                  <c:v>149.95842583132</c:v>
                </c:pt>
                <c:pt idx="43">
                  <c:v>156.10493973742555</c:v>
                </c:pt>
                <c:pt idx="44">
                  <c:v>165.42895464748372</c:v>
                </c:pt>
                <c:pt idx="45">
                  <c:v>168.51059905290776</c:v>
                </c:pt>
                <c:pt idx="46">
                  <c:v>169.67845194498122</c:v>
                </c:pt>
                <c:pt idx="47">
                  <c:v>171.32987232917736</c:v>
                </c:pt>
                <c:pt idx="48">
                  <c:v>170.37653488562927</c:v>
                </c:pt>
                <c:pt idx="49">
                  <c:v>164.61344737363811</c:v>
                </c:pt>
                <c:pt idx="50">
                  <c:v>152.12413139034913</c:v>
                </c:pt>
                <c:pt idx="51">
                  <c:v>177.6867624215991</c:v>
                </c:pt>
                <c:pt idx="52">
                  <c:v>191.30631484390264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'Base Assumptions'!$Y$15:$Y$67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98.080025986689307</c:v>
                </c:pt>
                <c:pt idx="2">
                  <c:v>100.39098102919843</c:v>
                </c:pt>
                <c:pt idx="3">
                  <c:v>97.367724612510642</c:v>
                </c:pt>
                <c:pt idx="4">
                  <c:v>95.644378607402572</c:v>
                </c:pt>
                <c:pt idx="5">
                  <c:v>89.551732489149884</c:v>
                </c:pt>
                <c:pt idx="6">
                  <c:v>94.585127285534213</c:v>
                </c:pt>
                <c:pt idx="7">
                  <c:v>90.188671312440121</c:v>
                </c:pt>
                <c:pt idx="8">
                  <c:v>88.760267319635972</c:v>
                </c:pt>
                <c:pt idx="9">
                  <c:v>94.633132395328275</c:v>
                </c:pt>
                <c:pt idx="10">
                  <c:v>99.148780419674651</c:v>
                </c:pt>
                <c:pt idx="11">
                  <c:v>95.6183746397097</c:v>
                </c:pt>
                <c:pt idx="12">
                  <c:v>96.112421228567953</c:v>
                </c:pt>
                <c:pt idx="13">
                  <c:v>94.503890084137083</c:v>
                </c:pt>
                <c:pt idx="14">
                  <c:v>95.820589325356863</c:v>
                </c:pt>
                <c:pt idx="15">
                  <c:v>97.360698069745339</c:v>
                </c:pt>
                <c:pt idx="16">
                  <c:v>95.299905228064574</c:v>
                </c:pt>
                <c:pt idx="17">
                  <c:v>97.125913630542655</c:v>
                </c:pt>
                <c:pt idx="18">
                  <c:v>100.97954037771125</c:v>
                </c:pt>
                <c:pt idx="19">
                  <c:v>100.32322096720361</c:v>
                </c:pt>
                <c:pt idx="20">
                  <c:v>96.492574470554317</c:v>
                </c:pt>
                <c:pt idx="21">
                  <c:v>98.087426894437996</c:v>
                </c:pt>
                <c:pt idx="22">
                  <c:v>104.37727696702161</c:v>
                </c:pt>
                <c:pt idx="23">
                  <c:v>108.53572320259453</c:v>
                </c:pt>
                <c:pt idx="24">
                  <c:v>109.74489330166013</c:v>
                </c:pt>
                <c:pt idx="25">
                  <c:v>112.56112588252944</c:v>
                </c:pt>
                <c:pt idx="26">
                  <c:v>114.63450314711363</c:v>
                </c:pt>
                <c:pt idx="27">
                  <c:v>109.39060004083458</c:v>
                </c:pt>
                <c:pt idx="28">
                  <c:v>111.40618111144356</c:v>
                </c:pt>
                <c:pt idx="29">
                  <c:v>112.7424049264128</c:v>
                </c:pt>
                <c:pt idx="30">
                  <c:v>116.01723461194334</c:v>
                </c:pt>
                <c:pt idx="31">
                  <c:v>118.57313954281972</c:v>
                </c:pt>
                <c:pt idx="32">
                  <c:v>121.85004263441215</c:v>
                </c:pt>
                <c:pt idx="33">
                  <c:v>121.09898008579869</c:v>
                </c:pt>
                <c:pt idx="34">
                  <c:v>127.56201715916301</c:v>
                </c:pt>
                <c:pt idx="35">
                  <c:v>123.3684094124572</c:v>
                </c:pt>
                <c:pt idx="36">
                  <c:v>127.92987395131009</c:v>
                </c:pt>
                <c:pt idx="37">
                  <c:v>126.25001187888891</c:v>
                </c:pt>
                <c:pt idx="38">
                  <c:v>110.33647636734649</c:v>
                </c:pt>
                <c:pt idx="39">
                  <c:v>112.71907910821655</c:v>
                </c:pt>
                <c:pt idx="40">
                  <c:v>119.8056354600816</c:v>
                </c:pt>
                <c:pt idx="41">
                  <c:v>121.54427283489611</c:v>
                </c:pt>
                <c:pt idx="42">
                  <c:v>129.30543488684242</c:v>
                </c:pt>
                <c:pt idx="43">
                  <c:v>131.15698650011072</c:v>
                </c:pt>
                <c:pt idx="44">
                  <c:v>134.65125166052468</c:v>
                </c:pt>
                <c:pt idx="45">
                  <c:v>135.94378996166213</c:v>
                </c:pt>
                <c:pt idx="46">
                  <c:v>133.17432420641103</c:v>
                </c:pt>
                <c:pt idx="47">
                  <c:v>138.61551765894023</c:v>
                </c:pt>
                <c:pt idx="48">
                  <c:v>141.39105964584496</c:v>
                </c:pt>
                <c:pt idx="49">
                  <c:v>141.04321698165637</c:v>
                </c:pt>
                <c:pt idx="50">
                  <c:v>131.25083692171768</c:v>
                </c:pt>
                <c:pt idx="51">
                  <c:v>142.39527931515397</c:v>
                </c:pt>
                <c:pt idx="52">
                  <c:v>145.65591192862183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9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1312242000</c:v>
                </c:pt>
                <c:pt idx="1">
                  <c:v>1640302500</c:v>
                </c:pt>
                <c:pt idx="2">
                  <c:v>1804332750</c:v>
                </c:pt>
                <c:pt idx="3">
                  <c:v>2345632575</c:v>
                </c:pt>
                <c:pt idx="4">
                  <c:v>2814759090</c:v>
                </c:pt>
                <c:pt idx="5">
                  <c:v>3518448862.5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45-88DD-8B388F57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84-4A2F-A21F-AC90D6E2FE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143.15269094212016</c:v>
                </c:pt>
                <c:pt idx="1">
                  <c:v>101.85</c:v>
                </c:pt>
                <c:pt idx="2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4-4A2F-A21F-AC90D6E2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CEG vs Major Indices 5 Year Performance</a:t>
            </a:r>
            <a:r>
              <a:rPr lang="en-US" sz="2000" baseline="0"/>
              <a:t> (Please note trading began in January 2022)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Constellation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'Bear Assumptions'!$V$15:$V$67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97.577777777777769</c:v>
                </c:pt>
                <c:pt idx="2">
                  <c:v>128.93333333333334</c:v>
                </c:pt>
                <c:pt idx="3">
                  <c:v>131.57777777777778</c:v>
                </c:pt>
                <c:pt idx="4">
                  <c:v>144.82222222222222</c:v>
                </c:pt>
                <c:pt idx="5">
                  <c:v>131.73333333333335</c:v>
                </c:pt>
                <c:pt idx="6">
                  <c:v>146.88888888888886</c:v>
                </c:pt>
                <c:pt idx="7">
                  <c:v>179.64444444444445</c:v>
                </c:pt>
                <c:pt idx="8">
                  <c:v>186.33333333333331</c:v>
                </c:pt>
                <c:pt idx="9">
                  <c:v>208.33333333333334</c:v>
                </c:pt>
                <c:pt idx="10">
                  <c:v>215.91111111111113</c:v>
                </c:pt>
                <c:pt idx="11">
                  <c:v>191.57777777777775</c:v>
                </c:pt>
                <c:pt idx="12">
                  <c:v>192.4</c:v>
                </c:pt>
                <c:pt idx="13">
                  <c:v>176.15555555555557</c:v>
                </c:pt>
                <c:pt idx="14">
                  <c:v>170.6</c:v>
                </c:pt>
                <c:pt idx="15">
                  <c:v>172.00000000000003</c:v>
                </c:pt>
                <c:pt idx="16">
                  <c:v>186.33333333333331</c:v>
                </c:pt>
                <c:pt idx="17">
                  <c:v>200.8</c:v>
                </c:pt>
                <c:pt idx="18">
                  <c:v>212.75555555555553</c:v>
                </c:pt>
                <c:pt idx="19">
                  <c:v>235.26666666666668</c:v>
                </c:pt>
                <c:pt idx="20">
                  <c:v>245.24444444444447</c:v>
                </c:pt>
                <c:pt idx="21">
                  <c:v>249.11111111111111</c:v>
                </c:pt>
                <c:pt idx="22">
                  <c:v>266.39999999999998</c:v>
                </c:pt>
                <c:pt idx="23">
                  <c:v>259.75555555555559</c:v>
                </c:pt>
                <c:pt idx="24">
                  <c:v>269.48888888888888</c:v>
                </c:pt>
                <c:pt idx="25">
                  <c:v>377.75555555555559</c:v>
                </c:pt>
                <c:pt idx="26">
                  <c:v>396.0888888888889</c:v>
                </c:pt>
                <c:pt idx="27">
                  <c:v>418.6</c:v>
                </c:pt>
                <c:pt idx="28">
                  <c:v>512.51111111111106</c:v>
                </c:pt>
                <c:pt idx="29">
                  <c:v>445.04444444444448</c:v>
                </c:pt>
                <c:pt idx="30">
                  <c:v>388.97777777777776</c:v>
                </c:pt>
                <c:pt idx="31">
                  <c:v>433.31111111111113</c:v>
                </c:pt>
                <c:pt idx="32">
                  <c:v>571.11111111111109</c:v>
                </c:pt>
                <c:pt idx="33">
                  <c:v>587.5777777777779</c:v>
                </c:pt>
                <c:pt idx="34">
                  <c:v>555.31111111111113</c:v>
                </c:pt>
                <c:pt idx="35">
                  <c:v>503.42222222222216</c:v>
                </c:pt>
                <c:pt idx="36">
                  <c:v>666.62222222222226</c:v>
                </c:pt>
                <c:pt idx="37">
                  <c:v>556.08888888888885</c:v>
                </c:pt>
                <c:pt idx="38">
                  <c:v>494.4</c:v>
                </c:pt>
                <c:pt idx="39">
                  <c:v>495.53333333333336</c:v>
                </c:pt>
                <c:pt idx="40">
                  <c:v>661.08888888888885</c:v>
                </c:pt>
                <c:pt idx="41">
                  <c:v>711.48888888888894</c:v>
                </c:pt>
                <c:pt idx="42">
                  <c:v>727.44444444444446</c:v>
                </c:pt>
                <c:pt idx="43">
                  <c:v>689.24444444444453</c:v>
                </c:pt>
                <c:pt idx="44">
                  <c:v>736.13333333333333</c:v>
                </c:pt>
                <c:pt idx="45">
                  <c:v>864.86666666666667</c:v>
                </c:pt>
                <c:pt idx="46">
                  <c:v>809.68888888888898</c:v>
                </c:pt>
                <c:pt idx="47">
                  <c:v>801.02222222222213</c:v>
                </c:pt>
                <c:pt idx="48">
                  <c:v>642.35555555555561</c:v>
                </c:pt>
                <c:pt idx="49">
                  <c:v>655.19999999999993</c:v>
                </c:pt>
                <c:pt idx="50">
                  <c:v>626.6444444444445</c:v>
                </c:pt>
                <c:pt idx="51">
                  <c:v>696.73333333333323</c:v>
                </c:pt>
                <c:pt idx="52">
                  <c:v>639.44444444444446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3-4F98-830D-7703310A5391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'Bear Assumptions'!$W$15:$W$67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97.425192144036359</c:v>
                </c:pt>
                <c:pt idx="2">
                  <c:v>100.94499981113336</c:v>
                </c:pt>
                <c:pt idx="3">
                  <c:v>94.917265299864681</c:v>
                </c:pt>
                <c:pt idx="4">
                  <c:v>92.394451320177851</c:v>
                </c:pt>
                <c:pt idx="5">
                  <c:v>86.917318626917279</c:v>
                </c:pt>
                <c:pt idx="6">
                  <c:v>91.773413353538373</c:v>
                </c:pt>
                <c:pt idx="7">
                  <c:v>87.195508084603375</c:v>
                </c:pt>
                <c:pt idx="8">
                  <c:v>79.671060963930913</c:v>
                </c:pt>
                <c:pt idx="9">
                  <c:v>86.680013242884741</c:v>
                </c:pt>
                <c:pt idx="10">
                  <c:v>89.458797075011162</c:v>
                </c:pt>
                <c:pt idx="11">
                  <c:v>85.312174343910613</c:v>
                </c:pt>
                <c:pt idx="12">
                  <c:v>90.446236332165327</c:v>
                </c:pt>
                <c:pt idx="13">
                  <c:v>89.892523769422723</c:v>
                </c:pt>
                <c:pt idx="14">
                  <c:v>88.233830237771997</c:v>
                </c:pt>
                <c:pt idx="15">
                  <c:v>91.845182678484548</c:v>
                </c:pt>
                <c:pt idx="16">
                  <c:v>95.152570919425045</c:v>
                </c:pt>
                <c:pt idx="17">
                  <c:v>98.885686796888379</c:v>
                </c:pt>
                <c:pt idx="18">
                  <c:v>101.81534174863849</c:v>
                </c:pt>
                <c:pt idx="19">
                  <c:v>100.33862678395657</c:v>
                </c:pt>
                <c:pt idx="20">
                  <c:v>95.990027841165386</c:v>
                </c:pt>
                <c:pt idx="21">
                  <c:v>91.486336053753675</c:v>
                </c:pt>
                <c:pt idx="22">
                  <c:v>101.30673498454628</c:v>
                </c:pt>
                <c:pt idx="23">
                  <c:v>105.98373969288062</c:v>
                </c:pt>
                <c:pt idx="24">
                  <c:v>110.1783567713136</c:v>
                </c:pt>
                <c:pt idx="25">
                  <c:v>114.14388971965525</c:v>
                </c:pt>
                <c:pt idx="26">
                  <c:v>116.30141338908975</c:v>
                </c:pt>
                <c:pt idx="27">
                  <c:v>110.36988976853837</c:v>
                </c:pt>
                <c:pt idx="28">
                  <c:v>117.26418888442029</c:v>
                </c:pt>
                <c:pt idx="29">
                  <c:v>121.42169922209163</c:v>
                </c:pt>
                <c:pt idx="30">
                  <c:v>121.29904700113099</c:v>
                </c:pt>
                <c:pt idx="31">
                  <c:v>125.50521827429213</c:v>
                </c:pt>
                <c:pt idx="32">
                  <c:v>127.7865051449496</c:v>
                </c:pt>
                <c:pt idx="33">
                  <c:v>127.29167453611021</c:v>
                </c:pt>
                <c:pt idx="34">
                  <c:v>132.63637838210167</c:v>
                </c:pt>
                <c:pt idx="35">
                  <c:v>132.03933758912839</c:v>
                </c:pt>
                <c:pt idx="36">
                  <c:v>134.2181920795995</c:v>
                </c:pt>
                <c:pt idx="37">
                  <c:v>132.30663944024371</c:v>
                </c:pt>
                <c:pt idx="38">
                  <c:v>112.74405458912618</c:v>
                </c:pt>
                <c:pt idx="39">
                  <c:v>117.37950863564959</c:v>
                </c:pt>
                <c:pt idx="40">
                  <c:v>128.9363697164556</c:v>
                </c:pt>
                <c:pt idx="41">
                  <c:v>139.52467820456704</c:v>
                </c:pt>
                <c:pt idx="42">
                  <c:v>138.60611972367701</c:v>
                </c:pt>
                <c:pt idx="43">
                  <c:v>143.5444269897101</c:v>
                </c:pt>
                <c:pt idx="44">
                  <c:v>149.22220271834652</c:v>
                </c:pt>
                <c:pt idx="45">
                  <c:v>151.98654380706273</c:v>
                </c:pt>
                <c:pt idx="46">
                  <c:v>152.18407609770406</c:v>
                </c:pt>
                <c:pt idx="47">
                  <c:v>153.98053118188301</c:v>
                </c:pt>
                <c:pt idx="48">
                  <c:v>154.18250739357364</c:v>
                </c:pt>
                <c:pt idx="49">
                  <c:v>153.52658464669716</c:v>
                </c:pt>
                <c:pt idx="50">
                  <c:v>141.51333287412817</c:v>
                </c:pt>
                <c:pt idx="51">
                  <c:v>158.2715813470858</c:v>
                </c:pt>
                <c:pt idx="52">
                  <c:v>166.05755322150947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3-4F98-830D-7703310A5391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'Bear Assumptions'!$X$15:$X$67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96.680384326865195</c:v>
                </c:pt>
                <c:pt idx="2">
                  <c:v>102.89552284328099</c:v>
                </c:pt>
                <c:pt idx="3">
                  <c:v>93.237171736536695</c:v>
                </c:pt>
                <c:pt idx="4">
                  <c:v>82.45570081703228</c:v>
                </c:pt>
                <c:pt idx="5">
                  <c:v>80.808928025492051</c:v>
                </c:pt>
                <c:pt idx="6">
                  <c:v>89.979499759269231</c:v>
                </c:pt>
                <c:pt idx="7">
                  <c:v>88.171440978841105</c:v>
                </c:pt>
                <c:pt idx="8">
                  <c:v>78.921424458101598</c:v>
                </c:pt>
                <c:pt idx="9">
                  <c:v>80.624476691959742</c:v>
                </c:pt>
                <c:pt idx="10">
                  <c:v>81.524294201329354</c:v>
                </c:pt>
                <c:pt idx="11">
                  <c:v>76.006149346032885</c:v>
                </c:pt>
                <c:pt idx="12">
                  <c:v>80.900282268635209</c:v>
                </c:pt>
                <c:pt idx="13">
                  <c:v>84.883995361121592</c:v>
                </c:pt>
                <c:pt idx="14">
                  <c:v>85.863983843806025</c:v>
                </c:pt>
                <c:pt idx="15">
                  <c:v>87.668556929742195</c:v>
                </c:pt>
                <c:pt idx="16">
                  <c:v>96.152664704511153</c:v>
                </c:pt>
                <c:pt idx="17">
                  <c:v>97.980838846903211</c:v>
                </c:pt>
                <c:pt idx="18">
                  <c:v>101.9043510907682</c:v>
                </c:pt>
                <c:pt idx="19">
                  <c:v>98.693445514601066</c:v>
                </c:pt>
                <c:pt idx="20">
                  <c:v>95.942361136830215</c:v>
                </c:pt>
                <c:pt idx="21">
                  <c:v>91.811813163870497</c:v>
                </c:pt>
                <c:pt idx="22">
                  <c:v>103.48772781373611</c:v>
                </c:pt>
                <c:pt idx="23">
                  <c:v>108.87690197283047</c:v>
                </c:pt>
                <c:pt idx="24">
                  <c:v>113.49530193739257</c:v>
                </c:pt>
                <c:pt idx="25">
                  <c:v>118.18639315583887</c:v>
                </c:pt>
                <c:pt idx="26">
                  <c:v>119.30384871504955</c:v>
                </c:pt>
                <c:pt idx="27">
                  <c:v>110.97587100606583</c:v>
                </c:pt>
                <c:pt idx="28">
                  <c:v>121.52743132637211</c:v>
                </c:pt>
                <c:pt idx="29">
                  <c:v>128.45771816271949</c:v>
                </c:pt>
                <c:pt idx="30">
                  <c:v>126.05055564148762</c:v>
                </c:pt>
                <c:pt idx="31">
                  <c:v>129.82607110671526</c:v>
                </c:pt>
                <c:pt idx="32">
                  <c:v>131.7145913349992</c:v>
                </c:pt>
                <c:pt idx="33">
                  <c:v>134.47961849073786</c:v>
                </c:pt>
                <c:pt idx="34">
                  <c:v>138.00191277485249</c:v>
                </c:pt>
                <c:pt idx="35">
                  <c:v>143.21869029386582</c:v>
                </c:pt>
                <c:pt idx="36">
                  <c:v>142.53179062304611</c:v>
                </c:pt>
                <c:pt idx="37">
                  <c:v>141.7806960786663</c:v>
                </c:pt>
                <c:pt idx="38">
                  <c:v>113.19640363470793</c:v>
                </c:pt>
                <c:pt idx="39">
                  <c:v>118.26997720501041</c:v>
                </c:pt>
                <c:pt idx="40">
                  <c:v>138.80158918621379</c:v>
                </c:pt>
                <c:pt idx="41">
                  <c:v>141.22443733265945</c:v>
                </c:pt>
                <c:pt idx="42">
                  <c:v>149.95842583132</c:v>
                </c:pt>
                <c:pt idx="43">
                  <c:v>156.10493973742555</c:v>
                </c:pt>
                <c:pt idx="44">
                  <c:v>165.42895464748372</c:v>
                </c:pt>
                <c:pt idx="45">
                  <c:v>168.51059905290776</c:v>
                </c:pt>
                <c:pt idx="46">
                  <c:v>169.67845194498122</c:v>
                </c:pt>
                <c:pt idx="47">
                  <c:v>171.32987232917736</c:v>
                </c:pt>
                <c:pt idx="48">
                  <c:v>170.37653488562927</c:v>
                </c:pt>
                <c:pt idx="49">
                  <c:v>164.61344737363811</c:v>
                </c:pt>
                <c:pt idx="50">
                  <c:v>152.12413139034913</c:v>
                </c:pt>
                <c:pt idx="51">
                  <c:v>177.6867624215991</c:v>
                </c:pt>
                <c:pt idx="52">
                  <c:v>191.30631484390264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23-4F98-830D-7703310A5391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'Bear Assumptions'!$Y$15:$Y$67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98.080025986689307</c:v>
                </c:pt>
                <c:pt idx="2">
                  <c:v>100.39098102919843</c:v>
                </c:pt>
                <c:pt idx="3">
                  <c:v>97.367724612510642</c:v>
                </c:pt>
                <c:pt idx="4">
                  <c:v>95.644378607402572</c:v>
                </c:pt>
                <c:pt idx="5">
                  <c:v>89.551732489149884</c:v>
                </c:pt>
                <c:pt idx="6">
                  <c:v>94.585127285534213</c:v>
                </c:pt>
                <c:pt idx="7">
                  <c:v>90.188671312440121</c:v>
                </c:pt>
                <c:pt idx="8">
                  <c:v>88.760267319635972</c:v>
                </c:pt>
                <c:pt idx="9">
                  <c:v>94.633132395328275</c:v>
                </c:pt>
                <c:pt idx="10">
                  <c:v>99.148780419674651</c:v>
                </c:pt>
                <c:pt idx="11">
                  <c:v>95.6183746397097</c:v>
                </c:pt>
                <c:pt idx="12">
                  <c:v>96.112421228567953</c:v>
                </c:pt>
                <c:pt idx="13">
                  <c:v>94.503890084137083</c:v>
                </c:pt>
                <c:pt idx="14">
                  <c:v>95.820589325356863</c:v>
                </c:pt>
                <c:pt idx="15">
                  <c:v>97.360698069745339</c:v>
                </c:pt>
                <c:pt idx="16">
                  <c:v>95.299905228064574</c:v>
                </c:pt>
                <c:pt idx="17">
                  <c:v>97.125913630542655</c:v>
                </c:pt>
                <c:pt idx="18">
                  <c:v>100.97954037771125</c:v>
                </c:pt>
                <c:pt idx="19">
                  <c:v>100.32322096720361</c:v>
                </c:pt>
                <c:pt idx="20">
                  <c:v>96.492574470554317</c:v>
                </c:pt>
                <c:pt idx="21">
                  <c:v>98.087426894437996</c:v>
                </c:pt>
                <c:pt idx="22">
                  <c:v>104.37727696702161</c:v>
                </c:pt>
                <c:pt idx="23">
                  <c:v>108.53572320259453</c:v>
                </c:pt>
                <c:pt idx="24">
                  <c:v>109.74489330166013</c:v>
                </c:pt>
                <c:pt idx="25">
                  <c:v>112.56112588252944</c:v>
                </c:pt>
                <c:pt idx="26">
                  <c:v>114.63450314711363</c:v>
                </c:pt>
                <c:pt idx="27">
                  <c:v>109.39060004083458</c:v>
                </c:pt>
                <c:pt idx="28">
                  <c:v>111.40618111144356</c:v>
                </c:pt>
                <c:pt idx="29">
                  <c:v>112.7424049264128</c:v>
                </c:pt>
                <c:pt idx="30">
                  <c:v>116.01723461194334</c:v>
                </c:pt>
                <c:pt idx="31">
                  <c:v>118.57313954281972</c:v>
                </c:pt>
                <c:pt idx="32">
                  <c:v>121.85004263441215</c:v>
                </c:pt>
                <c:pt idx="33">
                  <c:v>121.09898008579869</c:v>
                </c:pt>
                <c:pt idx="34">
                  <c:v>127.56201715916301</c:v>
                </c:pt>
                <c:pt idx="35">
                  <c:v>123.3684094124572</c:v>
                </c:pt>
                <c:pt idx="36">
                  <c:v>127.92987395131009</c:v>
                </c:pt>
                <c:pt idx="37">
                  <c:v>126.25001187888891</c:v>
                </c:pt>
                <c:pt idx="38">
                  <c:v>110.33647636734649</c:v>
                </c:pt>
                <c:pt idx="39">
                  <c:v>112.71907910821655</c:v>
                </c:pt>
                <c:pt idx="40">
                  <c:v>119.8056354600816</c:v>
                </c:pt>
                <c:pt idx="41">
                  <c:v>121.54427283489611</c:v>
                </c:pt>
                <c:pt idx="42">
                  <c:v>129.30543488684242</c:v>
                </c:pt>
                <c:pt idx="43">
                  <c:v>131.15698650011072</c:v>
                </c:pt>
                <c:pt idx="44">
                  <c:v>134.65125166052468</c:v>
                </c:pt>
                <c:pt idx="45">
                  <c:v>135.94378996166213</c:v>
                </c:pt>
                <c:pt idx="46">
                  <c:v>133.17432420641103</c:v>
                </c:pt>
                <c:pt idx="47">
                  <c:v>138.61551765894023</c:v>
                </c:pt>
                <c:pt idx="48">
                  <c:v>141.39105964584496</c:v>
                </c:pt>
                <c:pt idx="49">
                  <c:v>141.04321698165637</c:v>
                </c:pt>
                <c:pt idx="50">
                  <c:v>131.25083692171768</c:v>
                </c:pt>
                <c:pt idx="51">
                  <c:v>142.39527931515397</c:v>
                </c:pt>
                <c:pt idx="52">
                  <c:v>145.65591192862183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23-4F98-830D-7703310A5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9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3303582000</c:v>
                </c:pt>
                <c:pt idx="1">
                  <c:v>4294656600</c:v>
                </c:pt>
                <c:pt idx="2">
                  <c:v>5153587920</c:v>
                </c:pt>
                <c:pt idx="3">
                  <c:v>6957343692</c:v>
                </c:pt>
                <c:pt idx="4">
                  <c:v>9044546799.6000004</c:v>
                </c:pt>
                <c:pt idx="5">
                  <c:v>12210138179.459999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F-4CFF-97E3-5AF2C8323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A-4741-AEF4-1CB25C726F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534.97511447785519</c:v>
                </c:pt>
                <c:pt idx="1">
                  <c:v>289.98</c:v>
                </c:pt>
                <c:pt idx="2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A-4741-AEF4-1CB25C72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CEG vs Major Indices 5 Year Performance</a:t>
            </a:r>
            <a:r>
              <a:rPr lang="en-US" sz="2000" baseline="0"/>
              <a:t> (Please note trading began in January 2022)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Constellation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'Bull Assumptions'!$V$15:$V$67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97.577777777777769</c:v>
                </c:pt>
                <c:pt idx="2">
                  <c:v>128.93333333333334</c:v>
                </c:pt>
                <c:pt idx="3">
                  <c:v>131.57777777777778</c:v>
                </c:pt>
                <c:pt idx="4">
                  <c:v>144.82222222222222</c:v>
                </c:pt>
                <c:pt idx="5">
                  <c:v>131.73333333333335</c:v>
                </c:pt>
                <c:pt idx="6">
                  <c:v>146.88888888888886</c:v>
                </c:pt>
                <c:pt idx="7">
                  <c:v>179.64444444444445</c:v>
                </c:pt>
                <c:pt idx="8">
                  <c:v>186.33333333333331</c:v>
                </c:pt>
                <c:pt idx="9">
                  <c:v>208.33333333333334</c:v>
                </c:pt>
                <c:pt idx="10">
                  <c:v>215.91111111111113</c:v>
                </c:pt>
                <c:pt idx="11">
                  <c:v>191.57777777777775</c:v>
                </c:pt>
                <c:pt idx="12">
                  <c:v>192.4</c:v>
                </c:pt>
                <c:pt idx="13">
                  <c:v>176.15555555555557</c:v>
                </c:pt>
                <c:pt idx="14">
                  <c:v>170.6</c:v>
                </c:pt>
                <c:pt idx="15">
                  <c:v>172.00000000000003</c:v>
                </c:pt>
                <c:pt idx="16">
                  <c:v>186.33333333333331</c:v>
                </c:pt>
                <c:pt idx="17">
                  <c:v>200.8</c:v>
                </c:pt>
                <c:pt idx="18">
                  <c:v>212.75555555555553</c:v>
                </c:pt>
                <c:pt idx="19">
                  <c:v>235.26666666666668</c:v>
                </c:pt>
                <c:pt idx="20">
                  <c:v>245.24444444444447</c:v>
                </c:pt>
                <c:pt idx="21">
                  <c:v>249.11111111111111</c:v>
                </c:pt>
                <c:pt idx="22">
                  <c:v>266.39999999999998</c:v>
                </c:pt>
                <c:pt idx="23">
                  <c:v>259.75555555555559</c:v>
                </c:pt>
                <c:pt idx="24">
                  <c:v>269.48888888888888</c:v>
                </c:pt>
                <c:pt idx="25">
                  <c:v>377.75555555555559</c:v>
                </c:pt>
                <c:pt idx="26">
                  <c:v>396.0888888888889</c:v>
                </c:pt>
                <c:pt idx="27">
                  <c:v>418.6</c:v>
                </c:pt>
                <c:pt idx="28">
                  <c:v>512.51111111111106</c:v>
                </c:pt>
                <c:pt idx="29">
                  <c:v>445.04444444444448</c:v>
                </c:pt>
                <c:pt idx="30">
                  <c:v>388.97777777777776</c:v>
                </c:pt>
                <c:pt idx="31">
                  <c:v>433.31111111111113</c:v>
                </c:pt>
                <c:pt idx="32">
                  <c:v>571.11111111111109</c:v>
                </c:pt>
                <c:pt idx="33">
                  <c:v>587.5777777777779</c:v>
                </c:pt>
                <c:pt idx="34">
                  <c:v>555.31111111111113</c:v>
                </c:pt>
                <c:pt idx="35">
                  <c:v>503.42222222222216</c:v>
                </c:pt>
                <c:pt idx="36">
                  <c:v>666.62222222222226</c:v>
                </c:pt>
                <c:pt idx="37">
                  <c:v>556.08888888888885</c:v>
                </c:pt>
                <c:pt idx="38">
                  <c:v>494.4</c:v>
                </c:pt>
                <c:pt idx="39">
                  <c:v>495.53333333333336</c:v>
                </c:pt>
                <c:pt idx="40">
                  <c:v>661.08888888888885</c:v>
                </c:pt>
                <c:pt idx="41">
                  <c:v>711.48888888888894</c:v>
                </c:pt>
                <c:pt idx="42">
                  <c:v>727.44444444444446</c:v>
                </c:pt>
                <c:pt idx="43">
                  <c:v>689.24444444444453</c:v>
                </c:pt>
                <c:pt idx="44">
                  <c:v>736.13333333333333</c:v>
                </c:pt>
                <c:pt idx="45">
                  <c:v>864.86666666666667</c:v>
                </c:pt>
                <c:pt idx="46">
                  <c:v>809.68888888888898</c:v>
                </c:pt>
                <c:pt idx="47">
                  <c:v>801.02222222222213</c:v>
                </c:pt>
                <c:pt idx="48">
                  <c:v>642.35555555555561</c:v>
                </c:pt>
                <c:pt idx="49">
                  <c:v>655.19999999999993</c:v>
                </c:pt>
                <c:pt idx="50">
                  <c:v>626.6444444444445</c:v>
                </c:pt>
                <c:pt idx="51">
                  <c:v>696.73333333333323</c:v>
                </c:pt>
                <c:pt idx="52">
                  <c:v>639.44444444444446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C-48A5-81D3-CC4408E528E7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'Bull Assumptions'!$W$15:$W$67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97.425192144036359</c:v>
                </c:pt>
                <c:pt idx="2">
                  <c:v>100.94499981113336</c:v>
                </c:pt>
                <c:pt idx="3">
                  <c:v>94.917265299864681</c:v>
                </c:pt>
                <c:pt idx="4">
                  <c:v>92.394451320177851</c:v>
                </c:pt>
                <c:pt idx="5">
                  <c:v>86.917318626917279</c:v>
                </c:pt>
                <c:pt idx="6">
                  <c:v>91.773413353538373</c:v>
                </c:pt>
                <c:pt idx="7">
                  <c:v>87.195508084603375</c:v>
                </c:pt>
                <c:pt idx="8">
                  <c:v>79.671060963930913</c:v>
                </c:pt>
                <c:pt idx="9">
                  <c:v>86.680013242884741</c:v>
                </c:pt>
                <c:pt idx="10">
                  <c:v>89.458797075011162</c:v>
                </c:pt>
                <c:pt idx="11">
                  <c:v>85.312174343910613</c:v>
                </c:pt>
                <c:pt idx="12">
                  <c:v>90.446236332165327</c:v>
                </c:pt>
                <c:pt idx="13">
                  <c:v>89.892523769422723</c:v>
                </c:pt>
                <c:pt idx="14">
                  <c:v>88.233830237771997</c:v>
                </c:pt>
                <c:pt idx="15">
                  <c:v>91.845182678484548</c:v>
                </c:pt>
                <c:pt idx="16">
                  <c:v>95.152570919425045</c:v>
                </c:pt>
                <c:pt idx="17">
                  <c:v>98.885686796888379</c:v>
                </c:pt>
                <c:pt idx="18">
                  <c:v>101.81534174863849</c:v>
                </c:pt>
                <c:pt idx="19">
                  <c:v>100.33862678395657</c:v>
                </c:pt>
                <c:pt idx="20">
                  <c:v>95.990027841165386</c:v>
                </c:pt>
                <c:pt idx="21">
                  <c:v>91.486336053753675</c:v>
                </c:pt>
                <c:pt idx="22">
                  <c:v>101.30673498454628</c:v>
                </c:pt>
                <c:pt idx="23">
                  <c:v>105.98373969288062</c:v>
                </c:pt>
                <c:pt idx="24">
                  <c:v>110.1783567713136</c:v>
                </c:pt>
                <c:pt idx="25">
                  <c:v>114.14388971965525</c:v>
                </c:pt>
                <c:pt idx="26">
                  <c:v>116.30141338908975</c:v>
                </c:pt>
                <c:pt idx="27">
                  <c:v>110.36988976853837</c:v>
                </c:pt>
                <c:pt idx="28">
                  <c:v>117.26418888442029</c:v>
                </c:pt>
                <c:pt idx="29">
                  <c:v>121.42169922209163</c:v>
                </c:pt>
                <c:pt idx="30">
                  <c:v>121.29904700113099</c:v>
                </c:pt>
                <c:pt idx="31">
                  <c:v>125.50521827429213</c:v>
                </c:pt>
                <c:pt idx="32">
                  <c:v>127.7865051449496</c:v>
                </c:pt>
                <c:pt idx="33">
                  <c:v>127.29167453611021</c:v>
                </c:pt>
                <c:pt idx="34">
                  <c:v>132.63637838210167</c:v>
                </c:pt>
                <c:pt idx="35">
                  <c:v>132.03933758912839</c:v>
                </c:pt>
                <c:pt idx="36">
                  <c:v>134.2181920795995</c:v>
                </c:pt>
                <c:pt idx="37">
                  <c:v>132.30663944024371</c:v>
                </c:pt>
                <c:pt idx="38">
                  <c:v>112.74405458912618</c:v>
                </c:pt>
                <c:pt idx="39">
                  <c:v>117.37950863564959</c:v>
                </c:pt>
                <c:pt idx="40">
                  <c:v>128.9363697164556</c:v>
                </c:pt>
                <c:pt idx="41">
                  <c:v>139.52467820456704</c:v>
                </c:pt>
                <c:pt idx="42">
                  <c:v>138.60611972367701</c:v>
                </c:pt>
                <c:pt idx="43">
                  <c:v>143.5444269897101</c:v>
                </c:pt>
                <c:pt idx="44">
                  <c:v>149.22220271834652</c:v>
                </c:pt>
                <c:pt idx="45">
                  <c:v>151.98654380706273</c:v>
                </c:pt>
                <c:pt idx="46">
                  <c:v>152.18407609770406</c:v>
                </c:pt>
                <c:pt idx="47">
                  <c:v>153.98053118188301</c:v>
                </c:pt>
                <c:pt idx="48">
                  <c:v>154.18250739357364</c:v>
                </c:pt>
                <c:pt idx="49">
                  <c:v>153.52658464669716</c:v>
                </c:pt>
                <c:pt idx="50">
                  <c:v>141.51333287412817</c:v>
                </c:pt>
                <c:pt idx="51">
                  <c:v>158.2715813470858</c:v>
                </c:pt>
                <c:pt idx="52">
                  <c:v>166.05755322150947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C-48A5-81D3-CC4408E528E7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'Bull Assumptions'!$X$15:$X$67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96.680384326865195</c:v>
                </c:pt>
                <c:pt idx="2">
                  <c:v>102.89552284328099</c:v>
                </c:pt>
                <c:pt idx="3">
                  <c:v>93.237171736536695</c:v>
                </c:pt>
                <c:pt idx="4">
                  <c:v>82.45570081703228</c:v>
                </c:pt>
                <c:pt idx="5">
                  <c:v>80.808928025492051</c:v>
                </c:pt>
                <c:pt idx="6">
                  <c:v>89.979499759269231</c:v>
                </c:pt>
                <c:pt idx="7">
                  <c:v>88.171440978841105</c:v>
                </c:pt>
                <c:pt idx="8">
                  <c:v>78.921424458101598</c:v>
                </c:pt>
                <c:pt idx="9">
                  <c:v>80.624476691959742</c:v>
                </c:pt>
                <c:pt idx="10">
                  <c:v>81.524294201329354</c:v>
                </c:pt>
                <c:pt idx="11">
                  <c:v>76.006149346032885</c:v>
                </c:pt>
                <c:pt idx="12">
                  <c:v>80.900282268635209</c:v>
                </c:pt>
                <c:pt idx="13">
                  <c:v>84.883995361121592</c:v>
                </c:pt>
                <c:pt idx="14">
                  <c:v>85.863983843806025</c:v>
                </c:pt>
                <c:pt idx="15">
                  <c:v>87.668556929742195</c:v>
                </c:pt>
                <c:pt idx="16">
                  <c:v>96.152664704511153</c:v>
                </c:pt>
                <c:pt idx="17">
                  <c:v>97.980838846903211</c:v>
                </c:pt>
                <c:pt idx="18">
                  <c:v>101.9043510907682</c:v>
                </c:pt>
                <c:pt idx="19">
                  <c:v>98.693445514601066</c:v>
                </c:pt>
                <c:pt idx="20">
                  <c:v>95.942361136830215</c:v>
                </c:pt>
                <c:pt idx="21">
                  <c:v>91.811813163870497</c:v>
                </c:pt>
                <c:pt idx="22">
                  <c:v>103.48772781373611</c:v>
                </c:pt>
                <c:pt idx="23">
                  <c:v>108.87690197283047</c:v>
                </c:pt>
                <c:pt idx="24">
                  <c:v>113.49530193739257</c:v>
                </c:pt>
                <c:pt idx="25">
                  <c:v>118.18639315583887</c:v>
                </c:pt>
                <c:pt idx="26">
                  <c:v>119.30384871504955</c:v>
                </c:pt>
                <c:pt idx="27">
                  <c:v>110.97587100606583</c:v>
                </c:pt>
                <c:pt idx="28">
                  <c:v>121.52743132637211</c:v>
                </c:pt>
                <c:pt idx="29">
                  <c:v>128.45771816271949</c:v>
                </c:pt>
                <c:pt idx="30">
                  <c:v>126.05055564148762</c:v>
                </c:pt>
                <c:pt idx="31">
                  <c:v>129.82607110671526</c:v>
                </c:pt>
                <c:pt idx="32">
                  <c:v>131.7145913349992</c:v>
                </c:pt>
                <c:pt idx="33">
                  <c:v>134.47961849073786</c:v>
                </c:pt>
                <c:pt idx="34">
                  <c:v>138.00191277485249</c:v>
                </c:pt>
                <c:pt idx="35">
                  <c:v>143.21869029386582</c:v>
                </c:pt>
                <c:pt idx="36">
                  <c:v>142.53179062304611</c:v>
                </c:pt>
                <c:pt idx="37">
                  <c:v>141.7806960786663</c:v>
                </c:pt>
                <c:pt idx="38">
                  <c:v>113.19640363470793</c:v>
                </c:pt>
                <c:pt idx="39">
                  <c:v>118.26997720501041</c:v>
                </c:pt>
                <c:pt idx="40">
                  <c:v>138.80158918621379</c:v>
                </c:pt>
                <c:pt idx="41">
                  <c:v>141.22443733265945</c:v>
                </c:pt>
                <c:pt idx="42">
                  <c:v>149.95842583132</c:v>
                </c:pt>
                <c:pt idx="43">
                  <c:v>156.10493973742555</c:v>
                </c:pt>
                <c:pt idx="44">
                  <c:v>165.42895464748372</c:v>
                </c:pt>
                <c:pt idx="45">
                  <c:v>168.51059905290776</c:v>
                </c:pt>
                <c:pt idx="46">
                  <c:v>169.67845194498122</c:v>
                </c:pt>
                <c:pt idx="47">
                  <c:v>171.32987232917736</c:v>
                </c:pt>
                <c:pt idx="48">
                  <c:v>170.37653488562927</c:v>
                </c:pt>
                <c:pt idx="49">
                  <c:v>164.61344737363811</c:v>
                </c:pt>
                <c:pt idx="50">
                  <c:v>152.12413139034913</c:v>
                </c:pt>
                <c:pt idx="51">
                  <c:v>177.6867624215991</c:v>
                </c:pt>
                <c:pt idx="52">
                  <c:v>191.30631484390264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C-48A5-81D3-CC4408E528E7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Assumptions'!$U$15:$U$67</c:f>
              <c:numCache>
                <c:formatCode>mmm\-yy</c:formatCode>
                <c:ptCount val="5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</c:numCache>
            </c:numRef>
          </c:cat>
          <c:val>
            <c:numRef>
              <c:f>'Bull Assumptions'!$Y$15:$Y$67</c:f>
              <c:numCache>
                <c:formatCode>0.00</c:formatCode>
                <c:ptCount val="53"/>
                <c:pt idx="0" formatCode="0">
                  <c:v>100</c:v>
                </c:pt>
                <c:pt idx="1">
                  <c:v>98.080025986689307</c:v>
                </c:pt>
                <c:pt idx="2">
                  <c:v>100.39098102919843</c:v>
                </c:pt>
                <c:pt idx="3">
                  <c:v>97.367724612510642</c:v>
                </c:pt>
                <c:pt idx="4">
                  <c:v>95.644378607402572</c:v>
                </c:pt>
                <c:pt idx="5">
                  <c:v>89.551732489149884</c:v>
                </c:pt>
                <c:pt idx="6">
                  <c:v>94.585127285534213</c:v>
                </c:pt>
                <c:pt idx="7">
                  <c:v>90.188671312440121</c:v>
                </c:pt>
                <c:pt idx="8">
                  <c:v>88.760267319635972</c:v>
                </c:pt>
                <c:pt idx="9">
                  <c:v>94.633132395328275</c:v>
                </c:pt>
                <c:pt idx="10">
                  <c:v>99.148780419674651</c:v>
                </c:pt>
                <c:pt idx="11">
                  <c:v>95.6183746397097</c:v>
                </c:pt>
                <c:pt idx="12">
                  <c:v>96.112421228567953</c:v>
                </c:pt>
                <c:pt idx="13">
                  <c:v>94.503890084137083</c:v>
                </c:pt>
                <c:pt idx="14">
                  <c:v>95.820589325356863</c:v>
                </c:pt>
                <c:pt idx="15">
                  <c:v>97.360698069745339</c:v>
                </c:pt>
                <c:pt idx="16">
                  <c:v>95.299905228064574</c:v>
                </c:pt>
                <c:pt idx="17">
                  <c:v>97.125913630542655</c:v>
                </c:pt>
                <c:pt idx="18">
                  <c:v>100.97954037771125</c:v>
                </c:pt>
                <c:pt idx="19">
                  <c:v>100.32322096720361</c:v>
                </c:pt>
                <c:pt idx="20">
                  <c:v>96.492574470554317</c:v>
                </c:pt>
                <c:pt idx="21">
                  <c:v>98.087426894437996</c:v>
                </c:pt>
                <c:pt idx="22">
                  <c:v>104.37727696702161</c:v>
                </c:pt>
                <c:pt idx="23">
                  <c:v>108.53572320259453</c:v>
                </c:pt>
                <c:pt idx="24">
                  <c:v>109.74489330166013</c:v>
                </c:pt>
                <c:pt idx="25">
                  <c:v>112.56112588252944</c:v>
                </c:pt>
                <c:pt idx="26">
                  <c:v>114.63450314711363</c:v>
                </c:pt>
                <c:pt idx="27">
                  <c:v>109.39060004083458</c:v>
                </c:pt>
                <c:pt idx="28">
                  <c:v>111.40618111144356</c:v>
                </c:pt>
                <c:pt idx="29">
                  <c:v>112.7424049264128</c:v>
                </c:pt>
                <c:pt idx="30">
                  <c:v>116.01723461194334</c:v>
                </c:pt>
                <c:pt idx="31">
                  <c:v>118.57313954281972</c:v>
                </c:pt>
                <c:pt idx="32">
                  <c:v>121.85004263441215</c:v>
                </c:pt>
                <c:pt idx="33">
                  <c:v>121.09898008579869</c:v>
                </c:pt>
                <c:pt idx="34">
                  <c:v>127.56201715916301</c:v>
                </c:pt>
                <c:pt idx="35">
                  <c:v>123.3684094124572</c:v>
                </c:pt>
                <c:pt idx="36">
                  <c:v>127.92987395131009</c:v>
                </c:pt>
                <c:pt idx="37">
                  <c:v>126.25001187888891</c:v>
                </c:pt>
                <c:pt idx="38">
                  <c:v>110.33647636734649</c:v>
                </c:pt>
                <c:pt idx="39">
                  <c:v>112.71907910821655</c:v>
                </c:pt>
                <c:pt idx="40">
                  <c:v>119.8056354600816</c:v>
                </c:pt>
                <c:pt idx="41">
                  <c:v>121.54427283489611</c:v>
                </c:pt>
                <c:pt idx="42">
                  <c:v>129.30543488684242</c:v>
                </c:pt>
                <c:pt idx="43">
                  <c:v>131.15698650011072</c:v>
                </c:pt>
                <c:pt idx="44">
                  <c:v>134.65125166052468</c:v>
                </c:pt>
                <c:pt idx="45">
                  <c:v>135.94378996166213</c:v>
                </c:pt>
                <c:pt idx="46">
                  <c:v>133.17432420641103</c:v>
                </c:pt>
                <c:pt idx="47">
                  <c:v>138.61551765894023</c:v>
                </c:pt>
                <c:pt idx="48">
                  <c:v>141.39105964584496</c:v>
                </c:pt>
                <c:pt idx="49">
                  <c:v>141.04321698165637</c:v>
                </c:pt>
                <c:pt idx="50">
                  <c:v>131.25083692171768</c:v>
                </c:pt>
                <c:pt idx="51">
                  <c:v>142.39527931515397</c:v>
                </c:pt>
                <c:pt idx="52">
                  <c:v>145.65591192862183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2C-48A5-81D3-CC4408E52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9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2E835-AA9D-4737-BF8D-616241CFD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E60686-55B8-4594-86F5-E811AC217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EBE4E2-4574-45BF-8632-605978D19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240DA-E9CD-4B09-9AA0-CB166DE3C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CCA85D-0E2B-4F93-A929-25D7C520E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B09BE5-50A9-4B3A-8610-4A0E22245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9C6B-2BD8-4BC8-996A-B77253DDF346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104</v>
      </c>
    </row>
    <row r="3" spans="2:3" x14ac:dyDescent="0.25">
      <c r="B3" s="63" t="s">
        <v>105</v>
      </c>
      <c r="C3" s="64" t="s">
        <v>126</v>
      </c>
    </row>
    <row r="4" spans="2:3" x14ac:dyDescent="0.25">
      <c r="B4" s="65" t="s">
        <v>106</v>
      </c>
      <c r="C4" s="66">
        <v>1.1200000000000001</v>
      </c>
    </row>
    <row r="5" spans="2:3" x14ac:dyDescent="0.25">
      <c r="B5" s="65" t="s">
        <v>33</v>
      </c>
      <c r="C5" s="67">
        <v>87489500000</v>
      </c>
    </row>
    <row r="6" spans="2:3" x14ac:dyDescent="0.25">
      <c r="B6" s="65" t="s">
        <v>107</v>
      </c>
      <c r="C6" s="67">
        <v>22460000000</v>
      </c>
    </row>
    <row r="7" spans="2:3" x14ac:dyDescent="0.25">
      <c r="B7" s="65" t="s">
        <v>108</v>
      </c>
      <c r="C7" s="67">
        <v>783000000</v>
      </c>
    </row>
    <row r="8" spans="2:3" x14ac:dyDescent="0.25">
      <c r="B8" s="65" t="s">
        <v>109</v>
      </c>
      <c r="C8" s="68">
        <v>0.25</v>
      </c>
    </row>
    <row r="9" spans="2:3" x14ac:dyDescent="0.25">
      <c r="B9" s="42" t="s">
        <v>110</v>
      </c>
      <c r="C9" s="69">
        <v>4.48E-2</v>
      </c>
    </row>
    <row r="11" spans="2:3" x14ac:dyDescent="0.25">
      <c r="B11" s="3" t="s">
        <v>111</v>
      </c>
    </row>
    <row r="12" spans="2:3" x14ac:dyDescent="0.25">
      <c r="B12" t="s">
        <v>112</v>
      </c>
      <c r="C12" s="70">
        <f>C5+C6</f>
        <v>109949500000</v>
      </c>
    </row>
    <row r="13" spans="2:3" x14ac:dyDescent="0.25">
      <c r="B13" t="s">
        <v>113</v>
      </c>
      <c r="C13" s="71">
        <f>C5/C12</f>
        <v>0.79572440074761597</v>
      </c>
    </row>
    <row r="14" spans="2:3" x14ac:dyDescent="0.25">
      <c r="B14" t="s">
        <v>114</v>
      </c>
      <c r="C14" s="71">
        <f>C6/C12</f>
        <v>0.20427559925238406</v>
      </c>
    </row>
    <row r="16" spans="2:3" ht="18" x14ac:dyDescent="0.35">
      <c r="B16" s="3" t="s">
        <v>115</v>
      </c>
    </row>
    <row r="17" spans="2:3" x14ac:dyDescent="0.25">
      <c r="B17" t="s">
        <v>116</v>
      </c>
      <c r="C17" t="s">
        <v>117</v>
      </c>
    </row>
    <row r="18" spans="2:3" x14ac:dyDescent="0.25">
      <c r="B18" t="s">
        <v>118</v>
      </c>
      <c r="C18" s="21">
        <f>9%-C9</f>
        <v>4.5199999999999997E-2</v>
      </c>
    </row>
    <row r="19" spans="2:3" x14ac:dyDescent="0.25">
      <c r="B19" t="s">
        <v>119</v>
      </c>
      <c r="C19" s="21">
        <f>C9+(1.12*C18)</f>
        <v>9.5424000000000009E-2</v>
      </c>
    </row>
    <row r="21" spans="2:3" ht="18" x14ac:dyDescent="0.35">
      <c r="B21" s="3" t="s">
        <v>120</v>
      </c>
    </row>
    <row r="22" spans="2:3" x14ac:dyDescent="0.25">
      <c r="B22" t="s">
        <v>121</v>
      </c>
      <c r="C22" s="71">
        <f>C7/C6</f>
        <v>3.4861976847729299E-2</v>
      </c>
    </row>
    <row r="23" spans="2:3" x14ac:dyDescent="0.25">
      <c r="B23" t="s">
        <v>122</v>
      </c>
      <c r="C23" t="s">
        <v>123</v>
      </c>
    </row>
    <row r="24" spans="2:3" x14ac:dyDescent="0.25">
      <c r="B24" t="s">
        <v>119</v>
      </c>
      <c r="C24" s="71">
        <f>C22*(1-C8)</f>
        <v>2.6146482635796976E-2</v>
      </c>
    </row>
    <row r="26" spans="2:3" x14ac:dyDescent="0.25">
      <c r="B26" s="3" t="s">
        <v>124</v>
      </c>
    </row>
    <row r="27" spans="2:3" ht="18" x14ac:dyDescent="0.35">
      <c r="B27" t="s">
        <v>116</v>
      </c>
      <c r="C27" t="s">
        <v>125</v>
      </c>
    </row>
    <row r="28" spans="2:3" x14ac:dyDescent="0.25">
      <c r="B28" t="s">
        <v>119</v>
      </c>
      <c r="C28" s="21">
        <f>(C13*C19)+(C14*C24)</f>
        <v>8.1272293625709993E-2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9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0.25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f>'WACC Input'!C28</f>
        <v>8.1272293625709993E-2</v>
      </c>
      <c r="C7" s="41"/>
      <c r="P7">
        <v>2026</v>
      </c>
      <c r="Q7" s="26">
        <f>D28</f>
        <v>2297700000</v>
      </c>
      <c r="R7" s="26"/>
      <c r="S7" t="s">
        <v>41</v>
      </c>
      <c r="T7" s="16">
        <f>B40</f>
        <v>285.66666399448252</v>
      </c>
    </row>
    <row r="8" spans="1:26" x14ac:dyDescent="0.25">
      <c r="A8" s="40" t="s">
        <v>4</v>
      </c>
      <c r="B8" s="32">
        <v>0.03</v>
      </c>
      <c r="C8" s="41"/>
      <c r="P8">
        <v>2027</v>
      </c>
      <c r="Q8" s="26">
        <f>E28</f>
        <v>2872125000</v>
      </c>
      <c r="R8" s="26"/>
      <c r="S8" t="s">
        <v>55</v>
      </c>
      <c r="T8" s="16">
        <v>40.67</v>
      </c>
    </row>
    <row r="9" spans="1:26" x14ac:dyDescent="0.25">
      <c r="A9" s="40" t="s">
        <v>5</v>
      </c>
      <c r="B9" s="33" t="s">
        <v>91</v>
      </c>
      <c r="C9" s="41"/>
      <c r="P9">
        <v>2028</v>
      </c>
      <c r="Q9" s="26">
        <f>F28</f>
        <v>3302943750</v>
      </c>
      <c r="R9" s="26"/>
      <c r="S9" t="s">
        <v>8</v>
      </c>
      <c r="T9" s="16">
        <f>B12</f>
        <v>245</v>
      </c>
    </row>
    <row r="10" spans="1:26" x14ac:dyDescent="0.25">
      <c r="A10" s="40" t="s">
        <v>6</v>
      </c>
      <c r="B10" s="34">
        <v>46211</v>
      </c>
      <c r="C10" s="41"/>
      <c r="P10">
        <v>2029</v>
      </c>
      <c r="Q10" s="26">
        <f>G28</f>
        <v>4458974062.5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5573717578.125</v>
      </c>
      <c r="R11" s="26"/>
    </row>
    <row r="12" spans="1:26" x14ac:dyDescent="0.25">
      <c r="A12" s="40" t="s">
        <v>8</v>
      </c>
      <c r="B12" s="35">
        <v>245</v>
      </c>
      <c r="C12" s="41" t="s">
        <v>81</v>
      </c>
      <c r="P12">
        <v>2031</v>
      </c>
      <c r="Q12" s="26">
        <f>I28</f>
        <v>7245832851.5625</v>
      </c>
      <c r="R12" s="26"/>
    </row>
    <row r="13" spans="1:26" x14ac:dyDescent="0.25">
      <c r="A13" s="40" t="s">
        <v>9</v>
      </c>
      <c r="B13" s="36">
        <v>357100000</v>
      </c>
      <c r="C13" s="41"/>
    </row>
    <row r="14" spans="1:26" x14ac:dyDescent="0.25">
      <c r="A14" s="40" t="s">
        <v>10</v>
      </c>
      <c r="B14" s="35">
        <v>22460000000</v>
      </c>
      <c r="C14" s="41"/>
      <c r="P14" s="6" t="s">
        <v>16</v>
      </c>
      <c r="Q14" s="6" t="s">
        <v>96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97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864000000</v>
      </c>
      <c r="C15" s="41"/>
      <c r="P15" s="58">
        <v>44562</v>
      </c>
      <c r="Q15" s="6">
        <v>45</v>
      </c>
      <c r="R15" s="6">
        <v>4500.53</v>
      </c>
      <c r="S15" s="6">
        <v>13770.57</v>
      </c>
      <c r="T15" s="6">
        <v>34725.47</v>
      </c>
      <c r="U15" s="58">
        <v>44562</v>
      </c>
      <c r="V15" s="59">
        <f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127</v>
      </c>
      <c r="C16" s="41"/>
      <c r="P16" s="58">
        <v>44593</v>
      </c>
      <c r="Q16" s="6">
        <v>43.91</v>
      </c>
      <c r="R16" s="6">
        <v>4384.6499999999996</v>
      </c>
      <c r="S16" s="6">
        <v>13313.44</v>
      </c>
      <c r="T16" s="6">
        <v>34058.75</v>
      </c>
      <c r="U16" s="58">
        <v>44593</v>
      </c>
      <c r="V16" s="60">
        <f>(Q16/$Q$15)*100</f>
        <v>97.577777777777769</v>
      </c>
      <c r="W16" s="60">
        <f>(R16/$R$15)*100</f>
        <v>97.425192144036359</v>
      </c>
      <c r="X16" s="60">
        <f>(S16/$S$15)*100</f>
        <v>96.680384326865195</v>
      </c>
      <c r="Y16" s="60">
        <f>(T16/$T$15)*100</f>
        <v>98.080025986689307</v>
      </c>
      <c r="Z16" t="s">
        <v>74</v>
      </c>
    </row>
    <row r="17" spans="1:25" x14ac:dyDescent="0.25">
      <c r="A17" s="42" t="s">
        <v>78</v>
      </c>
      <c r="B17" s="43"/>
      <c r="C17" s="44"/>
      <c r="P17" s="58">
        <v>44621</v>
      </c>
      <c r="Q17" s="6">
        <v>58.02</v>
      </c>
      <c r="R17" s="6">
        <v>4543.0600000000004</v>
      </c>
      <c r="S17" s="6">
        <v>14169.3</v>
      </c>
      <c r="T17" s="6">
        <v>34861.24</v>
      </c>
      <c r="U17" s="58">
        <v>44621</v>
      </c>
      <c r="V17" s="60">
        <f t="shared" ref="V17:V69" si="0">(Q17/$Q$15)*100</f>
        <v>128.93333333333334</v>
      </c>
      <c r="W17" s="60">
        <f t="shared" ref="W17:W69" si="1">(R17/$R$15)*100</f>
        <v>100.94499981113336</v>
      </c>
      <c r="X17" s="60">
        <f t="shared" ref="X17:X69" si="2">(S17/$S$15)*100</f>
        <v>102.89552284328099</v>
      </c>
      <c r="Y17" s="60">
        <f t="shared" ref="Y17:Y69" si="3">(T17/$T$15)*100</f>
        <v>100.39098102919843</v>
      </c>
    </row>
    <row r="18" spans="1:25" x14ac:dyDescent="0.25">
      <c r="P18" s="58">
        <v>44652</v>
      </c>
      <c r="Q18" s="6">
        <v>59.21</v>
      </c>
      <c r="R18" s="6">
        <v>4271.78</v>
      </c>
      <c r="S18" s="6">
        <v>12839.29</v>
      </c>
      <c r="T18" s="6">
        <v>33811.4</v>
      </c>
      <c r="U18" s="58">
        <v>44652</v>
      </c>
      <c r="V18" s="60">
        <f t="shared" si="0"/>
        <v>131.57777777777778</v>
      </c>
      <c r="W18" s="60">
        <f t="shared" si="1"/>
        <v>94.917265299864681</v>
      </c>
      <c r="X18" s="60">
        <f t="shared" si="2"/>
        <v>93.237171736536695</v>
      </c>
      <c r="Y18" s="60">
        <f t="shared" si="3"/>
        <v>97.367724612510642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8">
        <v>44682</v>
      </c>
      <c r="Q19" s="6">
        <v>65.17</v>
      </c>
      <c r="R19" s="6">
        <v>4158.24</v>
      </c>
      <c r="S19" s="6">
        <v>11354.62</v>
      </c>
      <c r="T19" s="6">
        <v>33212.959999999999</v>
      </c>
      <c r="U19" s="58">
        <v>44682</v>
      </c>
      <c r="V19" s="60">
        <f t="shared" si="0"/>
        <v>144.82222222222222</v>
      </c>
      <c r="W19" s="60">
        <f t="shared" si="1"/>
        <v>92.394451320177851</v>
      </c>
      <c r="X19" s="60">
        <f t="shared" si="2"/>
        <v>82.45570081703228</v>
      </c>
      <c r="Y19" s="60">
        <f t="shared" si="3"/>
        <v>95.644378607402572</v>
      </c>
    </row>
    <row r="20" spans="1:25" x14ac:dyDescent="0.25">
      <c r="A20" t="s">
        <v>16</v>
      </c>
      <c r="C20" s="7">
        <v>46211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145560249197.96103</v>
      </c>
      <c r="P20" s="58">
        <v>44713</v>
      </c>
      <c r="Q20" s="6">
        <v>59.28</v>
      </c>
      <c r="R20" s="6">
        <v>3911.74</v>
      </c>
      <c r="S20" s="6">
        <v>11127.85</v>
      </c>
      <c r="T20" s="6">
        <v>31097.26</v>
      </c>
      <c r="U20" s="58">
        <v>44713</v>
      </c>
      <c r="V20" s="60">
        <f t="shared" si="0"/>
        <v>131.73333333333335</v>
      </c>
      <c r="W20" s="60">
        <f t="shared" si="1"/>
        <v>86.917318626917279</v>
      </c>
      <c r="X20" s="60">
        <f t="shared" si="2"/>
        <v>80.808928025492051</v>
      </c>
      <c r="Y20" s="60">
        <f t="shared" si="3"/>
        <v>89.551732489149884</v>
      </c>
    </row>
    <row r="21" spans="1:25" x14ac:dyDescent="0.25">
      <c r="A21" t="s">
        <v>18</v>
      </c>
      <c r="B21" t="s">
        <v>90</v>
      </c>
      <c r="D21" s="5">
        <v>25530000000</v>
      </c>
      <c r="E21" s="5">
        <f>D21*1.25</f>
        <v>31912500000</v>
      </c>
      <c r="F21" s="5">
        <f>E21*1.15</f>
        <v>36699375000</v>
      </c>
      <c r="G21" s="5">
        <f>F21*1.35</f>
        <v>49544156250</v>
      </c>
      <c r="H21" s="5">
        <f>G21*1.25</f>
        <v>61930195312.5</v>
      </c>
      <c r="I21" s="5">
        <f>H21*1.3</f>
        <v>80509253906.25</v>
      </c>
      <c r="L21" t="s">
        <v>19</v>
      </c>
      <c r="M21" s="13">
        <f>(I22+I25)*13.5</f>
        <v>266284357294.92188</v>
      </c>
      <c r="P21" s="58">
        <v>44743</v>
      </c>
      <c r="Q21" s="60">
        <v>66.099999999999994</v>
      </c>
      <c r="R21" s="6">
        <v>4130.29</v>
      </c>
      <c r="S21" s="6">
        <v>12390.69</v>
      </c>
      <c r="T21" s="6">
        <v>32845.129999999997</v>
      </c>
      <c r="U21" s="58">
        <v>44743</v>
      </c>
      <c r="V21" s="60">
        <f t="shared" si="0"/>
        <v>146.88888888888886</v>
      </c>
      <c r="W21" s="60">
        <f t="shared" si="1"/>
        <v>91.773413353538373</v>
      </c>
      <c r="X21" s="60">
        <f t="shared" si="2"/>
        <v>89.979499759269231</v>
      </c>
      <c r="Y21" s="60">
        <f t="shared" si="3"/>
        <v>94.585127285534213</v>
      </c>
    </row>
    <row r="22" spans="1:25" x14ac:dyDescent="0.25">
      <c r="A22" t="s">
        <v>77</v>
      </c>
      <c r="B22" t="s">
        <v>92</v>
      </c>
      <c r="C22" s="62">
        <v>0.2</v>
      </c>
      <c r="D22" s="5">
        <f>D21*$C$22</f>
        <v>5106000000</v>
      </c>
      <c r="E22" s="5">
        <f t="shared" ref="E22:I22" si="4">E21*$C$22</f>
        <v>6382500000</v>
      </c>
      <c r="F22" s="5">
        <f t="shared" si="4"/>
        <v>7339875000</v>
      </c>
      <c r="G22" s="5">
        <f t="shared" si="4"/>
        <v>9908831250</v>
      </c>
      <c r="H22" s="5">
        <f t="shared" si="4"/>
        <v>12386039062.5</v>
      </c>
      <c r="I22" s="5">
        <f t="shared" si="4"/>
        <v>16101850781.25</v>
      </c>
      <c r="L22" t="s">
        <v>20</v>
      </c>
      <c r="M22" s="13">
        <f>(M20+M21)/2</f>
        <v>205922303246.44147</v>
      </c>
      <c r="P22" s="58">
        <v>44774</v>
      </c>
      <c r="Q22" s="6">
        <v>80.84</v>
      </c>
      <c r="R22" s="6">
        <v>3924.26</v>
      </c>
      <c r="S22" s="6">
        <v>12141.71</v>
      </c>
      <c r="T22" s="6">
        <v>31318.44</v>
      </c>
      <c r="U22" s="58">
        <v>44774</v>
      </c>
      <c r="V22" s="60">
        <f t="shared" si="0"/>
        <v>179.64444444444445</v>
      </c>
      <c r="W22" s="60">
        <f t="shared" si="1"/>
        <v>87.195508084603375</v>
      </c>
      <c r="X22" s="60">
        <f t="shared" si="2"/>
        <v>88.171440978841105</v>
      </c>
      <c r="Y22" s="60">
        <f t="shared" si="3"/>
        <v>90.188671312440121</v>
      </c>
    </row>
    <row r="23" spans="1:25" x14ac:dyDescent="0.25">
      <c r="A23" t="s">
        <v>21</v>
      </c>
      <c r="B23" t="s">
        <v>22</v>
      </c>
      <c r="C23" s="25"/>
      <c r="D23" s="5">
        <f>D22*$B$6</f>
        <v>1276500000</v>
      </c>
      <c r="E23" s="30">
        <f t="shared" ref="E23:I23" si="5">E22*$B$6</f>
        <v>1595625000</v>
      </c>
      <c r="F23" s="5">
        <f t="shared" si="5"/>
        <v>1834968750</v>
      </c>
      <c r="G23" s="30">
        <f t="shared" si="5"/>
        <v>2477207812.5</v>
      </c>
      <c r="H23" s="30">
        <f t="shared" si="5"/>
        <v>3096509765.625</v>
      </c>
      <c r="I23" s="5">
        <f t="shared" si="5"/>
        <v>4025462695.3125</v>
      </c>
      <c r="P23" s="58">
        <v>44805</v>
      </c>
      <c r="Q23" s="6">
        <v>83.85</v>
      </c>
      <c r="R23" s="6">
        <v>3585.62</v>
      </c>
      <c r="S23" s="6">
        <v>10867.93</v>
      </c>
      <c r="T23" s="6">
        <v>30822.42</v>
      </c>
      <c r="U23" s="58">
        <v>44805</v>
      </c>
      <c r="V23" s="60">
        <f t="shared" si="0"/>
        <v>186.33333333333331</v>
      </c>
      <c r="W23" s="60">
        <f t="shared" si="1"/>
        <v>79.671060963930913</v>
      </c>
      <c r="X23" s="60">
        <f t="shared" si="2"/>
        <v>78.921424458101598</v>
      </c>
      <c r="Y23" s="60">
        <f t="shared" si="3"/>
        <v>88.760267319635972</v>
      </c>
    </row>
    <row r="24" spans="1:25" x14ac:dyDescent="0.25">
      <c r="A24" t="s">
        <v>23</v>
      </c>
      <c r="B24" t="s">
        <v>24</v>
      </c>
      <c r="C24" s="25"/>
      <c r="D24" s="5">
        <f>D22*(1-$B$6)</f>
        <v>3829500000</v>
      </c>
      <c r="E24" s="5">
        <f t="shared" ref="E24:I24" si="6">E22*(1-$B$6)</f>
        <v>4786875000</v>
      </c>
      <c r="F24" s="5">
        <f t="shared" si="6"/>
        <v>5504906250</v>
      </c>
      <c r="G24" s="5">
        <f t="shared" si="6"/>
        <v>7431623437.5</v>
      </c>
      <c r="H24" s="5">
        <f t="shared" si="6"/>
        <v>9289529296.875</v>
      </c>
      <c r="I24" s="5">
        <f t="shared" si="6"/>
        <v>12076388085.9375</v>
      </c>
      <c r="P24" s="58">
        <v>44835</v>
      </c>
      <c r="Q24" s="6">
        <v>93.75</v>
      </c>
      <c r="R24" s="6">
        <v>3901.06</v>
      </c>
      <c r="S24" s="6">
        <v>11102.45</v>
      </c>
      <c r="T24" s="6">
        <v>32861.800000000003</v>
      </c>
      <c r="U24" s="58">
        <v>44835</v>
      </c>
      <c r="V24" s="60">
        <f t="shared" si="0"/>
        <v>208.33333333333334</v>
      </c>
      <c r="W24" s="60">
        <f t="shared" si="1"/>
        <v>86.680013242884741</v>
      </c>
      <c r="X24" s="60">
        <f t="shared" si="2"/>
        <v>80.624476691959742</v>
      </c>
      <c r="Y24" s="60">
        <f t="shared" si="3"/>
        <v>94.633132395328275</v>
      </c>
    </row>
    <row r="25" spans="1:25" x14ac:dyDescent="0.25">
      <c r="A25" s="4" t="s">
        <v>25</v>
      </c>
      <c r="B25" s="8" t="s">
        <v>95</v>
      </c>
      <c r="C25" s="47">
        <v>4.4999999999999998E-2</v>
      </c>
      <c r="D25" s="12">
        <f>D21*$C$25</f>
        <v>1148850000</v>
      </c>
      <c r="E25" s="12">
        <f t="shared" ref="E25:I25" si="7">E21*$C$25</f>
        <v>1436062500</v>
      </c>
      <c r="F25" s="12">
        <f t="shared" si="7"/>
        <v>1651471875</v>
      </c>
      <c r="G25" s="12">
        <f t="shared" si="7"/>
        <v>2229487031.25</v>
      </c>
      <c r="H25" s="12">
        <f t="shared" si="7"/>
        <v>2786858789.0625</v>
      </c>
      <c r="I25" s="12">
        <f t="shared" si="7"/>
        <v>3622916425.78125</v>
      </c>
      <c r="P25" s="58">
        <v>44866</v>
      </c>
      <c r="Q25" s="6">
        <v>97.16</v>
      </c>
      <c r="R25" s="6">
        <v>4026.12</v>
      </c>
      <c r="S25" s="6">
        <v>11226.36</v>
      </c>
      <c r="T25" s="6">
        <v>34429.879999999997</v>
      </c>
      <c r="U25" s="58">
        <v>44866</v>
      </c>
      <c r="V25" s="60">
        <f t="shared" si="0"/>
        <v>215.91111111111113</v>
      </c>
      <c r="W25" s="60">
        <f t="shared" si="1"/>
        <v>89.458797075011162</v>
      </c>
      <c r="X25" s="60">
        <f t="shared" si="2"/>
        <v>81.524294201329354</v>
      </c>
      <c r="Y25" s="60">
        <f t="shared" si="3"/>
        <v>99.148780419674651</v>
      </c>
    </row>
    <row r="26" spans="1:25" x14ac:dyDescent="0.25">
      <c r="A26" t="s">
        <v>26</v>
      </c>
      <c r="B26" t="s">
        <v>93</v>
      </c>
      <c r="C26" s="62">
        <v>0.1</v>
      </c>
      <c r="D26" s="10">
        <f>D21*$C$26</f>
        <v>2553000000</v>
      </c>
      <c r="E26" s="10">
        <f t="shared" ref="E26:I26" si="8">E21*$C$26</f>
        <v>3191250000</v>
      </c>
      <c r="F26" s="10">
        <f t="shared" si="8"/>
        <v>3669937500</v>
      </c>
      <c r="G26" s="10">
        <f t="shared" si="8"/>
        <v>4954415625</v>
      </c>
      <c r="H26" s="10">
        <f t="shared" si="8"/>
        <v>6193019531.25</v>
      </c>
      <c r="I26" s="10">
        <f t="shared" si="8"/>
        <v>8050925390.625</v>
      </c>
      <c r="P26" s="58">
        <v>44896</v>
      </c>
      <c r="Q26" s="6">
        <v>86.21</v>
      </c>
      <c r="R26" s="6">
        <v>3839.5</v>
      </c>
      <c r="S26" s="6">
        <v>10466.48</v>
      </c>
      <c r="T26" s="6">
        <v>33203.93</v>
      </c>
      <c r="U26" s="58">
        <v>44896</v>
      </c>
      <c r="V26" s="60">
        <f t="shared" si="0"/>
        <v>191.57777777777775</v>
      </c>
      <c r="W26" s="60">
        <f t="shared" si="1"/>
        <v>85.312174343910613</v>
      </c>
      <c r="X26" s="60">
        <f t="shared" si="2"/>
        <v>76.006149346032885</v>
      </c>
      <c r="Y26" s="60">
        <f t="shared" si="3"/>
        <v>95.6183746397097</v>
      </c>
    </row>
    <row r="27" spans="1:25" x14ac:dyDescent="0.25">
      <c r="A27" t="s">
        <v>27</v>
      </c>
      <c r="B27" t="s">
        <v>85</v>
      </c>
      <c r="C27" s="47">
        <v>5.0000000000000001E-3</v>
      </c>
      <c r="D27" s="10">
        <f>D21*$C$27</f>
        <v>127650000</v>
      </c>
      <c r="E27" s="10">
        <f t="shared" ref="E27:I27" si="9">E21*$C$27</f>
        <v>159562500</v>
      </c>
      <c r="F27" s="10">
        <f t="shared" si="9"/>
        <v>183496875</v>
      </c>
      <c r="G27" s="10">
        <f t="shared" si="9"/>
        <v>247720781.25</v>
      </c>
      <c r="H27" s="10">
        <f t="shared" si="9"/>
        <v>309650976.5625</v>
      </c>
      <c r="I27" s="10">
        <f t="shared" si="9"/>
        <v>402546269.53125</v>
      </c>
      <c r="P27" s="58">
        <v>44927</v>
      </c>
      <c r="Q27" s="6">
        <v>86.58</v>
      </c>
      <c r="R27" s="6">
        <v>4070.56</v>
      </c>
      <c r="S27" s="6">
        <v>11140.43</v>
      </c>
      <c r="T27" s="6">
        <v>33375.49</v>
      </c>
      <c r="U27" s="58">
        <v>44927</v>
      </c>
      <c r="V27" s="60">
        <f t="shared" si="0"/>
        <v>192.4</v>
      </c>
      <c r="W27" s="60">
        <f t="shared" si="1"/>
        <v>90.446236332165327</v>
      </c>
      <c r="X27" s="60">
        <f t="shared" si="2"/>
        <v>80.900282268635209</v>
      </c>
      <c r="Y27" s="60">
        <f t="shared" si="3"/>
        <v>96.112421228567953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2297700000</v>
      </c>
      <c r="E28" s="12">
        <f t="shared" ref="E28:I28" si="10">E24+E25-E26-E27</f>
        <v>2872125000</v>
      </c>
      <c r="F28" s="12">
        <f t="shared" si="10"/>
        <v>3302943750</v>
      </c>
      <c r="G28" s="12">
        <f t="shared" si="10"/>
        <v>4458974062.5</v>
      </c>
      <c r="H28" s="12">
        <f t="shared" si="10"/>
        <v>5573717578.125</v>
      </c>
      <c r="I28" s="12">
        <f t="shared" si="10"/>
        <v>7245832851.5625</v>
      </c>
      <c r="P28" s="58">
        <v>44958</v>
      </c>
      <c r="Q28" s="6">
        <v>79.27</v>
      </c>
      <c r="R28" s="6">
        <v>4045.64</v>
      </c>
      <c r="S28" s="6">
        <v>11689.01</v>
      </c>
      <c r="T28" s="6">
        <v>32816.92</v>
      </c>
      <c r="U28" s="58">
        <v>44958</v>
      </c>
      <c r="V28" s="60">
        <f t="shared" si="0"/>
        <v>176.15555555555557</v>
      </c>
      <c r="W28" s="60">
        <f t="shared" si="1"/>
        <v>89.892523769422723</v>
      </c>
      <c r="X28" s="60">
        <f t="shared" si="2"/>
        <v>84.883995361121592</v>
      </c>
      <c r="Y28" s="60">
        <f t="shared" si="3"/>
        <v>94.503890084137083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8">
        <v>44986</v>
      </c>
      <c r="Q29" s="6">
        <v>76.77</v>
      </c>
      <c r="R29" s="6">
        <v>3970.99</v>
      </c>
      <c r="S29" s="6">
        <v>11823.96</v>
      </c>
      <c r="T29" s="6">
        <v>33274.15</v>
      </c>
      <c r="U29" s="58">
        <v>44986</v>
      </c>
      <c r="V29" s="60">
        <f t="shared" si="0"/>
        <v>170.6</v>
      </c>
      <c r="W29" s="60">
        <f t="shared" si="1"/>
        <v>88.233830237771997</v>
      </c>
      <c r="X29" s="60">
        <f t="shared" si="2"/>
        <v>85.863983843806025</v>
      </c>
      <c r="Y29" s="60">
        <f t="shared" si="3"/>
        <v>95.820589325356863</v>
      </c>
    </row>
    <row r="30" spans="1:25" x14ac:dyDescent="0.25">
      <c r="A30" t="s">
        <v>36</v>
      </c>
      <c r="C30" s="13">
        <f>-G39</f>
        <v>-109085500000</v>
      </c>
      <c r="D30" s="5">
        <f>D28</f>
        <v>2297700000</v>
      </c>
      <c r="E30" s="5">
        <f t="shared" ref="E30:I30" si="11">E28</f>
        <v>2872125000</v>
      </c>
      <c r="F30" s="5">
        <f t="shared" si="11"/>
        <v>3302943750</v>
      </c>
      <c r="G30" s="5">
        <f t="shared" si="11"/>
        <v>4458974062.5</v>
      </c>
      <c r="H30" s="5">
        <f t="shared" si="11"/>
        <v>5573717578.125</v>
      </c>
      <c r="I30" s="5">
        <f t="shared" si="11"/>
        <v>7245832851.5625</v>
      </c>
      <c r="J30" s="13">
        <f>I28+M22</f>
        <v>213168136098.00397</v>
      </c>
      <c r="K30" t="s">
        <v>38</v>
      </c>
      <c r="P30" s="58">
        <v>45017</v>
      </c>
      <c r="Q30" s="6">
        <v>77.400000000000006</v>
      </c>
      <c r="R30" s="6">
        <v>4133.5200000000004</v>
      </c>
      <c r="S30" s="6">
        <v>12072.46</v>
      </c>
      <c r="T30" s="6">
        <v>33808.959999999999</v>
      </c>
      <c r="U30" s="58">
        <v>45017</v>
      </c>
      <c r="V30" s="60">
        <f t="shared" si="0"/>
        <v>172.00000000000003</v>
      </c>
      <c r="W30" s="60">
        <f t="shared" si="1"/>
        <v>91.845182678484548</v>
      </c>
      <c r="X30" s="60">
        <f t="shared" si="2"/>
        <v>87.668556929742195</v>
      </c>
      <c r="Y30" s="60">
        <f t="shared" si="3"/>
        <v>97.360698069745339</v>
      </c>
    </row>
    <row r="31" spans="1:25" x14ac:dyDescent="0.25">
      <c r="A31" t="s">
        <v>37</v>
      </c>
      <c r="D31" s="6">
        <f>1/(1+$B$7)^D29</f>
        <v>0.96168415953403408</v>
      </c>
      <c r="E31" s="6">
        <f t="shared" ref="E31:I31" si="12">1/(1+$B$7)^E29</f>
        <v>0.88940053786944417</v>
      </c>
      <c r="F31" s="6">
        <f t="shared" si="12"/>
        <v>0.82255001178945997</v>
      </c>
      <c r="G31" s="6">
        <f t="shared" si="12"/>
        <v>0.76072421039412252</v>
      </c>
      <c r="H31" s="6">
        <f t="shared" si="12"/>
        <v>0.70354545740117946</v>
      </c>
      <c r="I31" s="6">
        <f t="shared" si="12"/>
        <v>0.67658852189484098</v>
      </c>
      <c r="J31" t="s">
        <v>39</v>
      </c>
      <c r="P31" s="58">
        <v>45047</v>
      </c>
      <c r="Q31" s="6">
        <v>83.85</v>
      </c>
      <c r="R31" s="6">
        <v>4282.37</v>
      </c>
      <c r="S31" s="6">
        <v>13240.77</v>
      </c>
      <c r="T31" s="6">
        <v>33093.339999999997</v>
      </c>
      <c r="U31" s="58">
        <v>45047</v>
      </c>
      <c r="V31" s="60">
        <f t="shared" si="0"/>
        <v>186.33333333333331</v>
      </c>
      <c r="W31" s="60">
        <f t="shared" si="1"/>
        <v>95.152570919425045</v>
      </c>
      <c r="X31" s="60">
        <f t="shared" si="2"/>
        <v>96.152664704511153</v>
      </c>
      <c r="Y31" s="60">
        <f t="shared" si="3"/>
        <v>95.299905228064574</v>
      </c>
    </row>
    <row r="32" spans="1:25" x14ac:dyDescent="0.25">
      <c r="A32" t="s">
        <v>40</v>
      </c>
      <c r="C32" s="13">
        <f>-G39</f>
        <v>-109085500000</v>
      </c>
      <c r="D32" s="5">
        <f>D30*D31</f>
        <v>2209661693.3613501</v>
      </c>
      <c r="E32" s="5">
        <f t="shared" ref="E32:I32" si="13">E30*E31</f>
        <v>2554469519.8282771</v>
      </c>
      <c r="F32" s="5">
        <f t="shared" si="13"/>
        <v>2716836420.5024233</v>
      </c>
      <c r="G32" s="5">
        <f t="shared" si="13"/>
        <v>3392049522.8631854</v>
      </c>
      <c r="H32" s="5">
        <f t="shared" si="13"/>
        <v>3921363682.9269476</v>
      </c>
      <c r="I32" s="5">
        <f t="shared" si="13"/>
        <v>4902447338.9357529</v>
      </c>
      <c r="J32" s="14">
        <f>M22</f>
        <v>205922303246.44147</v>
      </c>
      <c r="P32" s="58">
        <v>45078</v>
      </c>
      <c r="Q32" s="6">
        <v>90.36</v>
      </c>
      <c r="R32" s="6">
        <v>4450.38</v>
      </c>
      <c r="S32" s="6">
        <v>13492.52</v>
      </c>
      <c r="T32" s="6">
        <v>33727.43</v>
      </c>
      <c r="U32" s="58">
        <v>45078</v>
      </c>
      <c r="V32" s="60">
        <f t="shared" si="0"/>
        <v>200.8</v>
      </c>
      <c r="W32" s="60">
        <f t="shared" si="1"/>
        <v>98.885686796888379</v>
      </c>
      <c r="X32" s="60">
        <f t="shared" si="2"/>
        <v>97.980838846903211</v>
      </c>
      <c r="Y32" s="60">
        <f t="shared" si="3"/>
        <v>97.125913630542655</v>
      </c>
    </row>
    <row r="33" spans="1:25" x14ac:dyDescent="0.25">
      <c r="A33" t="s">
        <v>56</v>
      </c>
      <c r="C33" s="29">
        <v>-109086</v>
      </c>
      <c r="D33" s="46">
        <v>2210</v>
      </c>
      <c r="E33" s="24">
        <v>2554</v>
      </c>
      <c r="F33" s="24">
        <v>2717</v>
      </c>
      <c r="G33" s="24">
        <v>3392</v>
      </c>
      <c r="H33" s="24">
        <v>3921</v>
      </c>
      <c r="I33" s="24">
        <v>4902</v>
      </c>
      <c r="J33" s="24">
        <v>205922</v>
      </c>
      <c r="P33" s="58">
        <v>45108</v>
      </c>
      <c r="Q33" s="6">
        <v>95.74</v>
      </c>
      <c r="R33" s="6">
        <v>4582.2299999999996</v>
      </c>
      <c r="S33" s="6">
        <v>14032.81</v>
      </c>
      <c r="T33" s="6">
        <v>35065.620000000003</v>
      </c>
      <c r="U33" s="58">
        <v>45108</v>
      </c>
      <c r="V33" s="60">
        <f t="shared" si="0"/>
        <v>212.75555555555553</v>
      </c>
      <c r="W33" s="60">
        <f t="shared" si="1"/>
        <v>101.81534174863849</v>
      </c>
      <c r="X33" s="60">
        <f t="shared" si="2"/>
        <v>101.9043510907682</v>
      </c>
      <c r="Y33" s="60">
        <f t="shared" si="3"/>
        <v>100.97954037771125</v>
      </c>
    </row>
    <row r="34" spans="1:25" x14ac:dyDescent="0.25">
      <c r="P34" s="58">
        <v>45139</v>
      </c>
      <c r="Q34" s="6">
        <v>105.87</v>
      </c>
      <c r="R34" s="6">
        <v>4515.7700000000004</v>
      </c>
      <c r="S34" s="6">
        <v>13590.65</v>
      </c>
      <c r="T34" s="6">
        <v>34837.71</v>
      </c>
      <c r="U34" s="58">
        <v>45139</v>
      </c>
      <c r="V34" s="60">
        <f t="shared" si="0"/>
        <v>235.26666666666668</v>
      </c>
      <c r="W34" s="60">
        <f t="shared" si="1"/>
        <v>100.33862678395657</v>
      </c>
      <c r="X34" s="60">
        <f t="shared" si="2"/>
        <v>98.693445514601066</v>
      </c>
      <c r="Y34" s="60">
        <f t="shared" si="3"/>
        <v>100.32322096720361</v>
      </c>
    </row>
    <row r="35" spans="1:25" x14ac:dyDescent="0.25">
      <c r="A35" s="3" t="s">
        <v>41</v>
      </c>
      <c r="F35" s="3" t="s">
        <v>31</v>
      </c>
      <c r="P35" s="58">
        <v>45170</v>
      </c>
      <c r="Q35" s="6">
        <v>110.36</v>
      </c>
      <c r="R35" s="6">
        <v>4320.0600000000004</v>
      </c>
      <c r="S35" s="6">
        <v>13211.81</v>
      </c>
      <c r="T35" s="6">
        <v>33507.5</v>
      </c>
      <c r="U35" s="58">
        <v>45170</v>
      </c>
      <c r="V35" s="60">
        <f t="shared" si="0"/>
        <v>245.24444444444447</v>
      </c>
      <c r="W35" s="60">
        <f t="shared" si="1"/>
        <v>95.990027841165386</v>
      </c>
      <c r="X35" s="60">
        <f t="shared" si="2"/>
        <v>95.942361136830215</v>
      </c>
      <c r="Y35" s="60">
        <f t="shared" si="3"/>
        <v>96.492574470554317</v>
      </c>
    </row>
    <row r="36" spans="1:25" x14ac:dyDescent="0.25">
      <c r="A36" s="13" t="s">
        <v>42</v>
      </c>
      <c r="B36" s="17">
        <f>SUM(D32:I32)</f>
        <v>19696828178.417934</v>
      </c>
      <c r="C36" t="s">
        <v>45</v>
      </c>
      <c r="F36" t="s">
        <v>33</v>
      </c>
      <c r="G36" s="15">
        <f>B13*B12</f>
        <v>87489500000</v>
      </c>
      <c r="H36" t="s">
        <v>34</v>
      </c>
      <c r="L36" s="3" t="s">
        <v>51</v>
      </c>
      <c r="P36" s="58">
        <v>45200</v>
      </c>
      <c r="Q36" s="6">
        <v>112.1</v>
      </c>
      <c r="R36" s="6">
        <v>4117.37</v>
      </c>
      <c r="S36" s="6">
        <v>12643.01</v>
      </c>
      <c r="T36" s="6">
        <v>34061.32</v>
      </c>
      <c r="U36" s="58">
        <v>45200</v>
      </c>
      <c r="V36" s="60">
        <f t="shared" si="0"/>
        <v>249.11111111111111</v>
      </c>
      <c r="W36" s="60">
        <f t="shared" si="1"/>
        <v>91.486336053753675</v>
      </c>
      <c r="X36" s="60">
        <f t="shared" si="2"/>
        <v>91.811813163870497</v>
      </c>
      <c r="Y36" s="60">
        <f t="shared" si="3"/>
        <v>98.087426894437996</v>
      </c>
    </row>
    <row r="37" spans="1:25" x14ac:dyDescent="0.25">
      <c r="A37" t="s">
        <v>11</v>
      </c>
      <c r="B37" s="19">
        <f>B15</f>
        <v>864000000</v>
      </c>
      <c r="F37" t="s">
        <v>10</v>
      </c>
      <c r="G37" s="14">
        <f>B14</f>
        <v>22460000000</v>
      </c>
      <c r="L37" t="s">
        <v>52</v>
      </c>
      <c r="M37" s="21">
        <f>(B40/B12)-1</f>
        <v>0.16598638365094898</v>
      </c>
      <c r="P37" s="58">
        <v>45231</v>
      </c>
      <c r="Q37" s="6">
        <v>119.88</v>
      </c>
      <c r="R37" s="6">
        <v>4559.34</v>
      </c>
      <c r="S37" s="6">
        <v>14250.85</v>
      </c>
      <c r="T37" s="6">
        <v>36245.5</v>
      </c>
      <c r="U37" s="58">
        <v>45231</v>
      </c>
      <c r="V37" s="60">
        <f t="shared" si="0"/>
        <v>266.39999999999998</v>
      </c>
      <c r="W37" s="60">
        <f t="shared" si="1"/>
        <v>101.30673498454628</v>
      </c>
      <c r="X37" s="60">
        <f t="shared" si="2"/>
        <v>103.48772781373611</v>
      </c>
      <c r="Y37" s="60">
        <f t="shared" si="3"/>
        <v>104.37727696702161</v>
      </c>
    </row>
    <row r="38" spans="1:25" x14ac:dyDescent="0.25">
      <c r="A38" t="s">
        <v>10</v>
      </c>
      <c r="B38" s="19">
        <f>B14</f>
        <v>22460000000</v>
      </c>
      <c r="C38" s="3"/>
      <c r="F38" t="s">
        <v>11</v>
      </c>
      <c r="G38" s="14">
        <f>B15</f>
        <v>864000000</v>
      </c>
      <c r="L38" t="s">
        <v>53</v>
      </c>
      <c r="M38" s="23">
        <f>IRR(C33:J33)</f>
        <v>0.11506747345838941</v>
      </c>
      <c r="N38" t="s">
        <v>57</v>
      </c>
      <c r="P38" s="58">
        <v>45261</v>
      </c>
      <c r="Q38" s="6">
        <v>116.89</v>
      </c>
      <c r="R38" s="6">
        <v>4769.83</v>
      </c>
      <c r="S38" s="6">
        <v>14992.97</v>
      </c>
      <c r="T38" s="6">
        <v>37689.54</v>
      </c>
      <c r="U38" s="58">
        <v>45261</v>
      </c>
      <c r="V38" s="60">
        <f t="shared" si="0"/>
        <v>259.75555555555559</v>
      </c>
      <c r="W38" s="60">
        <f t="shared" si="1"/>
        <v>105.98373969288062</v>
      </c>
      <c r="X38" s="60">
        <f t="shared" si="2"/>
        <v>108.87690197283047</v>
      </c>
      <c r="Y38" s="60">
        <f t="shared" si="3"/>
        <v>108.53572320259453</v>
      </c>
    </row>
    <row r="39" spans="1:25" x14ac:dyDescent="0.25">
      <c r="A39" t="s">
        <v>44</v>
      </c>
      <c r="B39" s="17">
        <f>(((B36+B37)-B38)+(M22))/2</f>
        <v>102011565712.4297</v>
      </c>
      <c r="C39" t="s">
        <v>75</v>
      </c>
      <c r="F39" t="s">
        <v>30</v>
      </c>
      <c r="G39" s="13">
        <f>G36+G37-G38</f>
        <v>109085500000</v>
      </c>
      <c r="H39" t="s">
        <v>32</v>
      </c>
      <c r="P39" s="58">
        <v>45292</v>
      </c>
      <c r="Q39" s="6">
        <v>121.27</v>
      </c>
      <c r="R39" s="6">
        <v>4958.6099999999997</v>
      </c>
      <c r="S39" s="6">
        <v>15628.95</v>
      </c>
      <c r="T39" s="6">
        <v>38109.43</v>
      </c>
      <c r="U39" s="58">
        <v>45292</v>
      </c>
      <c r="V39" s="60">
        <f t="shared" si="0"/>
        <v>269.48888888888888</v>
      </c>
      <c r="W39" s="60">
        <f t="shared" si="1"/>
        <v>110.1783567713136</v>
      </c>
      <c r="X39" s="60">
        <f t="shared" si="2"/>
        <v>113.49530193739257</v>
      </c>
      <c r="Y39" s="60">
        <f t="shared" si="3"/>
        <v>109.74489330166013</v>
      </c>
    </row>
    <row r="40" spans="1:25" x14ac:dyDescent="0.25">
      <c r="A40" t="s">
        <v>72</v>
      </c>
      <c r="B40" s="20">
        <f>B39/B13</f>
        <v>285.66666399448252</v>
      </c>
      <c r="C40" t="s">
        <v>76</v>
      </c>
      <c r="F40" t="s">
        <v>48</v>
      </c>
      <c r="G40" s="16">
        <f>G39/B13</f>
        <v>305.47605712685521</v>
      </c>
      <c r="H40" t="s">
        <v>49</v>
      </c>
      <c r="L40" s="48" t="s">
        <v>84</v>
      </c>
      <c r="M40" s="49"/>
      <c r="P40" s="58">
        <v>45323</v>
      </c>
      <c r="Q40" s="6">
        <v>169.99</v>
      </c>
      <c r="R40" s="6">
        <v>5137.08</v>
      </c>
      <c r="S40" s="6">
        <v>16274.94</v>
      </c>
      <c r="T40" s="6">
        <v>39087.379999999997</v>
      </c>
      <c r="U40" s="58">
        <v>45323</v>
      </c>
      <c r="V40" s="60">
        <f t="shared" si="0"/>
        <v>377.75555555555559</v>
      </c>
      <c r="W40" s="60">
        <f t="shared" si="1"/>
        <v>114.14388971965525</v>
      </c>
      <c r="X40" s="60">
        <f t="shared" si="2"/>
        <v>118.18639315583887</v>
      </c>
      <c r="Y40" s="60">
        <f t="shared" si="3"/>
        <v>112.56112588252944</v>
      </c>
    </row>
    <row r="41" spans="1:25" x14ac:dyDescent="0.25">
      <c r="A41" t="s">
        <v>46</v>
      </c>
      <c r="B41" s="22">
        <f>(B40/B12)-1</f>
        <v>0.16598638365094898</v>
      </c>
      <c r="C41" t="s">
        <v>47</v>
      </c>
      <c r="F41" t="s">
        <v>46</v>
      </c>
      <c r="G41" s="21">
        <f>(G40/B12)-1</f>
        <v>0.24684104949736829</v>
      </c>
      <c r="H41" t="s">
        <v>50</v>
      </c>
      <c r="L41" s="50" t="s">
        <v>41</v>
      </c>
      <c r="M41" s="51">
        <f>B40</f>
        <v>285.66666399448252</v>
      </c>
      <c r="P41" s="58">
        <v>45352</v>
      </c>
      <c r="Q41" s="6">
        <v>178.24</v>
      </c>
      <c r="R41" s="6">
        <v>5234.18</v>
      </c>
      <c r="S41" s="6">
        <v>16428.82</v>
      </c>
      <c r="T41" s="6">
        <v>39807.370000000003</v>
      </c>
      <c r="U41" s="58">
        <v>45352</v>
      </c>
      <c r="V41" s="60">
        <f t="shared" si="0"/>
        <v>396.0888888888889</v>
      </c>
      <c r="W41" s="60">
        <f t="shared" si="1"/>
        <v>116.30141338908975</v>
      </c>
      <c r="X41" s="60">
        <f t="shared" si="2"/>
        <v>119.30384871504955</v>
      </c>
      <c r="Y41" s="60">
        <f t="shared" si="3"/>
        <v>114.63450314711363</v>
      </c>
    </row>
    <row r="42" spans="1:25" x14ac:dyDescent="0.25">
      <c r="L42" s="50" t="s">
        <v>8</v>
      </c>
      <c r="M42" s="55">
        <f>B12</f>
        <v>245</v>
      </c>
      <c r="P42" s="58">
        <v>45383</v>
      </c>
      <c r="Q42" s="6">
        <v>188.37</v>
      </c>
      <c r="R42" s="6">
        <v>4967.2299999999996</v>
      </c>
      <c r="S42" s="6">
        <v>15282.01</v>
      </c>
      <c r="T42" s="6">
        <v>37986.400000000001</v>
      </c>
      <c r="U42" s="58">
        <v>45383</v>
      </c>
      <c r="V42" s="60">
        <f t="shared" si="0"/>
        <v>418.6</v>
      </c>
      <c r="W42" s="60">
        <f t="shared" si="1"/>
        <v>110.36988976853837</v>
      </c>
      <c r="X42" s="60">
        <f t="shared" si="2"/>
        <v>110.97587100606583</v>
      </c>
      <c r="Y42" s="60">
        <f t="shared" si="3"/>
        <v>109.39060004083458</v>
      </c>
    </row>
    <row r="43" spans="1:25" x14ac:dyDescent="0.25">
      <c r="L43" s="50" t="s">
        <v>89</v>
      </c>
      <c r="M43" s="51">
        <f>(B40-B12)</f>
        <v>40.666663994482519</v>
      </c>
      <c r="P43" s="58">
        <v>45413</v>
      </c>
      <c r="Q43" s="6">
        <v>230.63</v>
      </c>
      <c r="R43" s="6">
        <v>5277.51</v>
      </c>
      <c r="S43" s="6">
        <v>16735.02</v>
      </c>
      <c r="T43" s="6">
        <v>38686.32</v>
      </c>
      <c r="U43" s="58">
        <v>45413</v>
      </c>
      <c r="V43" s="60">
        <f t="shared" si="0"/>
        <v>512.51111111111106</v>
      </c>
      <c r="W43" s="60">
        <f t="shared" si="1"/>
        <v>117.26418888442029</v>
      </c>
      <c r="X43" s="60">
        <f t="shared" si="2"/>
        <v>121.52743132637211</v>
      </c>
      <c r="Y43" s="60">
        <f t="shared" si="3"/>
        <v>111.40618111144356</v>
      </c>
    </row>
    <row r="44" spans="1:25" x14ac:dyDescent="0.25">
      <c r="L44" s="50" t="s">
        <v>88</v>
      </c>
      <c r="M44" s="56">
        <f>((B40-B12)/(B12))</f>
        <v>0.16598638365094906</v>
      </c>
      <c r="P44" s="58">
        <v>45444</v>
      </c>
      <c r="Q44" s="6">
        <v>200.27</v>
      </c>
      <c r="R44" s="6">
        <v>5464.62</v>
      </c>
      <c r="S44" s="6">
        <v>17689.36</v>
      </c>
      <c r="T44" s="6">
        <v>39150.33</v>
      </c>
      <c r="U44" s="58">
        <v>45444</v>
      </c>
      <c r="V44" s="60">
        <f t="shared" si="0"/>
        <v>445.04444444444448</v>
      </c>
      <c r="W44" s="60">
        <f t="shared" si="1"/>
        <v>121.42169922209163</v>
      </c>
      <c r="X44" s="60">
        <f t="shared" si="2"/>
        <v>128.45771816271949</v>
      </c>
      <c r="Y44" s="60">
        <f t="shared" si="3"/>
        <v>112.7424049264128</v>
      </c>
    </row>
    <row r="45" spans="1:25" x14ac:dyDescent="0.25">
      <c r="L45" s="50"/>
      <c r="M45" s="52"/>
      <c r="P45" s="58">
        <v>45474</v>
      </c>
      <c r="Q45" s="6">
        <v>175.04</v>
      </c>
      <c r="R45" s="6">
        <v>5459.1</v>
      </c>
      <c r="S45" s="6">
        <v>17357.88</v>
      </c>
      <c r="T45" s="6">
        <v>40287.53</v>
      </c>
      <c r="U45" s="58">
        <v>45474</v>
      </c>
      <c r="V45" s="60">
        <f t="shared" si="0"/>
        <v>388.97777777777776</v>
      </c>
      <c r="W45" s="60">
        <f t="shared" si="1"/>
        <v>121.29904700113099</v>
      </c>
      <c r="X45" s="60">
        <f t="shared" si="2"/>
        <v>126.05055564148762</v>
      </c>
      <c r="Y45" s="60">
        <f t="shared" si="3"/>
        <v>116.01723461194334</v>
      </c>
    </row>
    <row r="46" spans="1:25" x14ac:dyDescent="0.25">
      <c r="L46" s="53" t="s">
        <v>54</v>
      </c>
      <c r="M46" s="52"/>
      <c r="P46" s="58">
        <v>45505</v>
      </c>
      <c r="Q46" s="6">
        <v>194.99</v>
      </c>
      <c r="R46" s="6">
        <v>5648.4</v>
      </c>
      <c r="S46" s="6">
        <v>17877.79</v>
      </c>
      <c r="T46" s="6">
        <v>41175.08</v>
      </c>
      <c r="U46" s="58">
        <v>45505</v>
      </c>
      <c r="V46" s="60">
        <f t="shared" si="0"/>
        <v>433.31111111111113</v>
      </c>
      <c r="W46" s="60">
        <f t="shared" si="1"/>
        <v>125.50521827429213</v>
      </c>
      <c r="X46" s="60">
        <f t="shared" si="2"/>
        <v>129.82607110671526</v>
      </c>
      <c r="Y46" s="60">
        <f t="shared" si="3"/>
        <v>118.57313954281972</v>
      </c>
    </row>
    <row r="47" spans="1:25" x14ac:dyDescent="0.25">
      <c r="L47" s="50" t="s">
        <v>41</v>
      </c>
      <c r="M47" s="51">
        <f>B40</f>
        <v>285.66666399448252</v>
      </c>
      <c r="P47" s="58">
        <v>45536</v>
      </c>
      <c r="Q47" s="6">
        <v>257</v>
      </c>
      <c r="R47" s="6">
        <v>5751.07</v>
      </c>
      <c r="S47" s="6">
        <v>18137.849999999999</v>
      </c>
      <c r="T47" s="6">
        <v>42313</v>
      </c>
      <c r="U47" s="58">
        <v>45536</v>
      </c>
      <c r="V47" s="60">
        <f t="shared" si="0"/>
        <v>571.11111111111109</v>
      </c>
      <c r="W47" s="60">
        <f t="shared" si="1"/>
        <v>127.7865051449496</v>
      </c>
      <c r="X47" s="60">
        <f t="shared" si="2"/>
        <v>131.7145913349992</v>
      </c>
      <c r="Y47" s="60">
        <f t="shared" si="3"/>
        <v>121.85004263441215</v>
      </c>
    </row>
    <row r="48" spans="1:25" x14ac:dyDescent="0.25">
      <c r="L48" s="50" t="s">
        <v>31</v>
      </c>
      <c r="M48" s="51">
        <f>G40</f>
        <v>305.47605712685521</v>
      </c>
      <c r="P48" s="58">
        <v>45566</v>
      </c>
      <c r="Q48" s="6">
        <v>264.41000000000003</v>
      </c>
      <c r="R48" s="6">
        <v>5728.8</v>
      </c>
      <c r="S48" s="6">
        <v>18518.61</v>
      </c>
      <c r="T48" s="6">
        <v>42052.19</v>
      </c>
      <c r="U48" s="58">
        <v>45566</v>
      </c>
      <c r="V48" s="60">
        <f t="shared" si="0"/>
        <v>587.5777777777779</v>
      </c>
      <c r="W48" s="60">
        <f t="shared" si="1"/>
        <v>127.29167453611021</v>
      </c>
      <c r="X48" s="60">
        <f t="shared" si="2"/>
        <v>134.47961849073786</v>
      </c>
      <c r="Y48" s="60">
        <f t="shared" si="3"/>
        <v>121.09898008579869</v>
      </c>
    </row>
    <row r="49" spans="12:25" x14ac:dyDescent="0.25">
      <c r="L49" s="50" t="s">
        <v>89</v>
      </c>
      <c r="M49" s="51">
        <f>-(G40-B40)</f>
        <v>-19.809393132372691</v>
      </c>
      <c r="P49" s="58">
        <v>45597</v>
      </c>
      <c r="Q49" s="6">
        <v>249.89</v>
      </c>
      <c r="R49" s="6">
        <v>5969.34</v>
      </c>
      <c r="S49" s="6">
        <v>19003.650000000001</v>
      </c>
      <c r="T49" s="6">
        <v>44296.51</v>
      </c>
      <c r="U49" s="58">
        <v>45597</v>
      </c>
      <c r="V49" s="60">
        <f t="shared" si="0"/>
        <v>555.31111111111113</v>
      </c>
      <c r="W49" s="60">
        <f t="shared" si="1"/>
        <v>132.63637838210167</v>
      </c>
      <c r="X49" s="60">
        <f t="shared" si="2"/>
        <v>138.00191277485249</v>
      </c>
      <c r="Y49" s="60">
        <f t="shared" si="3"/>
        <v>127.56201715916301</v>
      </c>
    </row>
    <row r="50" spans="12:25" x14ac:dyDescent="0.25">
      <c r="L50" s="54" t="s">
        <v>88</v>
      </c>
      <c r="M50" s="57">
        <f>((B40-G40)/(G40))</f>
        <v>-6.484761299687207E-2</v>
      </c>
      <c r="P50" s="58">
        <v>45627</v>
      </c>
      <c r="Q50" s="6">
        <v>226.54</v>
      </c>
      <c r="R50" s="6">
        <v>5942.47</v>
      </c>
      <c r="S50" s="6">
        <v>19722.03</v>
      </c>
      <c r="T50" s="6">
        <v>42840.26</v>
      </c>
      <c r="U50" s="58">
        <v>45627</v>
      </c>
      <c r="V50" s="60">
        <f t="shared" si="0"/>
        <v>503.42222222222216</v>
      </c>
      <c r="W50" s="60">
        <f t="shared" si="1"/>
        <v>132.03933758912839</v>
      </c>
      <c r="X50" s="60">
        <f t="shared" si="2"/>
        <v>143.21869029386582</v>
      </c>
      <c r="Y50" s="60">
        <f t="shared" si="3"/>
        <v>123.3684094124572</v>
      </c>
    </row>
    <row r="51" spans="12:25" x14ac:dyDescent="0.25">
      <c r="P51" s="58">
        <v>45658</v>
      </c>
      <c r="Q51" s="6">
        <v>299.98</v>
      </c>
      <c r="R51" s="6">
        <v>6040.53</v>
      </c>
      <c r="S51" s="6">
        <v>19627.439999999999</v>
      </c>
      <c r="T51" s="6">
        <v>44424.25</v>
      </c>
      <c r="U51" s="58">
        <v>45658</v>
      </c>
      <c r="V51" s="60">
        <f t="shared" si="0"/>
        <v>666.62222222222226</v>
      </c>
      <c r="W51" s="60">
        <f t="shared" si="1"/>
        <v>134.2181920795995</v>
      </c>
      <c r="X51" s="60">
        <f t="shared" si="2"/>
        <v>142.53179062304611</v>
      </c>
      <c r="Y51" s="60">
        <f t="shared" si="3"/>
        <v>127.92987395131009</v>
      </c>
    </row>
    <row r="52" spans="12:25" x14ac:dyDescent="0.25">
      <c r="P52" s="58">
        <v>45689</v>
      </c>
      <c r="Q52" s="6">
        <v>250.24</v>
      </c>
      <c r="R52" s="6">
        <v>5954.5</v>
      </c>
      <c r="S52" s="6">
        <v>19524.009999999998</v>
      </c>
      <c r="T52" s="6">
        <v>43840.91</v>
      </c>
      <c r="U52" s="58">
        <v>45689</v>
      </c>
      <c r="V52" s="60">
        <f t="shared" si="0"/>
        <v>556.08888888888885</v>
      </c>
      <c r="W52" s="60">
        <f t="shared" si="1"/>
        <v>132.30663944024371</v>
      </c>
      <c r="X52" s="60">
        <f t="shared" si="2"/>
        <v>141.7806960786663</v>
      </c>
      <c r="Y52" s="60">
        <f t="shared" si="3"/>
        <v>126.25001187888891</v>
      </c>
    </row>
    <row r="53" spans="12:25" x14ac:dyDescent="0.25">
      <c r="P53" s="58">
        <v>45717</v>
      </c>
      <c r="Q53" s="6">
        <v>222.48</v>
      </c>
      <c r="R53" s="6">
        <v>5074.08</v>
      </c>
      <c r="S53" s="6">
        <v>15587.79</v>
      </c>
      <c r="T53" s="6">
        <v>38314.86</v>
      </c>
      <c r="U53" s="58">
        <v>45717</v>
      </c>
      <c r="V53" s="60">
        <f t="shared" si="0"/>
        <v>494.4</v>
      </c>
      <c r="W53" s="60">
        <f t="shared" si="1"/>
        <v>112.74405458912618</v>
      </c>
      <c r="X53" s="60">
        <f t="shared" si="2"/>
        <v>113.19640363470793</v>
      </c>
      <c r="Y53" s="60">
        <f t="shared" si="3"/>
        <v>110.33647636734649</v>
      </c>
    </row>
    <row r="54" spans="12:25" x14ac:dyDescent="0.25">
      <c r="P54" s="58">
        <v>45748</v>
      </c>
      <c r="Q54" s="6">
        <v>222.99</v>
      </c>
      <c r="R54" s="6">
        <v>5282.7</v>
      </c>
      <c r="S54" s="6">
        <v>16286.45</v>
      </c>
      <c r="T54" s="6">
        <v>39142.230000000003</v>
      </c>
      <c r="U54" s="58">
        <v>45748</v>
      </c>
      <c r="V54" s="60">
        <f t="shared" si="0"/>
        <v>495.53333333333336</v>
      </c>
      <c r="W54" s="60">
        <f t="shared" si="1"/>
        <v>117.37950863564959</v>
      </c>
      <c r="X54" s="60">
        <f t="shared" si="2"/>
        <v>118.26997720501041</v>
      </c>
      <c r="Y54" s="60">
        <f t="shared" si="3"/>
        <v>112.71907910821655</v>
      </c>
    </row>
    <row r="55" spans="12:25" x14ac:dyDescent="0.25">
      <c r="P55" s="58">
        <v>45778</v>
      </c>
      <c r="Q55" s="6">
        <v>297.49</v>
      </c>
      <c r="R55" s="6">
        <v>5802.82</v>
      </c>
      <c r="S55" s="6">
        <v>19113.77</v>
      </c>
      <c r="T55" s="6">
        <v>41603.07</v>
      </c>
      <c r="U55" s="58">
        <v>45778</v>
      </c>
      <c r="V55" s="60">
        <f t="shared" si="0"/>
        <v>661.08888888888885</v>
      </c>
      <c r="W55" s="60">
        <f t="shared" si="1"/>
        <v>128.9363697164556</v>
      </c>
      <c r="X55" s="60">
        <f t="shared" si="2"/>
        <v>138.80158918621379</v>
      </c>
      <c r="Y55" s="60">
        <f t="shared" si="3"/>
        <v>119.8056354600816</v>
      </c>
    </row>
    <row r="56" spans="12:25" x14ac:dyDescent="0.25">
      <c r="P56" s="58">
        <v>45809</v>
      </c>
      <c r="Q56" s="6">
        <v>320.17</v>
      </c>
      <c r="R56" s="6">
        <v>6279.35</v>
      </c>
      <c r="S56" s="6">
        <v>19447.41</v>
      </c>
      <c r="T56" s="6">
        <v>42206.82</v>
      </c>
      <c r="U56" s="58">
        <v>45809</v>
      </c>
      <c r="V56" s="60">
        <f t="shared" si="0"/>
        <v>711.48888888888894</v>
      </c>
      <c r="W56" s="60">
        <f t="shared" si="1"/>
        <v>139.52467820456704</v>
      </c>
      <c r="X56" s="60">
        <f t="shared" si="2"/>
        <v>141.22443733265945</v>
      </c>
      <c r="Y56" s="60">
        <f t="shared" si="3"/>
        <v>121.54427283489611</v>
      </c>
    </row>
    <row r="57" spans="12:25" x14ac:dyDescent="0.25">
      <c r="P57" s="58">
        <v>45839</v>
      </c>
      <c r="Q57" s="6">
        <v>327.35000000000002</v>
      </c>
      <c r="R57" s="6">
        <v>6238.01</v>
      </c>
      <c r="S57" s="6">
        <v>20650.13</v>
      </c>
      <c r="T57" s="6">
        <v>44901.919999999998</v>
      </c>
      <c r="U57" s="58">
        <v>45839</v>
      </c>
      <c r="V57" s="60">
        <f t="shared" si="0"/>
        <v>727.44444444444446</v>
      </c>
      <c r="W57" s="60">
        <f t="shared" si="1"/>
        <v>138.60611972367701</v>
      </c>
      <c r="X57" s="60">
        <f t="shared" si="2"/>
        <v>149.95842583132</v>
      </c>
      <c r="Y57" s="60">
        <f t="shared" si="3"/>
        <v>129.30543488684242</v>
      </c>
    </row>
    <row r="58" spans="12:25" x14ac:dyDescent="0.25">
      <c r="P58" s="58">
        <v>45870</v>
      </c>
      <c r="Q58" s="6">
        <v>310.16000000000003</v>
      </c>
      <c r="R58" s="6">
        <v>6460.26</v>
      </c>
      <c r="S58" s="6">
        <v>21496.54</v>
      </c>
      <c r="T58" s="6">
        <v>45544.88</v>
      </c>
      <c r="U58" s="58">
        <v>45870</v>
      </c>
      <c r="V58" s="60">
        <f t="shared" si="0"/>
        <v>689.24444444444453</v>
      </c>
      <c r="W58" s="60">
        <f t="shared" si="1"/>
        <v>143.5444269897101</v>
      </c>
      <c r="X58" s="60">
        <f t="shared" si="2"/>
        <v>156.10493973742555</v>
      </c>
      <c r="Y58" s="60">
        <f t="shared" si="3"/>
        <v>131.15698650011072</v>
      </c>
    </row>
    <row r="59" spans="12:25" x14ac:dyDescent="0.25">
      <c r="P59" s="58">
        <v>45901</v>
      </c>
      <c r="Q59" s="6">
        <v>331.26</v>
      </c>
      <c r="R59" s="6">
        <v>6715.79</v>
      </c>
      <c r="S59" s="6">
        <v>22780.51</v>
      </c>
      <c r="T59" s="6">
        <v>46758.28</v>
      </c>
      <c r="U59" s="58">
        <v>45901</v>
      </c>
      <c r="V59" s="60">
        <f t="shared" si="0"/>
        <v>736.13333333333333</v>
      </c>
      <c r="W59" s="60">
        <f t="shared" si="1"/>
        <v>149.22220271834652</v>
      </c>
      <c r="X59" s="60">
        <f t="shared" si="2"/>
        <v>165.42895464748372</v>
      </c>
      <c r="Y59" s="60">
        <f t="shared" si="3"/>
        <v>134.65125166052468</v>
      </c>
    </row>
    <row r="60" spans="12:25" x14ac:dyDescent="0.25">
      <c r="P60" s="58">
        <v>45931</v>
      </c>
      <c r="Q60" s="6">
        <v>389.19</v>
      </c>
      <c r="R60" s="6">
        <v>6840.2</v>
      </c>
      <c r="S60" s="6">
        <v>23204.87</v>
      </c>
      <c r="T60" s="6">
        <v>47207.12</v>
      </c>
      <c r="U60" s="58">
        <v>45931</v>
      </c>
      <c r="V60" s="60">
        <f t="shared" si="0"/>
        <v>864.86666666666667</v>
      </c>
      <c r="W60" s="60">
        <f t="shared" si="1"/>
        <v>151.98654380706273</v>
      </c>
      <c r="X60" s="60">
        <f t="shared" si="2"/>
        <v>168.51059905290776</v>
      </c>
      <c r="Y60" s="60">
        <f t="shared" si="3"/>
        <v>135.94378996166213</v>
      </c>
    </row>
    <row r="61" spans="12:25" x14ac:dyDescent="0.25">
      <c r="P61" s="58">
        <v>45962</v>
      </c>
      <c r="Q61" s="6">
        <v>364.36</v>
      </c>
      <c r="R61" s="6">
        <v>6849.09</v>
      </c>
      <c r="S61" s="6">
        <v>23365.69</v>
      </c>
      <c r="T61" s="6">
        <v>46245.41</v>
      </c>
      <c r="U61" s="58">
        <v>45962</v>
      </c>
      <c r="V61" s="60">
        <f t="shared" si="0"/>
        <v>809.68888888888898</v>
      </c>
      <c r="W61" s="60">
        <f t="shared" si="1"/>
        <v>152.18407609770406</v>
      </c>
      <c r="X61" s="60">
        <f t="shared" si="2"/>
        <v>169.67845194498122</v>
      </c>
      <c r="Y61" s="60">
        <f t="shared" si="3"/>
        <v>133.17432420641103</v>
      </c>
    </row>
    <row r="62" spans="12:25" x14ac:dyDescent="0.25">
      <c r="P62" s="58">
        <v>45992</v>
      </c>
      <c r="Q62" s="6">
        <v>360.46</v>
      </c>
      <c r="R62" s="6">
        <v>6929.94</v>
      </c>
      <c r="S62" s="6">
        <v>23593.1</v>
      </c>
      <c r="T62" s="6">
        <v>48134.89</v>
      </c>
      <c r="U62" s="58">
        <v>45992</v>
      </c>
      <c r="V62" s="60">
        <f t="shared" si="0"/>
        <v>801.02222222222213</v>
      </c>
      <c r="W62" s="60">
        <f t="shared" si="1"/>
        <v>153.98053118188301</v>
      </c>
      <c r="X62" s="60">
        <f t="shared" si="2"/>
        <v>171.32987232917736</v>
      </c>
      <c r="Y62" s="60">
        <f t="shared" si="3"/>
        <v>138.61551765894023</v>
      </c>
    </row>
    <row r="63" spans="12:25" x14ac:dyDescent="0.25">
      <c r="P63" s="58">
        <v>46023</v>
      </c>
      <c r="Q63" s="6">
        <v>289.06</v>
      </c>
      <c r="R63" s="6">
        <v>6939.03</v>
      </c>
      <c r="S63" s="6">
        <v>23461.82</v>
      </c>
      <c r="T63" s="6">
        <v>49098.71</v>
      </c>
      <c r="U63" s="58">
        <v>46023</v>
      </c>
      <c r="V63" s="60">
        <f t="shared" si="0"/>
        <v>642.35555555555561</v>
      </c>
      <c r="W63" s="60">
        <f t="shared" si="1"/>
        <v>154.18250739357364</v>
      </c>
      <c r="X63" s="60">
        <f t="shared" si="2"/>
        <v>170.37653488562927</v>
      </c>
      <c r="Y63" s="60">
        <f t="shared" si="3"/>
        <v>141.39105964584496</v>
      </c>
    </row>
    <row r="64" spans="12:25" x14ac:dyDescent="0.25">
      <c r="P64" s="58">
        <v>46054</v>
      </c>
      <c r="Q64" s="6">
        <v>294.83999999999997</v>
      </c>
      <c r="R64" s="6">
        <v>6909.51</v>
      </c>
      <c r="S64" s="6">
        <v>22668.21</v>
      </c>
      <c r="T64" s="6">
        <v>48977.919999999998</v>
      </c>
      <c r="U64" s="58">
        <v>46054</v>
      </c>
      <c r="V64" s="60">
        <f t="shared" si="0"/>
        <v>655.19999999999993</v>
      </c>
      <c r="W64" s="60">
        <f t="shared" si="1"/>
        <v>153.52658464669716</v>
      </c>
      <c r="X64" s="60">
        <f t="shared" si="2"/>
        <v>164.61344737363811</v>
      </c>
      <c r="Y64" s="60">
        <f t="shared" si="3"/>
        <v>141.04321698165637</v>
      </c>
    </row>
    <row r="65" spans="16:25" x14ac:dyDescent="0.25">
      <c r="P65" s="58">
        <v>46082</v>
      </c>
      <c r="Q65" s="6">
        <v>281.99</v>
      </c>
      <c r="R65" s="6">
        <v>6368.85</v>
      </c>
      <c r="S65" s="6">
        <v>20948.36</v>
      </c>
      <c r="T65" s="6">
        <v>45577.47</v>
      </c>
      <c r="U65" s="58">
        <v>46082</v>
      </c>
      <c r="V65" s="60">
        <f t="shared" si="0"/>
        <v>626.6444444444445</v>
      </c>
      <c r="W65" s="60">
        <f t="shared" si="1"/>
        <v>141.51333287412817</v>
      </c>
      <c r="X65" s="60">
        <f t="shared" si="2"/>
        <v>152.12413139034913</v>
      </c>
      <c r="Y65" s="60">
        <f t="shared" si="3"/>
        <v>131.25083692171768</v>
      </c>
    </row>
    <row r="66" spans="16:25" x14ac:dyDescent="0.25">
      <c r="P66" s="58">
        <v>46113</v>
      </c>
      <c r="Q66" s="6">
        <v>313.52999999999997</v>
      </c>
      <c r="R66" s="6">
        <v>7123.06</v>
      </c>
      <c r="S66" s="6">
        <v>24468.48</v>
      </c>
      <c r="T66" s="6">
        <v>49447.43</v>
      </c>
      <c r="U66" s="58">
        <v>46113</v>
      </c>
      <c r="V66" s="60">
        <f t="shared" si="0"/>
        <v>696.73333333333323</v>
      </c>
      <c r="W66" s="60">
        <f t="shared" si="1"/>
        <v>158.2715813470858</v>
      </c>
      <c r="X66" s="60">
        <f t="shared" si="2"/>
        <v>177.6867624215991</v>
      </c>
      <c r="Y66" s="60">
        <f t="shared" si="3"/>
        <v>142.39527931515397</v>
      </c>
    </row>
    <row r="67" spans="16:25" x14ac:dyDescent="0.25">
      <c r="P67" s="58">
        <v>46143</v>
      </c>
      <c r="Q67" s="6">
        <v>287.75</v>
      </c>
      <c r="R67" s="6">
        <v>7473.47</v>
      </c>
      <c r="S67" s="6">
        <v>26343.97</v>
      </c>
      <c r="T67" s="6">
        <v>50579.7</v>
      </c>
      <c r="U67" s="58">
        <v>46143</v>
      </c>
      <c r="V67" s="60">
        <f t="shared" si="0"/>
        <v>639.44444444444446</v>
      </c>
      <c r="W67" s="60">
        <f t="shared" si="1"/>
        <v>166.05755322150947</v>
      </c>
      <c r="X67" s="60">
        <f t="shared" si="2"/>
        <v>191.30631484390264</v>
      </c>
      <c r="Y67" s="60">
        <f t="shared" si="3"/>
        <v>145.65591192862183</v>
      </c>
    </row>
    <row r="68" spans="16:25" x14ac:dyDescent="0.25">
      <c r="P68" s="58">
        <v>46174</v>
      </c>
      <c r="Q68" s="6">
        <v>264.02</v>
      </c>
      <c r="R68" s="6">
        <v>7425.29</v>
      </c>
      <c r="S68" s="6">
        <v>25883.49</v>
      </c>
      <c r="T68" s="6">
        <v>51200.15</v>
      </c>
      <c r="U68" s="58">
        <v>46174</v>
      </c>
      <c r="V68" s="60">
        <f t="shared" si="0"/>
        <v>586.71111111111111</v>
      </c>
      <c r="W68" s="60">
        <f t="shared" si="1"/>
        <v>164.98701264073344</v>
      </c>
      <c r="X68" s="60">
        <f t="shared" si="2"/>
        <v>187.96237192795942</v>
      </c>
      <c r="Y68" s="60">
        <f t="shared" si="3"/>
        <v>147.44264080514964</v>
      </c>
    </row>
    <row r="69" spans="16:25" x14ac:dyDescent="0.25">
      <c r="P69" s="58">
        <v>46204</v>
      </c>
      <c r="Q69" s="61">
        <v>244.52</v>
      </c>
      <c r="R69" s="6">
        <v>7483.24</v>
      </c>
      <c r="S69" s="6">
        <v>25832.67</v>
      </c>
      <c r="T69" s="6">
        <v>52900.07</v>
      </c>
      <c r="U69" s="58">
        <v>46204</v>
      </c>
      <c r="V69" s="60">
        <f t="shared" si="0"/>
        <v>543.37777777777785</v>
      </c>
      <c r="W69" s="60">
        <f t="shared" si="1"/>
        <v>166.2746387647677</v>
      </c>
      <c r="X69" s="60">
        <f t="shared" si="2"/>
        <v>187.59332402362426</v>
      </c>
      <c r="Y69" s="60">
        <f t="shared" si="3"/>
        <v>152.33795251727332</v>
      </c>
    </row>
  </sheetData>
  <pageMargins left="0.7" right="0.7" top="0.75" bottom="0.75" header="0.3" footer="0.3"/>
  <pageSetup orientation="portrait" r:id="rId1"/>
  <ignoredErrors>
    <ignoredError sqref="H2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3F35-7621-4B5F-864D-2D55557FC000}">
  <dimension ref="A1:Z69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0.27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9.1300000000000006E-2</v>
      </c>
      <c r="C7" s="41"/>
      <c r="P7">
        <v>2026</v>
      </c>
      <c r="Q7" s="26">
        <f>D28</f>
        <v>1312242000</v>
      </c>
      <c r="R7" s="26"/>
      <c r="S7" t="s">
        <v>41</v>
      </c>
      <c r="T7" s="16">
        <f>B40</f>
        <v>143.15269094212016</v>
      </c>
    </row>
    <row r="8" spans="1:26" x14ac:dyDescent="0.25">
      <c r="A8" s="40" t="s">
        <v>4</v>
      </c>
      <c r="B8" s="32">
        <v>2.5000000000000001E-2</v>
      </c>
      <c r="C8" s="41"/>
      <c r="P8">
        <v>2027</v>
      </c>
      <c r="Q8" s="26">
        <f>E28</f>
        <v>1640302500</v>
      </c>
      <c r="R8" s="26"/>
      <c r="S8" t="s">
        <v>73</v>
      </c>
      <c r="T8" s="16">
        <v>101.85</v>
      </c>
    </row>
    <row r="9" spans="1:26" x14ac:dyDescent="0.25">
      <c r="A9" s="40" t="s">
        <v>5</v>
      </c>
      <c r="B9" s="33" t="s">
        <v>98</v>
      </c>
      <c r="C9" s="41"/>
      <c r="P9">
        <v>2028</v>
      </c>
      <c r="Q9" s="26">
        <f>F28</f>
        <v>1804332750</v>
      </c>
      <c r="R9" s="26"/>
      <c r="S9" t="s">
        <v>8</v>
      </c>
      <c r="T9" s="16">
        <f>B12</f>
        <v>245</v>
      </c>
    </row>
    <row r="10" spans="1:26" x14ac:dyDescent="0.25">
      <c r="A10" s="40" t="s">
        <v>6</v>
      </c>
      <c r="B10" s="34">
        <v>46211</v>
      </c>
      <c r="C10" s="41"/>
      <c r="P10">
        <v>2029</v>
      </c>
      <c r="Q10" s="26">
        <f>G28</f>
        <v>2345632575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2814759090</v>
      </c>
      <c r="R11" s="26"/>
    </row>
    <row r="12" spans="1:26" x14ac:dyDescent="0.25">
      <c r="A12" s="40" t="s">
        <v>8</v>
      </c>
      <c r="B12" s="35">
        <v>245</v>
      </c>
      <c r="C12" s="41" t="s">
        <v>81</v>
      </c>
      <c r="P12">
        <v>2031</v>
      </c>
      <c r="Q12" s="26">
        <f>I28</f>
        <v>3518448862.5</v>
      </c>
      <c r="R12" s="26"/>
    </row>
    <row r="13" spans="1:26" x14ac:dyDescent="0.25">
      <c r="A13" s="40" t="s">
        <v>9</v>
      </c>
      <c r="B13" s="36">
        <v>357100000</v>
      </c>
      <c r="C13" s="41"/>
    </row>
    <row r="14" spans="1:26" x14ac:dyDescent="0.25">
      <c r="A14" s="40" t="s">
        <v>10</v>
      </c>
      <c r="B14" s="35">
        <v>22460000000</v>
      </c>
      <c r="C14" s="41"/>
      <c r="P14" s="6" t="s">
        <v>16</v>
      </c>
      <c r="Q14" s="6" t="s">
        <v>96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97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864000000</v>
      </c>
      <c r="C15" s="41"/>
      <c r="P15" s="58">
        <v>44562</v>
      </c>
      <c r="Q15" s="6">
        <v>45</v>
      </c>
      <c r="R15" s="6">
        <v>4500.53</v>
      </c>
      <c r="S15" s="6">
        <v>13770.57</v>
      </c>
      <c r="T15" s="6">
        <v>34725.47</v>
      </c>
      <c r="U15" s="58">
        <v>44562</v>
      </c>
      <c r="V15" s="59">
        <f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128</v>
      </c>
      <c r="C16" s="41"/>
      <c r="P16" s="58">
        <v>44593</v>
      </c>
      <c r="Q16" s="6">
        <v>43.91</v>
      </c>
      <c r="R16" s="6">
        <v>4384.6499999999996</v>
      </c>
      <c r="S16" s="6">
        <v>13313.44</v>
      </c>
      <c r="T16" s="6">
        <v>34058.75</v>
      </c>
      <c r="U16" s="58">
        <v>44593</v>
      </c>
      <c r="V16" s="60">
        <f>(Q16/$Q$15)*100</f>
        <v>97.577777777777769</v>
      </c>
      <c r="W16" s="60">
        <f>(R16/$R$15)*100</f>
        <v>97.425192144036359</v>
      </c>
      <c r="X16" s="60">
        <f>(S16/$S$15)*100</f>
        <v>96.680384326865195</v>
      </c>
      <c r="Y16" s="60">
        <f>(T16/$T$15)*100</f>
        <v>98.080025986689307</v>
      </c>
      <c r="Z16" t="s">
        <v>74</v>
      </c>
    </row>
    <row r="17" spans="1:25" x14ac:dyDescent="0.25">
      <c r="A17" s="42" t="s">
        <v>79</v>
      </c>
      <c r="B17" s="43"/>
      <c r="C17" s="44"/>
      <c r="P17" s="58">
        <v>44621</v>
      </c>
      <c r="Q17" s="6">
        <v>58.02</v>
      </c>
      <c r="R17" s="6">
        <v>4543.0600000000004</v>
      </c>
      <c r="S17" s="6">
        <v>14169.3</v>
      </c>
      <c r="T17" s="6">
        <v>34861.24</v>
      </c>
      <c r="U17" s="58">
        <v>44621</v>
      </c>
      <c r="V17" s="60">
        <f t="shared" ref="V17:V69" si="0">(Q17/$Q$15)*100</f>
        <v>128.93333333333334</v>
      </c>
      <c r="W17" s="60">
        <f t="shared" ref="W17:W69" si="1">(R17/$R$15)*100</f>
        <v>100.94499981113336</v>
      </c>
      <c r="X17" s="60">
        <f t="shared" ref="X17:X69" si="2">(S17/$S$15)*100</f>
        <v>102.89552284328099</v>
      </c>
      <c r="Y17" s="60">
        <f t="shared" ref="Y17:Y69" si="3">(T17/$T$15)*100</f>
        <v>100.39098102919843</v>
      </c>
    </row>
    <row r="18" spans="1:25" x14ac:dyDescent="0.25">
      <c r="P18" s="58">
        <v>44652</v>
      </c>
      <c r="Q18" s="6">
        <v>59.21</v>
      </c>
      <c r="R18" s="6">
        <v>4271.78</v>
      </c>
      <c r="S18" s="6">
        <v>12839.29</v>
      </c>
      <c r="T18" s="6">
        <v>33811.4</v>
      </c>
      <c r="U18" s="58">
        <v>44652</v>
      </c>
      <c r="V18" s="60">
        <f t="shared" si="0"/>
        <v>131.57777777777778</v>
      </c>
      <c r="W18" s="60">
        <f t="shared" si="1"/>
        <v>94.917265299864681</v>
      </c>
      <c r="X18" s="60">
        <f t="shared" si="2"/>
        <v>93.237171736536695</v>
      </c>
      <c r="Y18" s="60">
        <f t="shared" si="3"/>
        <v>97.367724612510642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8">
        <v>44682</v>
      </c>
      <c r="Q19" s="6">
        <v>65.17</v>
      </c>
      <c r="R19" s="6">
        <v>4158.24</v>
      </c>
      <c r="S19" s="6">
        <v>11354.62</v>
      </c>
      <c r="T19" s="6">
        <v>33212.959999999999</v>
      </c>
      <c r="U19" s="58">
        <v>44682</v>
      </c>
      <c r="V19" s="60">
        <f t="shared" si="0"/>
        <v>144.82222222222222</v>
      </c>
      <c r="W19" s="60">
        <f t="shared" si="1"/>
        <v>92.394451320177851</v>
      </c>
      <c r="X19" s="60">
        <f t="shared" si="2"/>
        <v>82.45570081703228</v>
      </c>
      <c r="Y19" s="60">
        <f t="shared" si="3"/>
        <v>95.644378607402572</v>
      </c>
    </row>
    <row r="20" spans="1:25" x14ac:dyDescent="0.25">
      <c r="A20" t="s">
        <v>16</v>
      </c>
      <c r="C20" s="7">
        <v>46211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54395325551.470581</v>
      </c>
      <c r="P20" s="58">
        <v>44713</v>
      </c>
      <c r="Q20" s="6">
        <v>59.28</v>
      </c>
      <c r="R20" s="6">
        <v>3911.74</v>
      </c>
      <c r="S20" s="6">
        <v>11127.85</v>
      </c>
      <c r="T20" s="6">
        <v>31097.26</v>
      </c>
      <c r="U20" s="58">
        <v>44713</v>
      </c>
      <c r="V20" s="60">
        <f t="shared" si="0"/>
        <v>131.73333333333335</v>
      </c>
      <c r="W20" s="60">
        <f t="shared" si="1"/>
        <v>86.917318626917279</v>
      </c>
      <c r="X20" s="60">
        <f t="shared" si="2"/>
        <v>80.808928025492051</v>
      </c>
      <c r="Y20" s="60">
        <f t="shared" si="3"/>
        <v>89.551732489149884</v>
      </c>
    </row>
    <row r="21" spans="1:25" x14ac:dyDescent="0.25">
      <c r="A21" t="s">
        <v>18</v>
      </c>
      <c r="B21" t="s">
        <v>90</v>
      </c>
      <c r="D21" s="5">
        <v>25530000000</v>
      </c>
      <c r="E21" s="5">
        <f>D21*1.25</f>
        <v>31912500000</v>
      </c>
      <c r="F21" s="5">
        <f>E21*1.1</f>
        <v>35103750000</v>
      </c>
      <c r="G21" s="5">
        <f>F21*1.3</f>
        <v>45634875000</v>
      </c>
      <c r="H21" s="5">
        <f>G21*1.2</f>
        <v>54761850000</v>
      </c>
      <c r="I21" s="5">
        <f>H21*1.25</f>
        <v>68452312500</v>
      </c>
      <c r="L21" t="s">
        <v>19</v>
      </c>
      <c r="M21" s="13">
        <f>(I22+I25)*11.5</f>
        <v>173184350625</v>
      </c>
      <c r="P21" s="58">
        <v>44743</v>
      </c>
      <c r="Q21" s="60">
        <v>66.099999999999994</v>
      </c>
      <c r="R21" s="6">
        <v>4130.29</v>
      </c>
      <c r="S21" s="6">
        <v>12390.69</v>
      </c>
      <c r="T21" s="6">
        <v>32845.129999999997</v>
      </c>
      <c r="U21" s="58">
        <v>44743</v>
      </c>
      <c r="V21" s="60">
        <f t="shared" si="0"/>
        <v>146.88888888888886</v>
      </c>
      <c r="W21" s="60">
        <f t="shared" si="1"/>
        <v>91.773413353538373</v>
      </c>
      <c r="X21" s="60">
        <f t="shared" si="2"/>
        <v>89.979499759269231</v>
      </c>
      <c r="Y21" s="60">
        <f t="shared" si="3"/>
        <v>94.585127285534213</v>
      </c>
    </row>
    <row r="22" spans="1:25" x14ac:dyDescent="0.25">
      <c r="A22" t="s">
        <v>77</v>
      </c>
      <c r="B22" t="s">
        <v>99</v>
      </c>
      <c r="C22" s="25">
        <v>0.18</v>
      </c>
      <c r="D22" s="5">
        <f>D21*$C$22</f>
        <v>4595400000</v>
      </c>
      <c r="E22" s="5">
        <f t="shared" ref="E22:I22" si="4">E21*$C$22</f>
        <v>5744250000</v>
      </c>
      <c r="F22" s="5">
        <f t="shared" si="4"/>
        <v>6318675000</v>
      </c>
      <c r="G22" s="5">
        <f t="shared" si="4"/>
        <v>8214277500</v>
      </c>
      <c r="H22" s="5">
        <f t="shared" si="4"/>
        <v>9857133000</v>
      </c>
      <c r="I22" s="5">
        <f t="shared" si="4"/>
        <v>12321416250</v>
      </c>
      <c r="L22" t="s">
        <v>20</v>
      </c>
      <c r="M22" s="13">
        <f>(M20+M21)/2</f>
        <v>113789838088.23529</v>
      </c>
      <c r="P22" s="58">
        <v>44774</v>
      </c>
      <c r="Q22" s="6">
        <v>80.84</v>
      </c>
      <c r="R22" s="6">
        <v>3924.26</v>
      </c>
      <c r="S22" s="6">
        <v>12141.71</v>
      </c>
      <c r="T22" s="6">
        <v>31318.44</v>
      </c>
      <c r="U22" s="58">
        <v>44774</v>
      </c>
      <c r="V22" s="60">
        <f t="shared" si="0"/>
        <v>179.64444444444445</v>
      </c>
      <c r="W22" s="60">
        <f t="shared" si="1"/>
        <v>87.195508084603375</v>
      </c>
      <c r="X22" s="60">
        <f t="shared" si="2"/>
        <v>88.171440978841105</v>
      </c>
      <c r="Y22" s="60">
        <f t="shared" si="3"/>
        <v>90.188671312440121</v>
      </c>
    </row>
    <row r="23" spans="1:25" x14ac:dyDescent="0.25">
      <c r="A23" t="s">
        <v>21</v>
      </c>
      <c r="B23" t="s">
        <v>22</v>
      </c>
      <c r="C23" s="25"/>
      <c r="D23" s="5">
        <f>D22*$B$6</f>
        <v>1240758000</v>
      </c>
      <c r="E23" s="30">
        <f t="shared" ref="E23:I23" si="5">E22*$B$6</f>
        <v>1550947500</v>
      </c>
      <c r="F23" s="5">
        <f t="shared" si="5"/>
        <v>1706042250</v>
      </c>
      <c r="G23" s="30">
        <f t="shared" si="5"/>
        <v>2217854925</v>
      </c>
      <c r="H23" s="30">
        <f t="shared" si="5"/>
        <v>2661425910</v>
      </c>
      <c r="I23" s="5">
        <f t="shared" si="5"/>
        <v>3326782387.5</v>
      </c>
      <c r="P23" s="58">
        <v>44805</v>
      </c>
      <c r="Q23" s="6">
        <v>83.85</v>
      </c>
      <c r="R23" s="6">
        <v>3585.62</v>
      </c>
      <c r="S23" s="6">
        <v>10867.93</v>
      </c>
      <c r="T23" s="6">
        <v>30822.42</v>
      </c>
      <c r="U23" s="58">
        <v>44805</v>
      </c>
      <c r="V23" s="60">
        <f t="shared" si="0"/>
        <v>186.33333333333331</v>
      </c>
      <c r="W23" s="60">
        <f t="shared" si="1"/>
        <v>79.671060963930913</v>
      </c>
      <c r="X23" s="60">
        <f t="shared" si="2"/>
        <v>78.921424458101598</v>
      </c>
      <c r="Y23" s="60">
        <f t="shared" si="3"/>
        <v>88.760267319635972</v>
      </c>
    </row>
    <row r="24" spans="1:25" x14ac:dyDescent="0.25">
      <c r="A24" t="s">
        <v>23</v>
      </c>
      <c r="B24" t="s">
        <v>24</v>
      </c>
      <c r="C24" s="25"/>
      <c r="D24" s="5">
        <f>D22*(1-$B$6)</f>
        <v>3354642000</v>
      </c>
      <c r="E24" s="5">
        <f t="shared" ref="E24:I24" si="6">E22*(1-$B$6)</f>
        <v>4193302500</v>
      </c>
      <c r="F24" s="5">
        <f t="shared" si="6"/>
        <v>4612632750</v>
      </c>
      <c r="G24" s="5">
        <f t="shared" si="6"/>
        <v>5996422575</v>
      </c>
      <c r="H24" s="5">
        <f t="shared" si="6"/>
        <v>7195707090</v>
      </c>
      <c r="I24" s="5">
        <f t="shared" si="6"/>
        <v>8994633862.5</v>
      </c>
      <c r="P24" s="58">
        <v>44835</v>
      </c>
      <c r="Q24" s="6">
        <v>93.75</v>
      </c>
      <c r="R24" s="6">
        <v>3901.06</v>
      </c>
      <c r="S24" s="6">
        <v>11102.45</v>
      </c>
      <c r="T24" s="6">
        <v>32861.800000000003</v>
      </c>
      <c r="U24" s="58">
        <v>44835</v>
      </c>
      <c r="V24" s="60">
        <f t="shared" si="0"/>
        <v>208.33333333333334</v>
      </c>
      <c r="W24" s="60">
        <f t="shared" si="1"/>
        <v>86.680013242884741</v>
      </c>
      <c r="X24" s="60">
        <f t="shared" si="2"/>
        <v>80.624476691959742</v>
      </c>
      <c r="Y24" s="60">
        <f t="shared" si="3"/>
        <v>94.633132395328275</v>
      </c>
    </row>
    <row r="25" spans="1:25" x14ac:dyDescent="0.25">
      <c r="A25" s="4" t="s">
        <v>25</v>
      </c>
      <c r="B25" s="8" t="s">
        <v>83</v>
      </c>
      <c r="C25" s="25">
        <v>0.04</v>
      </c>
      <c r="D25" s="12">
        <f>D21*$C$25</f>
        <v>1021200000</v>
      </c>
      <c r="E25" s="12">
        <f t="shared" ref="E25:I25" si="7">E21*$C$25</f>
        <v>1276500000</v>
      </c>
      <c r="F25" s="12">
        <f t="shared" si="7"/>
        <v>1404150000</v>
      </c>
      <c r="G25" s="12">
        <f t="shared" si="7"/>
        <v>1825395000</v>
      </c>
      <c r="H25" s="12">
        <f t="shared" si="7"/>
        <v>2190474000</v>
      </c>
      <c r="I25" s="12">
        <f t="shared" si="7"/>
        <v>2738092500</v>
      </c>
      <c r="P25" s="58">
        <v>44866</v>
      </c>
      <c r="Q25" s="6">
        <v>97.16</v>
      </c>
      <c r="R25" s="6">
        <v>4026.12</v>
      </c>
      <c r="S25" s="6">
        <v>11226.36</v>
      </c>
      <c r="T25" s="6">
        <v>34429.879999999997</v>
      </c>
      <c r="U25" s="58">
        <v>44866</v>
      </c>
      <c r="V25" s="60">
        <f t="shared" si="0"/>
        <v>215.91111111111113</v>
      </c>
      <c r="W25" s="60">
        <f t="shared" si="1"/>
        <v>89.458797075011162</v>
      </c>
      <c r="X25" s="60">
        <f t="shared" si="2"/>
        <v>81.524294201329354</v>
      </c>
      <c r="Y25" s="60">
        <f t="shared" si="3"/>
        <v>99.148780419674651</v>
      </c>
    </row>
    <row r="26" spans="1:25" x14ac:dyDescent="0.25">
      <c r="A26" t="s">
        <v>26</v>
      </c>
      <c r="B26" t="s">
        <v>100</v>
      </c>
      <c r="C26" s="62">
        <v>0.11</v>
      </c>
      <c r="D26" s="10">
        <f>D21*$C$26</f>
        <v>2808300000</v>
      </c>
      <c r="E26" s="10">
        <f t="shared" ref="E26:I26" si="8">E21*$C$26</f>
        <v>3510375000</v>
      </c>
      <c r="F26" s="10">
        <f t="shared" si="8"/>
        <v>3861412500</v>
      </c>
      <c r="G26" s="10">
        <f t="shared" si="8"/>
        <v>5019836250</v>
      </c>
      <c r="H26" s="10">
        <f t="shared" si="8"/>
        <v>6023803500</v>
      </c>
      <c r="I26" s="10">
        <f t="shared" si="8"/>
        <v>7529754375</v>
      </c>
      <c r="P26" s="58">
        <v>44896</v>
      </c>
      <c r="Q26" s="6">
        <v>86.21</v>
      </c>
      <c r="R26" s="6">
        <v>3839.5</v>
      </c>
      <c r="S26" s="6">
        <v>10466.48</v>
      </c>
      <c r="T26" s="6">
        <v>33203.93</v>
      </c>
      <c r="U26" s="58">
        <v>44896</v>
      </c>
      <c r="V26" s="60">
        <f t="shared" si="0"/>
        <v>191.57777777777775</v>
      </c>
      <c r="W26" s="60">
        <f t="shared" si="1"/>
        <v>85.312174343910613</v>
      </c>
      <c r="X26" s="60">
        <f t="shared" si="2"/>
        <v>76.006149346032885</v>
      </c>
      <c r="Y26" s="60">
        <f t="shared" si="3"/>
        <v>95.6183746397097</v>
      </c>
    </row>
    <row r="27" spans="1:25" x14ac:dyDescent="0.25">
      <c r="A27" t="s">
        <v>27</v>
      </c>
      <c r="B27" t="s">
        <v>86</v>
      </c>
      <c r="C27" s="25">
        <v>0.01</v>
      </c>
      <c r="D27" s="10">
        <f>D21*$C$27</f>
        <v>255300000</v>
      </c>
      <c r="E27" s="10">
        <f t="shared" ref="E27:I27" si="9">E21*$C$27</f>
        <v>319125000</v>
      </c>
      <c r="F27" s="10">
        <f t="shared" si="9"/>
        <v>351037500</v>
      </c>
      <c r="G27" s="10">
        <f t="shared" si="9"/>
        <v>456348750</v>
      </c>
      <c r="H27" s="10">
        <f t="shared" si="9"/>
        <v>547618500</v>
      </c>
      <c r="I27" s="10">
        <f t="shared" si="9"/>
        <v>684523125</v>
      </c>
      <c r="P27" s="58">
        <v>44927</v>
      </c>
      <c r="Q27" s="6">
        <v>86.58</v>
      </c>
      <c r="R27" s="6">
        <v>4070.56</v>
      </c>
      <c r="S27" s="6">
        <v>11140.43</v>
      </c>
      <c r="T27" s="6">
        <v>33375.49</v>
      </c>
      <c r="U27" s="58">
        <v>44927</v>
      </c>
      <c r="V27" s="60">
        <f t="shared" si="0"/>
        <v>192.4</v>
      </c>
      <c r="W27" s="60">
        <f t="shared" si="1"/>
        <v>90.446236332165327</v>
      </c>
      <c r="X27" s="60">
        <f t="shared" si="2"/>
        <v>80.900282268635209</v>
      </c>
      <c r="Y27" s="60">
        <f t="shared" si="3"/>
        <v>96.112421228567953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1312242000</v>
      </c>
      <c r="E28" s="12">
        <f t="shared" ref="E28:I28" si="10">E24+E25-E26-E27</f>
        <v>1640302500</v>
      </c>
      <c r="F28" s="12">
        <f t="shared" si="10"/>
        <v>1804332750</v>
      </c>
      <c r="G28" s="12">
        <f t="shared" si="10"/>
        <v>2345632575</v>
      </c>
      <c r="H28" s="12">
        <f t="shared" si="10"/>
        <v>2814759090</v>
      </c>
      <c r="I28" s="12">
        <f t="shared" si="10"/>
        <v>3518448862.5</v>
      </c>
      <c r="P28" s="58">
        <v>44958</v>
      </c>
      <c r="Q28" s="6">
        <v>79.27</v>
      </c>
      <c r="R28" s="6">
        <v>4045.64</v>
      </c>
      <c r="S28" s="6">
        <v>11689.01</v>
      </c>
      <c r="T28" s="6">
        <v>32816.92</v>
      </c>
      <c r="U28" s="58">
        <v>44958</v>
      </c>
      <c r="V28" s="60">
        <f t="shared" si="0"/>
        <v>176.15555555555557</v>
      </c>
      <c r="W28" s="60">
        <f t="shared" si="1"/>
        <v>89.892523769422723</v>
      </c>
      <c r="X28" s="60">
        <f t="shared" si="2"/>
        <v>84.883995361121592</v>
      </c>
      <c r="Y28" s="60">
        <f t="shared" si="3"/>
        <v>94.503890084137083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8">
        <v>44986</v>
      </c>
      <c r="Q29" s="6">
        <v>76.77</v>
      </c>
      <c r="R29" s="6">
        <v>3970.99</v>
      </c>
      <c r="S29" s="6">
        <v>11823.96</v>
      </c>
      <c r="T29" s="6">
        <v>33274.15</v>
      </c>
      <c r="U29" s="58">
        <v>44986</v>
      </c>
      <c r="V29" s="60">
        <f t="shared" si="0"/>
        <v>170.6</v>
      </c>
      <c r="W29" s="60">
        <f t="shared" si="1"/>
        <v>88.233830237771997</v>
      </c>
      <c r="X29" s="60">
        <f t="shared" si="2"/>
        <v>85.863983843806025</v>
      </c>
      <c r="Y29" s="60">
        <f t="shared" si="3"/>
        <v>95.820589325356863</v>
      </c>
    </row>
    <row r="30" spans="1:25" x14ac:dyDescent="0.25">
      <c r="A30" t="s">
        <v>36</v>
      </c>
      <c r="C30" s="13">
        <f>-G39</f>
        <v>-109085500000</v>
      </c>
      <c r="D30" s="5">
        <f>D28</f>
        <v>1312242000</v>
      </c>
      <c r="E30" s="5">
        <f t="shared" ref="E30:I30" si="11">E28</f>
        <v>1640302500</v>
      </c>
      <c r="F30" s="5">
        <f t="shared" si="11"/>
        <v>1804332750</v>
      </c>
      <c r="G30" s="5">
        <f t="shared" si="11"/>
        <v>2345632575</v>
      </c>
      <c r="H30" s="5">
        <f t="shared" si="11"/>
        <v>2814759090</v>
      </c>
      <c r="I30" s="5">
        <f t="shared" si="11"/>
        <v>3518448862.5</v>
      </c>
      <c r="J30" s="13">
        <f>I28+M22</f>
        <v>117308286950.73529</v>
      </c>
      <c r="K30" t="s">
        <v>38</v>
      </c>
      <c r="P30" s="58">
        <v>45017</v>
      </c>
      <c r="Q30" s="6">
        <v>77.400000000000006</v>
      </c>
      <c r="R30" s="6">
        <v>4133.5200000000004</v>
      </c>
      <c r="S30" s="6">
        <v>12072.46</v>
      </c>
      <c r="T30" s="6">
        <v>33808.959999999999</v>
      </c>
      <c r="U30" s="58">
        <v>45017</v>
      </c>
      <c r="V30" s="60">
        <f t="shared" si="0"/>
        <v>172.00000000000003</v>
      </c>
      <c r="W30" s="60">
        <f t="shared" si="1"/>
        <v>91.845182678484548</v>
      </c>
      <c r="X30" s="60">
        <f t="shared" si="2"/>
        <v>87.668556929742195</v>
      </c>
      <c r="Y30" s="60">
        <f t="shared" si="3"/>
        <v>97.360698069745339</v>
      </c>
    </row>
    <row r="31" spans="1:25" x14ac:dyDescent="0.25">
      <c r="A31" t="s">
        <v>37</v>
      </c>
      <c r="D31" s="6">
        <f>1/(1+$B$7)^D29</f>
        <v>0.95725561482021571</v>
      </c>
      <c r="E31" s="6">
        <f t="shared" ref="E31:I31" si="12">1/(1+$B$7)^E29</f>
        <v>0.87716999433722687</v>
      </c>
      <c r="F31" s="6">
        <f t="shared" si="12"/>
        <v>0.80378447203997705</v>
      </c>
      <c r="G31" s="6">
        <f t="shared" si="12"/>
        <v>0.73653850640518381</v>
      </c>
      <c r="H31" s="6">
        <f t="shared" si="12"/>
        <v>0.67491845175953813</v>
      </c>
      <c r="I31" s="6">
        <f t="shared" si="12"/>
        <v>0.64606947749258459</v>
      </c>
      <c r="J31" t="s">
        <v>39</v>
      </c>
      <c r="P31" s="58">
        <v>45047</v>
      </c>
      <c r="Q31" s="6">
        <v>83.85</v>
      </c>
      <c r="R31" s="6">
        <v>4282.37</v>
      </c>
      <c r="S31" s="6">
        <v>13240.77</v>
      </c>
      <c r="T31" s="6">
        <v>33093.339999999997</v>
      </c>
      <c r="U31" s="58">
        <v>45047</v>
      </c>
      <c r="V31" s="60">
        <f t="shared" si="0"/>
        <v>186.33333333333331</v>
      </c>
      <c r="W31" s="60">
        <f t="shared" si="1"/>
        <v>95.152570919425045</v>
      </c>
      <c r="X31" s="60">
        <f t="shared" si="2"/>
        <v>96.152664704511153</v>
      </c>
      <c r="Y31" s="60">
        <f t="shared" si="3"/>
        <v>95.299905228064574</v>
      </c>
    </row>
    <row r="32" spans="1:25" x14ac:dyDescent="0.25">
      <c r="A32" t="s">
        <v>40</v>
      </c>
      <c r="C32" s="13">
        <f>-G39</f>
        <v>-109085500000</v>
      </c>
      <c r="D32" s="5">
        <f>D30*D31</f>
        <v>1256151022.5029094</v>
      </c>
      <c r="E32" s="5">
        <f t="shared" ref="E32:I32" si="13">E30*E31</f>
        <v>1438824134.6363392</v>
      </c>
      <c r="F32" s="5">
        <f t="shared" si="13"/>
        <v>1450294646.84319</v>
      </c>
      <c r="G32" s="5">
        <f t="shared" si="13"/>
        <v>1727648713.3658452</v>
      </c>
      <c r="H32" s="5">
        <f t="shared" si="13"/>
        <v>1899732847.0988865</v>
      </c>
      <c r="I32" s="5">
        <f t="shared" si="13"/>
        <v>2273162418.1797538</v>
      </c>
      <c r="J32" s="14">
        <f>M22</f>
        <v>113789838088.23529</v>
      </c>
      <c r="P32" s="58">
        <v>45078</v>
      </c>
      <c r="Q32" s="6">
        <v>90.36</v>
      </c>
      <c r="R32" s="6">
        <v>4450.38</v>
      </c>
      <c r="S32" s="6">
        <v>13492.52</v>
      </c>
      <c r="T32" s="6">
        <v>33727.43</v>
      </c>
      <c r="U32" s="58">
        <v>45078</v>
      </c>
      <c r="V32" s="60">
        <f t="shared" si="0"/>
        <v>200.8</v>
      </c>
      <c r="W32" s="60">
        <f t="shared" si="1"/>
        <v>98.885686796888379</v>
      </c>
      <c r="X32" s="60">
        <f t="shared" si="2"/>
        <v>97.980838846903211</v>
      </c>
      <c r="Y32" s="60">
        <f t="shared" si="3"/>
        <v>97.125913630542655</v>
      </c>
    </row>
    <row r="33" spans="1:25" x14ac:dyDescent="0.25">
      <c r="A33" t="s">
        <v>56</v>
      </c>
      <c r="C33" s="29">
        <v>-109086</v>
      </c>
      <c r="D33" s="46">
        <v>1256</v>
      </c>
      <c r="E33" s="24">
        <v>1439</v>
      </c>
      <c r="F33" s="24">
        <v>1450</v>
      </c>
      <c r="G33" s="24">
        <v>1728</v>
      </c>
      <c r="H33" s="24">
        <v>1900</v>
      </c>
      <c r="I33" s="24">
        <v>2273</v>
      </c>
      <c r="J33" s="24">
        <v>113790</v>
      </c>
      <c r="P33" s="58">
        <v>45108</v>
      </c>
      <c r="Q33" s="6">
        <v>95.74</v>
      </c>
      <c r="R33" s="6">
        <v>4582.2299999999996</v>
      </c>
      <c r="S33" s="6">
        <v>14032.81</v>
      </c>
      <c r="T33" s="6">
        <v>35065.620000000003</v>
      </c>
      <c r="U33" s="58">
        <v>45108</v>
      </c>
      <c r="V33" s="60">
        <f t="shared" si="0"/>
        <v>212.75555555555553</v>
      </c>
      <c r="W33" s="60">
        <f t="shared" si="1"/>
        <v>101.81534174863849</v>
      </c>
      <c r="X33" s="60">
        <f t="shared" si="2"/>
        <v>101.9043510907682</v>
      </c>
      <c r="Y33" s="60">
        <f t="shared" si="3"/>
        <v>100.97954037771125</v>
      </c>
    </row>
    <row r="34" spans="1:25" x14ac:dyDescent="0.25">
      <c r="P34" s="58">
        <v>45139</v>
      </c>
      <c r="Q34" s="6">
        <v>105.87</v>
      </c>
      <c r="R34" s="6">
        <v>4515.7700000000004</v>
      </c>
      <c r="S34" s="6">
        <v>13590.65</v>
      </c>
      <c r="T34" s="6">
        <v>34837.71</v>
      </c>
      <c r="U34" s="58">
        <v>45139</v>
      </c>
      <c r="V34" s="60">
        <f t="shared" si="0"/>
        <v>235.26666666666668</v>
      </c>
      <c r="W34" s="60">
        <f t="shared" si="1"/>
        <v>100.33862678395657</v>
      </c>
      <c r="X34" s="60">
        <f t="shared" si="2"/>
        <v>98.693445514601066</v>
      </c>
      <c r="Y34" s="60">
        <f t="shared" si="3"/>
        <v>100.32322096720361</v>
      </c>
    </row>
    <row r="35" spans="1:25" x14ac:dyDescent="0.25">
      <c r="A35" s="3" t="s">
        <v>41</v>
      </c>
      <c r="F35" s="3" t="s">
        <v>31</v>
      </c>
      <c r="P35" s="58">
        <v>45170</v>
      </c>
      <c r="Q35" s="6">
        <v>110.36</v>
      </c>
      <c r="R35" s="6">
        <v>4320.0600000000004</v>
      </c>
      <c r="S35" s="6">
        <v>13211.81</v>
      </c>
      <c r="T35" s="6">
        <v>33507.5</v>
      </c>
      <c r="U35" s="58">
        <v>45170</v>
      </c>
      <c r="V35" s="60">
        <f t="shared" si="0"/>
        <v>245.24444444444447</v>
      </c>
      <c r="W35" s="60">
        <f t="shared" si="1"/>
        <v>95.990027841165386</v>
      </c>
      <c r="X35" s="60">
        <f t="shared" si="2"/>
        <v>95.942361136830215</v>
      </c>
      <c r="Y35" s="60">
        <f t="shared" si="3"/>
        <v>96.492574470554317</v>
      </c>
    </row>
    <row r="36" spans="1:25" x14ac:dyDescent="0.25">
      <c r="A36" s="13" t="s">
        <v>42</v>
      </c>
      <c r="B36" s="17">
        <f>SUM(D32:I32)</f>
        <v>10045813782.626925</v>
      </c>
      <c r="C36" t="s">
        <v>45</v>
      </c>
      <c r="F36" t="s">
        <v>33</v>
      </c>
      <c r="G36" s="15">
        <f>B13*B12</f>
        <v>87489500000</v>
      </c>
      <c r="H36" t="s">
        <v>34</v>
      </c>
      <c r="L36" s="3" t="s">
        <v>51</v>
      </c>
      <c r="P36" s="58">
        <v>45200</v>
      </c>
      <c r="Q36" s="6">
        <v>112.1</v>
      </c>
      <c r="R36" s="6">
        <v>4117.37</v>
      </c>
      <c r="S36" s="6">
        <v>12643.01</v>
      </c>
      <c r="T36" s="6">
        <v>34061.32</v>
      </c>
      <c r="U36" s="58">
        <v>45200</v>
      </c>
      <c r="V36" s="60">
        <f t="shared" si="0"/>
        <v>249.11111111111111</v>
      </c>
      <c r="W36" s="60">
        <f t="shared" si="1"/>
        <v>91.486336053753675</v>
      </c>
      <c r="X36" s="60">
        <f t="shared" si="2"/>
        <v>91.811813163870497</v>
      </c>
      <c r="Y36" s="60">
        <f t="shared" si="3"/>
        <v>98.087426894437996</v>
      </c>
    </row>
    <row r="37" spans="1:25" x14ac:dyDescent="0.25">
      <c r="A37" t="s">
        <v>11</v>
      </c>
      <c r="B37" s="19">
        <f>B15</f>
        <v>864000000</v>
      </c>
      <c r="F37" t="s">
        <v>10</v>
      </c>
      <c r="G37" s="14">
        <f>B14</f>
        <v>22460000000</v>
      </c>
      <c r="L37" t="s">
        <v>52</v>
      </c>
      <c r="M37" s="21">
        <f>(B40/B12)-1</f>
        <v>-0.41570330227706054</v>
      </c>
      <c r="P37" s="58">
        <v>45231</v>
      </c>
      <c r="Q37" s="6">
        <v>119.88</v>
      </c>
      <c r="R37" s="6">
        <v>4559.34</v>
      </c>
      <c r="S37" s="6">
        <v>14250.85</v>
      </c>
      <c r="T37" s="6">
        <v>36245.5</v>
      </c>
      <c r="U37" s="58">
        <v>45231</v>
      </c>
      <c r="V37" s="60">
        <f t="shared" si="0"/>
        <v>266.39999999999998</v>
      </c>
      <c r="W37" s="60">
        <f t="shared" si="1"/>
        <v>101.30673498454628</v>
      </c>
      <c r="X37" s="60">
        <f t="shared" si="2"/>
        <v>103.48772781373611</v>
      </c>
      <c r="Y37" s="60">
        <f t="shared" si="3"/>
        <v>104.37727696702161</v>
      </c>
    </row>
    <row r="38" spans="1:25" x14ac:dyDescent="0.25">
      <c r="A38" t="s">
        <v>10</v>
      </c>
      <c r="B38" s="19">
        <f>B14</f>
        <v>22460000000</v>
      </c>
      <c r="C38" s="3"/>
      <c r="F38" t="s">
        <v>11</v>
      </c>
      <c r="G38" s="14">
        <f>B15</f>
        <v>864000000</v>
      </c>
      <c r="L38" t="s">
        <v>53</v>
      </c>
      <c r="M38" s="23">
        <f>IRR(C33:J33)</f>
        <v>1.9012033688174057E-2</v>
      </c>
      <c r="N38" t="s">
        <v>57</v>
      </c>
      <c r="P38" s="58">
        <v>45261</v>
      </c>
      <c r="Q38" s="6">
        <v>116.89</v>
      </c>
      <c r="R38" s="6">
        <v>4769.83</v>
      </c>
      <c r="S38" s="6">
        <v>14992.97</v>
      </c>
      <c r="T38" s="6">
        <v>37689.54</v>
      </c>
      <c r="U38" s="58">
        <v>45261</v>
      </c>
      <c r="V38" s="60">
        <f t="shared" si="0"/>
        <v>259.75555555555559</v>
      </c>
      <c r="W38" s="60">
        <f t="shared" si="1"/>
        <v>105.98373969288062</v>
      </c>
      <c r="X38" s="60">
        <f t="shared" si="2"/>
        <v>108.87690197283047</v>
      </c>
      <c r="Y38" s="60">
        <f t="shared" si="3"/>
        <v>108.53572320259453</v>
      </c>
    </row>
    <row r="39" spans="1:25" x14ac:dyDescent="0.25">
      <c r="A39" t="s">
        <v>44</v>
      </c>
      <c r="B39" s="17">
        <f>(((B36+B37)-B38)+(M22))/2</f>
        <v>51119825935.431107</v>
      </c>
      <c r="C39" t="s">
        <v>75</v>
      </c>
      <c r="F39" t="s">
        <v>30</v>
      </c>
      <c r="G39" s="13">
        <f>G36+G37-G38</f>
        <v>109085500000</v>
      </c>
      <c r="H39" t="s">
        <v>32</v>
      </c>
      <c r="P39" s="58">
        <v>45292</v>
      </c>
      <c r="Q39" s="6">
        <v>121.27</v>
      </c>
      <c r="R39" s="6">
        <v>4958.6099999999997</v>
      </c>
      <c r="S39" s="6">
        <v>15628.95</v>
      </c>
      <c r="T39" s="6">
        <v>38109.43</v>
      </c>
      <c r="U39" s="58">
        <v>45292</v>
      </c>
      <c r="V39" s="60">
        <f t="shared" si="0"/>
        <v>269.48888888888888</v>
      </c>
      <c r="W39" s="60">
        <f t="shared" si="1"/>
        <v>110.1783567713136</v>
      </c>
      <c r="X39" s="60">
        <f t="shared" si="2"/>
        <v>113.49530193739257</v>
      </c>
      <c r="Y39" s="60">
        <f t="shared" si="3"/>
        <v>109.74489330166013</v>
      </c>
    </row>
    <row r="40" spans="1:25" x14ac:dyDescent="0.25">
      <c r="A40" t="s">
        <v>72</v>
      </c>
      <c r="B40" s="20">
        <f>B39/B13</f>
        <v>143.15269094212016</v>
      </c>
      <c r="C40" t="s">
        <v>76</v>
      </c>
      <c r="F40" t="s">
        <v>48</v>
      </c>
      <c r="G40" s="16">
        <f>G39/B13</f>
        <v>305.47605712685521</v>
      </c>
      <c r="H40" t="s">
        <v>49</v>
      </c>
      <c r="L40" s="48" t="s">
        <v>84</v>
      </c>
      <c r="M40" s="49"/>
      <c r="P40" s="58">
        <v>45323</v>
      </c>
      <c r="Q40" s="6">
        <v>169.99</v>
      </c>
      <c r="R40" s="6">
        <v>5137.08</v>
      </c>
      <c r="S40" s="6">
        <v>16274.94</v>
      </c>
      <c r="T40" s="6">
        <v>39087.379999999997</v>
      </c>
      <c r="U40" s="58">
        <v>45323</v>
      </c>
      <c r="V40" s="60">
        <f t="shared" si="0"/>
        <v>377.75555555555559</v>
      </c>
      <c r="W40" s="60">
        <f t="shared" si="1"/>
        <v>114.14388971965525</v>
      </c>
      <c r="X40" s="60">
        <f t="shared" si="2"/>
        <v>118.18639315583887</v>
      </c>
      <c r="Y40" s="60">
        <f t="shared" si="3"/>
        <v>112.56112588252944</v>
      </c>
    </row>
    <row r="41" spans="1:25" x14ac:dyDescent="0.25">
      <c r="A41" t="s">
        <v>46</v>
      </c>
      <c r="B41" s="22">
        <f>(B40/B12)-1</f>
        <v>-0.41570330227706054</v>
      </c>
      <c r="C41" t="s">
        <v>47</v>
      </c>
      <c r="F41" t="s">
        <v>46</v>
      </c>
      <c r="G41" s="21">
        <f>(G40/B12)-1</f>
        <v>0.24684104949736829</v>
      </c>
      <c r="H41" t="s">
        <v>50</v>
      </c>
      <c r="L41" s="50" t="s">
        <v>41</v>
      </c>
      <c r="M41" s="51">
        <f>B40</f>
        <v>143.15269094212016</v>
      </c>
      <c r="P41" s="58">
        <v>45352</v>
      </c>
      <c r="Q41" s="6">
        <v>178.24</v>
      </c>
      <c r="R41" s="6">
        <v>5234.18</v>
      </c>
      <c r="S41" s="6">
        <v>16428.82</v>
      </c>
      <c r="T41" s="6">
        <v>39807.370000000003</v>
      </c>
      <c r="U41" s="58">
        <v>45352</v>
      </c>
      <c r="V41" s="60">
        <f t="shared" si="0"/>
        <v>396.0888888888889</v>
      </c>
      <c r="W41" s="60">
        <f t="shared" si="1"/>
        <v>116.30141338908975</v>
      </c>
      <c r="X41" s="60">
        <f t="shared" si="2"/>
        <v>119.30384871504955</v>
      </c>
      <c r="Y41" s="60">
        <f t="shared" si="3"/>
        <v>114.63450314711363</v>
      </c>
    </row>
    <row r="42" spans="1:25" x14ac:dyDescent="0.25">
      <c r="L42" s="50" t="s">
        <v>8</v>
      </c>
      <c r="M42" s="55">
        <f>B12</f>
        <v>245</v>
      </c>
      <c r="P42" s="58">
        <v>45383</v>
      </c>
      <c r="Q42" s="6">
        <v>188.37</v>
      </c>
      <c r="R42" s="6">
        <v>4967.2299999999996</v>
      </c>
      <c r="S42" s="6">
        <v>15282.01</v>
      </c>
      <c r="T42" s="6">
        <v>37986.400000000001</v>
      </c>
      <c r="U42" s="58">
        <v>45383</v>
      </c>
      <c r="V42" s="60">
        <f t="shared" si="0"/>
        <v>418.6</v>
      </c>
      <c r="W42" s="60">
        <f t="shared" si="1"/>
        <v>110.36988976853837</v>
      </c>
      <c r="X42" s="60">
        <f t="shared" si="2"/>
        <v>110.97587100606583</v>
      </c>
      <c r="Y42" s="60">
        <f t="shared" si="3"/>
        <v>109.39060004083458</v>
      </c>
    </row>
    <row r="43" spans="1:25" x14ac:dyDescent="0.25">
      <c r="L43" s="50" t="s">
        <v>89</v>
      </c>
      <c r="M43" s="51">
        <f>(B40-B12)</f>
        <v>-101.84730905787984</v>
      </c>
      <c r="P43" s="58">
        <v>45413</v>
      </c>
      <c r="Q43" s="6">
        <v>230.63</v>
      </c>
      <c r="R43" s="6">
        <v>5277.51</v>
      </c>
      <c r="S43" s="6">
        <v>16735.02</v>
      </c>
      <c r="T43" s="6">
        <v>38686.32</v>
      </c>
      <c r="U43" s="58">
        <v>45413</v>
      </c>
      <c r="V43" s="60">
        <f t="shared" si="0"/>
        <v>512.51111111111106</v>
      </c>
      <c r="W43" s="60">
        <f t="shared" si="1"/>
        <v>117.26418888442029</v>
      </c>
      <c r="X43" s="60">
        <f t="shared" si="2"/>
        <v>121.52743132637211</v>
      </c>
      <c r="Y43" s="60">
        <f t="shared" si="3"/>
        <v>111.40618111144356</v>
      </c>
    </row>
    <row r="44" spans="1:25" x14ac:dyDescent="0.25">
      <c r="L44" s="50" t="s">
        <v>88</v>
      </c>
      <c r="M44" s="56">
        <f>((B40-B12)/(B12))</f>
        <v>-0.41570330227706059</v>
      </c>
      <c r="P44" s="58">
        <v>45444</v>
      </c>
      <c r="Q44" s="6">
        <v>200.27</v>
      </c>
      <c r="R44" s="6">
        <v>5464.62</v>
      </c>
      <c r="S44" s="6">
        <v>17689.36</v>
      </c>
      <c r="T44" s="6">
        <v>39150.33</v>
      </c>
      <c r="U44" s="58">
        <v>45444</v>
      </c>
      <c r="V44" s="60">
        <f t="shared" si="0"/>
        <v>445.04444444444448</v>
      </c>
      <c r="W44" s="60">
        <f t="shared" si="1"/>
        <v>121.42169922209163</v>
      </c>
      <c r="X44" s="60">
        <f t="shared" si="2"/>
        <v>128.45771816271949</v>
      </c>
      <c r="Y44" s="60">
        <f t="shared" si="3"/>
        <v>112.7424049264128</v>
      </c>
    </row>
    <row r="45" spans="1:25" x14ac:dyDescent="0.25">
      <c r="L45" s="50"/>
      <c r="M45" s="52"/>
      <c r="P45" s="58">
        <v>45474</v>
      </c>
      <c r="Q45" s="6">
        <v>175.04</v>
      </c>
      <c r="R45" s="6">
        <v>5459.1</v>
      </c>
      <c r="S45" s="6">
        <v>17357.88</v>
      </c>
      <c r="T45" s="6">
        <v>40287.53</v>
      </c>
      <c r="U45" s="58">
        <v>45474</v>
      </c>
      <c r="V45" s="60">
        <f t="shared" si="0"/>
        <v>388.97777777777776</v>
      </c>
      <c r="W45" s="60">
        <f t="shared" si="1"/>
        <v>121.29904700113099</v>
      </c>
      <c r="X45" s="60">
        <f t="shared" si="2"/>
        <v>126.05055564148762</v>
      </c>
      <c r="Y45" s="60">
        <f t="shared" si="3"/>
        <v>116.01723461194334</v>
      </c>
    </row>
    <row r="46" spans="1:25" x14ac:dyDescent="0.25">
      <c r="L46" s="53" t="s">
        <v>54</v>
      </c>
      <c r="M46" s="52"/>
      <c r="P46" s="58">
        <v>45505</v>
      </c>
      <c r="Q46" s="6">
        <v>194.99</v>
      </c>
      <c r="R46" s="6">
        <v>5648.4</v>
      </c>
      <c r="S46" s="6">
        <v>17877.79</v>
      </c>
      <c r="T46" s="6">
        <v>41175.08</v>
      </c>
      <c r="U46" s="58">
        <v>45505</v>
      </c>
      <c r="V46" s="60">
        <f t="shared" si="0"/>
        <v>433.31111111111113</v>
      </c>
      <c r="W46" s="60">
        <f t="shared" si="1"/>
        <v>125.50521827429213</v>
      </c>
      <c r="X46" s="60">
        <f t="shared" si="2"/>
        <v>129.82607110671526</v>
      </c>
      <c r="Y46" s="60">
        <f t="shared" si="3"/>
        <v>118.57313954281972</v>
      </c>
    </row>
    <row r="47" spans="1:25" x14ac:dyDescent="0.25">
      <c r="L47" s="50" t="s">
        <v>41</v>
      </c>
      <c r="M47" s="51">
        <f>B40</f>
        <v>143.15269094212016</v>
      </c>
      <c r="P47" s="58">
        <v>45536</v>
      </c>
      <c r="Q47" s="6">
        <v>257</v>
      </c>
      <c r="R47" s="6">
        <v>5751.07</v>
      </c>
      <c r="S47" s="6">
        <v>18137.849999999999</v>
      </c>
      <c r="T47" s="6">
        <v>42313</v>
      </c>
      <c r="U47" s="58">
        <v>45536</v>
      </c>
      <c r="V47" s="60">
        <f t="shared" si="0"/>
        <v>571.11111111111109</v>
      </c>
      <c r="W47" s="60">
        <f t="shared" si="1"/>
        <v>127.7865051449496</v>
      </c>
      <c r="X47" s="60">
        <f t="shared" si="2"/>
        <v>131.7145913349992</v>
      </c>
      <c r="Y47" s="60">
        <f t="shared" si="3"/>
        <v>121.85004263441215</v>
      </c>
    </row>
    <row r="48" spans="1:25" x14ac:dyDescent="0.25">
      <c r="L48" s="50" t="s">
        <v>31</v>
      </c>
      <c r="M48" s="51">
        <f>G40</f>
        <v>305.47605712685521</v>
      </c>
      <c r="P48" s="58">
        <v>45566</v>
      </c>
      <c r="Q48" s="6">
        <v>264.41000000000003</v>
      </c>
      <c r="R48" s="6">
        <v>5728.8</v>
      </c>
      <c r="S48" s="6">
        <v>18518.61</v>
      </c>
      <c r="T48" s="6">
        <v>42052.19</v>
      </c>
      <c r="U48" s="58">
        <v>45566</v>
      </c>
      <c r="V48" s="60">
        <f t="shared" si="0"/>
        <v>587.5777777777779</v>
      </c>
      <c r="W48" s="60">
        <f t="shared" si="1"/>
        <v>127.29167453611021</v>
      </c>
      <c r="X48" s="60">
        <f t="shared" si="2"/>
        <v>134.47961849073786</v>
      </c>
      <c r="Y48" s="60">
        <f t="shared" si="3"/>
        <v>121.09898008579869</v>
      </c>
    </row>
    <row r="49" spans="12:25" x14ac:dyDescent="0.25">
      <c r="L49" s="50" t="s">
        <v>89</v>
      </c>
      <c r="M49" s="51">
        <f>-(G40-B40)</f>
        <v>-162.32336618473505</v>
      </c>
      <c r="P49" s="58">
        <v>45597</v>
      </c>
      <c r="Q49" s="6">
        <v>249.89</v>
      </c>
      <c r="R49" s="6">
        <v>5969.34</v>
      </c>
      <c r="S49" s="6">
        <v>19003.650000000001</v>
      </c>
      <c r="T49" s="6">
        <v>44296.51</v>
      </c>
      <c r="U49" s="58">
        <v>45597</v>
      </c>
      <c r="V49" s="60">
        <f t="shared" si="0"/>
        <v>555.31111111111113</v>
      </c>
      <c r="W49" s="60">
        <f t="shared" si="1"/>
        <v>132.63637838210167</v>
      </c>
      <c r="X49" s="60">
        <f t="shared" si="2"/>
        <v>138.00191277485249</v>
      </c>
      <c r="Y49" s="60">
        <f t="shared" si="3"/>
        <v>127.56201715916301</v>
      </c>
    </row>
    <row r="50" spans="12:25" x14ac:dyDescent="0.25">
      <c r="L50" s="54" t="s">
        <v>88</v>
      </c>
      <c r="M50" s="57">
        <f>((B40-G40)/(G40))</f>
        <v>-0.5313783597688867</v>
      </c>
      <c r="P50" s="58">
        <v>45627</v>
      </c>
      <c r="Q50" s="6">
        <v>226.54</v>
      </c>
      <c r="R50" s="6">
        <v>5942.47</v>
      </c>
      <c r="S50" s="6">
        <v>19722.03</v>
      </c>
      <c r="T50" s="6">
        <v>42840.26</v>
      </c>
      <c r="U50" s="58">
        <v>45627</v>
      </c>
      <c r="V50" s="60">
        <f t="shared" si="0"/>
        <v>503.42222222222216</v>
      </c>
      <c r="W50" s="60">
        <f t="shared" si="1"/>
        <v>132.03933758912839</v>
      </c>
      <c r="X50" s="60">
        <f t="shared" si="2"/>
        <v>143.21869029386582</v>
      </c>
      <c r="Y50" s="60">
        <f t="shared" si="3"/>
        <v>123.3684094124572</v>
      </c>
    </row>
    <row r="51" spans="12:25" x14ac:dyDescent="0.25">
      <c r="P51" s="58">
        <v>45658</v>
      </c>
      <c r="Q51" s="6">
        <v>299.98</v>
      </c>
      <c r="R51" s="6">
        <v>6040.53</v>
      </c>
      <c r="S51" s="6">
        <v>19627.439999999999</v>
      </c>
      <c r="T51" s="6">
        <v>44424.25</v>
      </c>
      <c r="U51" s="58">
        <v>45658</v>
      </c>
      <c r="V51" s="60">
        <f t="shared" si="0"/>
        <v>666.62222222222226</v>
      </c>
      <c r="W51" s="60">
        <f t="shared" si="1"/>
        <v>134.2181920795995</v>
      </c>
      <c r="X51" s="60">
        <f t="shared" si="2"/>
        <v>142.53179062304611</v>
      </c>
      <c r="Y51" s="60">
        <f t="shared" si="3"/>
        <v>127.92987395131009</v>
      </c>
    </row>
    <row r="52" spans="12:25" x14ac:dyDescent="0.25">
      <c r="P52" s="58">
        <v>45689</v>
      </c>
      <c r="Q52" s="6">
        <v>250.24</v>
      </c>
      <c r="R52" s="6">
        <v>5954.5</v>
      </c>
      <c r="S52" s="6">
        <v>19524.009999999998</v>
      </c>
      <c r="T52" s="6">
        <v>43840.91</v>
      </c>
      <c r="U52" s="58">
        <v>45689</v>
      </c>
      <c r="V52" s="60">
        <f t="shared" si="0"/>
        <v>556.08888888888885</v>
      </c>
      <c r="W52" s="60">
        <f t="shared" si="1"/>
        <v>132.30663944024371</v>
      </c>
      <c r="X52" s="60">
        <f t="shared" si="2"/>
        <v>141.7806960786663</v>
      </c>
      <c r="Y52" s="60">
        <f t="shared" si="3"/>
        <v>126.25001187888891</v>
      </c>
    </row>
    <row r="53" spans="12:25" x14ac:dyDescent="0.25">
      <c r="P53" s="58">
        <v>45717</v>
      </c>
      <c r="Q53" s="6">
        <v>222.48</v>
      </c>
      <c r="R53" s="6">
        <v>5074.08</v>
      </c>
      <c r="S53" s="6">
        <v>15587.79</v>
      </c>
      <c r="T53" s="6">
        <v>38314.86</v>
      </c>
      <c r="U53" s="58">
        <v>45717</v>
      </c>
      <c r="V53" s="60">
        <f t="shared" si="0"/>
        <v>494.4</v>
      </c>
      <c r="W53" s="60">
        <f t="shared" si="1"/>
        <v>112.74405458912618</v>
      </c>
      <c r="X53" s="60">
        <f t="shared" si="2"/>
        <v>113.19640363470793</v>
      </c>
      <c r="Y53" s="60">
        <f t="shared" si="3"/>
        <v>110.33647636734649</v>
      </c>
    </row>
    <row r="54" spans="12:25" x14ac:dyDescent="0.25">
      <c r="P54" s="58">
        <v>45748</v>
      </c>
      <c r="Q54" s="6">
        <v>222.99</v>
      </c>
      <c r="R54" s="6">
        <v>5282.7</v>
      </c>
      <c r="S54" s="6">
        <v>16286.45</v>
      </c>
      <c r="T54" s="6">
        <v>39142.230000000003</v>
      </c>
      <c r="U54" s="58">
        <v>45748</v>
      </c>
      <c r="V54" s="60">
        <f t="shared" si="0"/>
        <v>495.53333333333336</v>
      </c>
      <c r="W54" s="60">
        <f t="shared" si="1"/>
        <v>117.37950863564959</v>
      </c>
      <c r="X54" s="60">
        <f t="shared" si="2"/>
        <v>118.26997720501041</v>
      </c>
      <c r="Y54" s="60">
        <f t="shared" si="3"/>
        <v>112.71907910821655</v>
      </c>
    </row>
    <row r="55" spans="12:25" x14ac:dyDescent="0.25">
      <c r="P55" s="58">
        <v>45778</v>
      </c>
      <c r="Q55" s="6">
        <v>297.49</v>
      </c>
      <c r="R55" s="6">
        <v>5802.82</v>
      </c>
      <c r="S55" s="6">
        <v>19113.77</v>
      </c>
      <c r="T55" s="6">
        <v>41603.07</v>
      </c>
      <c r="U55" s="58">
        <v>45778</v>
      </c>
      <c r="V55" s="60">
        <f t="shared" si="0"/>
        <v>661.08888888888885</v>
      </c>
      <c r="W55" s="60">
        <f t="shared" si="1"/>
        <v>128.9363697164556</v>
      </c>
      <c r="X55" s="60">
        <f t="shared" si="2"/>
        <v>138.80158918621379</v>
      </c>
      <c r="Y55" s="60">
        <f t="shared" si="3"/>
        <v>119.8056354600816</v>
      </c>
    </row>
    <row r="56" spans="12:25" x14ac:dyDescent="0.25">
      <c r="P56" s="58">
        <v>45809</v>
      </c>
      <c r="Q56" s="6">
        <v>320.17</v>
      </c>
      <c r="R56" s="6">
        <v>6279.35</v>
      </c>
      <c r="S56" s="6">
        <v>19447.41</v>
      </c>
      <c r="T56" s="6">
        <v>42206.82</v>
      </c>
      <c r="U56" s="58">
        <v>45809</v>
      </c>
      <c r="V56" s="60">
        <f t="shared" si="0"/>
        <v>711.48888888888894</v>
      </c>
      <c r="W56" s="60">
        <f t="shared" si="1"/>
        <v>139.52467820456704</v>
      </c>
      <c r="X56" s="60">
        <f t="shared" si="2"/>
        <v>141.22443733265945</v>
      </c>
      <c r="Y56" s="60">
        <f t="shared" si="3"/>
        <v>121.54427283489611</v>
      </c>
    </row>
    <row r="57" spans="12:25" x14ac:dyDescent="0.25">
      <c r="P57" s="58">
        <v>45839</v>
      </c>
      <c r="Q57" s="6">
        <v>327.35000000000002</v>
      </c>
      <c r="R57" s="6">
        <v>6238.01</v>
      </c>
      <c r="S57" s="6">
        <v>20650.13</v>
      </c>
      <c r="T57" s="6">
        <v>44901.919999999998</v>
      </c>
      <c r="U57" s="58">
        <v>45839</v>
      </c>
      <c r="V57" s="60">
        <f t="shared" si="0"/>
        <v>727.44444444444446</v>
      </c>
      <c r="W57" s="60">
        <f t="shared" si="1"/>
        <v>138.60611972367701</v>
      </c>
      <c r="X57" s="60">
        <f t="shared" si="2"/>
        <v>149.95842583132</v>
      </c>
      <c r="Y57" s="60">
        <f t="shared" si="3"/>
        <v>129.30543488684242</v>
      </c>
    </row>
    <row r="58" spans="12:25" x14ac:dyDescent="0.25">
      <c r="P58" s="58">
        <v>45870</v>
      </c>
      <c r="Q58" s="6">
        <v>310.16000000000003</v>
      </c>
      <c r="R58" s="6">
        <v>6460.26</v>
      </c>
      <c r="S58" s="6">
        <v>21496.54</v>
      </c>
      <c r="T58" s="6">
        <v>45544.88</v>
      </c>
      <c r="U58" s="58">
        <v>45870</v>
      </c>
      <c r="V58" s="60">
        <f t="shared" si="0"/>
        <v>689.24444444444453</v>
      </c>
      <c r="W58" s="60">
        <f t="shared" si="1"/>
        <v>143.5444269897101</v>
      </c>
      <c r="X58" s="60">
        <f t="shared" si="2"/>
        <v>156.10493973742555</v>
      </c>
      <c r="Y58" s="60">
        <f t="shared" si="3"/>
        <v>131.15698650011072</v>
      </c>
    </row>
    <row r="59" spans="12:25" x14ac:dyDescent="0.25">
      <c r="P59" s="58">
        <v>45901</v>
      </c>
      <c r="Q59" s="6">
        <v>331.26</v>
      </c>
      <c r="R59" s="6">
        <v>6715.79</v>
      </c>
      <c r="S59" s="6">
        <v>22780.51</v>
      </c>
      <c r="T59" s="6">
        <v>46758.28</v>
      </c>
      <c r="U59" s="58">
        <v>45901</v>
      </c>
      <c r="V59" s="60">
        <f t="shared" si="0"/>
        <v>736.13333333333333</v>
      </c>
      <c r="W59" s="60">
        <f t="shared" si="1"/>
        <v>149.22220271834652</v>
      </c>
      <c r="X59" s="60">
        <f t="shared" si="2"/>
        <v>165.42895464748372</v>
      </c>
      <c r="Y59" s="60">
        <f t="shared" si="3"/>
        <v>134.65125166052468</v>
      </c>
    </row>
    <row r="60" spans="12:25" x14ac:dyDescent="0.25">
      <c r="P60" s="58">
        <v>45931</v>
      </c>
      <c r="Q60" s="6">
        <v>389.19</v>
      </c>
      <c r="R60" s="6">
        <v>6840.2</v>
      </c>
      <c r="S60" s="6">
        <v>23204.87</v>
      </c>
      <c r="T60" s="6">
        <v>47207.12</v>
      </c>
      <c r="U60" s="58">
        <v>45931</v>
      </c>
      <c r="V60" s="60">
        <f t="shared" si="0"/>
        <v>864.86666666666667</v>
      </c>
      <c r="W60" s="60">
        <f t="shared" si="1"/>
        <v>151.98654380706273</v>
      </c>
      <c r="X60" s="60">
        <f t="shared" si="2"/>
        <v>168.51059905290776</v>
      </c>
      <c r="Y60" s="60">
        <f t="shared" si="3"/>
        <v>135.94378996166213</v>
      </c>
    </row>
    <row r="61" spans="12:25" x14ac:dyDescent="0.25">
      <c r="P61" s="58">
        <v>45962</v>
      </c>
      <c r="Q61" s="6">
        <v>364.36</v>
      </c>
      <c r="R61" s="6">
        <v>6849.09</v>
      </c>
      <c r="S61" s="6">
        <v>23365.69</v>
      </c>
      <c r="T61" s="6">
        <v>46245.41</v>
      </c>
      <c r="U61" s="58">
        <v>45962</v>
      </c>
      <c r="V61" s="60">
        <f t="shared" si="0"/>
        <v>809.68888888888898</v>
      </c>
      <c r="W61" s="60">
        <f t="shared" si="1"/>
        <v>152.18407609770406</v>
      </c>
      <c r="X61" s="60">
        <f t="shared" si="2"/>
        <v>169.67845194498122</v>
      </c>
      <c r="Y61" s="60">
        <f t="shared" si="3"/>
        <v>133.17432420641103</v>
      </c>
    </row>
    <row r="62" spans="12:25" x14ac:dyDescent="0.25">
      <c r="P62" s="58">
        <v>45992</v>
      </c>
      <c r="Q62" s="6">
        <v>360.46</v>
      </c>
      <c r="R62" s="6">
        <v>6929.94</v>
      </c>
      <c r="S62" s="6">
        <v>23593.1</v>
      </c>
      <c r="T62" s="6">
        <v>48134.89</v>
      </c>
      <c r="U62" s="58">
        <v>45992</v>
      </c>
      <c r="V62" s="60">
        <f t="shared" si="0"/>
        <v>801.02222222222213</v>
      </c>
      <c r="W62" s="60">
        <f t="shared" si="1"/>
        <v>153.98053118188301</v>
      </c>
      <c r="X62" s="60">
        <f t="shared" si="2"/>
        <v>171.32987232917736</v>
      </c>
      <c r="Y62" s="60">
        <f t="shared" si="3"/>
        <v>138.61551765894023</v>
      </c>
    </row>
    <row r="63" spans="12:25" x14ac:dyDescent="0.25">
      <c r="P63" s="58">
        <v>46023</v>
      </c>
      <c r="Q63" s="6">
        <v>289.06</v>
      </c>
      <c r="R63" s="6">
        <v>6939.03</v>
      </c>
      <c r="S63" s="6">
        <v>23461.82</v>
      </c>
      <c r="T63" s="6">
        <v>49098.71</v>
      </c>
      <c r="U63" s="58">
        <v>46023</v>
      </c>
      <c r="V63" s="60">
        <f t="shared" si="0"/>
        <v>642.35555555555561</v>
      </c>
      <c r="W63" s="60">
        <f t="shared" si="1"/>
        <v>154.18250739357364</v>
      </c>
      <c r="X63" s="60">
        <f t="shared" si="2"/>
        <v>170.37653488562927</v>
      </c>
      <c r="Y63" s="60">
        <f t="shared" si="3"/>
        <v>141.39105964584496</v>
      </c>
    </row>
    <row r="64" spans="12:25" x14ac:dyDescent="0.25">
      <c r="P64" s="58">
        <v>46054</v>
      </c>
      <c r="Q64" s="6">
        <v>294.83999999999997</v>
      </c>
      <c r="R64" s="6">
        <v>6909.51</v>
      </c>
      <c r="S64" s="6">
        <v>22668.21</v>
      </c>
      <c r="T64" s="6">
        <v>48977.919999999998</v>
      </c>
      <c r="U64" s="58">
        <v>46054</v>
      </c>
      <c r="V64" s="60">
        <f t="shared" si="0"/>
        <v>655.19999999999993</v>
      </c>
      <c r="W64" s="60">
        <f t="shared" si="1"/>
        <v>153.52658464669716</v>
      </c>
      <c r="X64" s="60">
        <f t="shared" si="2"/>
        <v>164.61344737363811</v>
      </c>
      <c r="Y64" s="60">
        <f t="shared" si="3"/>
        <v>141.04321698165637</v>
      </c>
    </row>
    <row r="65" spans="16:25" x14ac:dyDescent="0.25">
      <c r="P65" s="58">
        <v>46082</v>
      </c>
      <c r="Q65" s="6">
        <v>281.99</v>
      </c>
      <c r="R65" s="6">
        <v>6368.85</v>
      </c>
      <c r="S65" s="6">
        <v>20948.36</v>
      </c>
      <c r="T65" s="6">
        <v>45577.47</v>
      </c>
      <c r="U65" s="58">
        <v>46082</v>
      </c>
      <c r="V65" s="60">
        <f t="shared" si="0"/>
        <v>626.6444444444445</v>
      </c>
      <c r="W65" s="60">
        <f t="shared" si="1"/>
        <v>141.51333287412817</v>
      </c>
      <c r="X65" s="60">
        <f t="shared" si="2"/>
        <v>152.12413139034913</v>
      </c>
      <c r="Y65" s="60">
        <f t="shared" si="3"/>
        <v>131.25083692171768</v>
      </c>
    </row>
    <row r="66" spans="16:25" x14ac:dyDescent="0.25">
      <c r="P66" s="58">
        <v>46113</v>
      </c>
      <c r="Q66" s="6">
        <v>313.52999999999997</v>
      </c>
      <c r="R66" s="6">
        <v>7123.06</v>
      </c>
      <c r="S66" s="6">
        <v>24468.48</v>
      </c>
      <c r="T66" s="6">
        <v>49447.43</v>
      </c>
      <c r="U66" s="58">
        <v>46113</v>
      </c>
      <c r="V66" s="60">
        <f t="shared" si="0"/>
        <v>696.73333333333323</v>
      </c>
      <c r="W66" s="60">
        <f t="shared" si="1"/>
        <v>158.2715813470858</v>
      </c>
      <c r="X66" s="60">
        <f t="shared" si="2"/>
        <v>177.6867624215991</v>
      </c>
      <c r="Y66" s="60">
        <f t="shared" si="3"/>
        <v>142.39527931515397</v>
      </c>
    </row>
    <row r="67" spans="16:25" x14ac:dyDescent="0.25">
      <c r="P67" s="58">
        <v>46143</v>
      </c>
      <c r="Q67" s="6">
        <v>287.75</v>
      </c>
      <c r="R67" s="6">
        <v>7473.47</v>
      </c>
      <c r="S67" s="6">
        <v>26343.97</v>
      </c>
      <c r="T67" s="6">
        <v>50579.7</v>
      </c>
      <c r="U67" s="58">
        <v>46143</v>
      </c>
      <c r="V67" s="60">
        <f t="shared" si="0"/>
        <v>639.44444444444446</v>
      </c>
      <c r="W67" s="60">
        <f t="shared" si="1"/>
        <v>166.05755322150947</v>
      </c>
      <c r="X67" s="60">
        <f t="shared" si="2"/>
        <v>191.30631484390264</v>
      </c>
      <c r="Y67" s="60">
        <f t="shared" si="3"/>
        <v>145.65591192862183</v>
      </c>
    </row>
    <row r="68" spans="16:25" x14ac:dyDescent="0.25">
      <c r="P68" s="58">
        <v>46174</v>
      </c>
      <c r="Q68" s="6">
        <v>264.02</v>
      </c>
      <c r="R68" s="6">
        <v>7425.29</v>
      </c>
      <c r="S68" s="6">
        <v>25883.49</v>
      </c>
      <c r="T68" s="6">
        <v>51200.15</v>
      </c>
      <c r="U68" s="58">
        <v>46174</v>
      </c>
      <c r="V68" s="60">
        <f t="shared" si="0"/>
        <v>586.71111111111111</v>
      </c>
      <c r="W68" s="60">
        <f t="shared" si="1"/>
        <v>164.98701264073344</v>
      </c>
      <c r="X68" s="60">
        <f t="shared" si="2"/>
        <v>187.96237192795942</v>
      </c>
      <c r="Y68" s="60">
        <f t="shared" si="3"/>
        <v>147.44264080514964</v>
      </c>
    </row>
    <row r="69" spans="16:25" x14ac:dyDescent="0.25">
      <c r="P69" s="58">
        <v>46204</v>
      </c>
      <c r="Q69" s="61">
        <v>244.52</v>
      </c>
      <c r="R69" s="6">
        <v>7483.24</v>
      </c>
      <c r="S69" s="6">
        <v>25832.67</v>
      </c>
      <c r="T69" s="6">
        <v>52900.07</v>
      </c>
      <c r="U69" s="58">
        <v>46204</v>
      </c>
      <c r="V69" s="60">
        <f t="shared" si="0"/>
        <v>543.37777777777785</v>
      </c>
      <c r="W69" s="60">
        <f t="shared" si="1"/>
        <v>166.2746387647677</v>
      </c>
      <c r="X69" s="60">
        <f t="shared" si="2"/>
        <v>187.59332402362426</v>
      </c>
      <c r="Y69" s="60">
        <f t="shared" si="3"/>
        <v>152.33795251727332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0FFF-F9A4-43E8-8F2E-B1C1ECC44E70}">
  <dimension ref="A1:Z69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0.23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7.1300000000000002E-2</v>
      </c>
      <c r="C7" s="41"/>
      <c r="P7">
        <v>2026</v>
      </c>
      <c r="Q7" s="26">
        <f>D28</f>
        <v>3303582000</v>
      </c>
      <c r="R7" s="26"/>
      <c r="S7" t="s">
        <v>41</v>
      </c>
      <c r="T7" s="16">
        <f>B40</f>
        <v>534.97511447785519</v>
      </c>
    </row>
    <row r="8" spans="1:26" x14ac:dyDescent="0.25">
      <c r="A8" s="40" t="s">
        <v>4</v>
      </c>
      <c r="B8" s="32">
        <v>3.5000000000000003E-2</v>
      </c>
      <c r="C8" s="41"/>
      <c r="P8">
        <v>2027</v>
      </c>
      <c r="Q8" s="26">
        <f>E28</f>
        <v>4294656600</v>
      </c>
      <c r="R8" s="26"/>
      <c r="S8" t="s">
        <v>55</v>
      </c>
      <c r="T8" s="16">
        <v>289.98</v>
      </c>
    </row>
    <row r="9" spans="1:26" x14ac:dyDescent="0.25">
      <c r="A9" s="40" t="s">
        <v>5</v>
      </c>
      <c r="B9" s="33" t="s">
        <v>101</v>
      </c>
      <c r="C9" s="41"/>
      <c r="P9">
        <v>2028</v>
      </c>
      <c r="Q9" s="26">
        <f>F28</f>
        <v>5153587920</v>
      </c>
      <c r="R9" s="26"/>
      <c r="S9" t="s">
        <v>8</v>
      </c>
      <c r="T9" s="16">
        <f>B12</f>
        <v>245</v>
      </c>
    </row>
    <row r="10" spans="1:26" x14ac:dyDescent="0.25">
      <c r="A10" s="40" t="s">
        <v>6</v>
      </c>
      <c r="B10" s="34">
        <v>46211</v>
      </c>
      <c r="C10" s="41"/>
      <c r="P10">
        <v>2029</v>
      </c>
      <c r="Q10" s="26">
        <f>G28</f>
        <v>6957343692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9044546799.6000004</v>
      </c>
      <c r="R11" s="26"/>
    </row>
    <row r="12" spans="1:26" x14ac:dyDescent="0.25">
      <c r="A12" s="40" t="s">
        <v>8</v>
      </c>
      <c r="B12" s="35">
        <v>245</v>
      </c>
      <c r="C12" s="41" t="s">
        <v>81</v>
      </c>
      <c r="P12">
        <v>2031</v>
      </c>
      <c r="Q12" s="26">
        <f>I28</f>
        <v>12210138179.459999</v>
      </c>
      <c r="R12" s="26"/>
    </row>
    <row r="13" spans="1:26" x14ac:dyDescent="0.25">
      <c r="A13" s="40" t="s">
        <v>9</v>
      </c>
      <c r="B13" s="36">
        <v>357100000</v>
      </c>
      <c r="C13" s="41"/>
    </row>
    <row r="14" spans="1:26" x14ac:dyDescent="0.25">
      <c r="A14" s="40" t="s">
        <v>10</v>
      </c>
      <c r="B14" s="35">
        <v>22460000000</v>
      </c>
      <c r="C14" s="41"/>
      <c r="P14" s="6" t="s">
        <v>16</v>
      </c>
      <c r="Q14" s="6" t="s">
        <v>96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97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864000000</v>
      </c>
      <c r="C15" s="41"/>
      <c r="P15" s="58">
        <v>44562</v>
      </c>
      <c r="Q15" s="6">
        <v>45</v>
      </c>
      <c r="R15" s="6">
        <v>4500.53</v>
      </c>
      <c r="S15" s="6">
        <v>13770.57</v>
      </c>
      <c r="T15" s="6">
        <v>34725.47</v>
      </c>
      <c r="U15" s="58">
        <v>44562</v>
      </c>
      <c r="V15" s="59">
        <f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103</v>
      </c>
      <c r="C16" s="41"/>
      <c r="P16" s="58">
        <v>44593</v>
      </c>
      <c r="Q16" s="6">
        <v>43.91</v>
      </c>
      <c r="R16" s="6">
        <v>4384.6499999999996</v>
      </c>
      <c r="S16" s="6">
        <v>13313.44</v>
      </c>
      <c r="T16" s="6">
        <v>34058.75</v>
      </c>
      <c r="U16" s="58">
        <v>44593</v>
      </c>
      <c r="V16" s="60">
        <f>(Q16/$Q$15)*100</f>
        <v>97.577777777777769</v>
      </c>
      <c r="W16" s="60">
        <f>(R16/$R$15)*100</f>
        <v>97.425192144036359</v>
      </c>
      <c r="X16" s="60">
        <f>(S16/$S$15)*100</f>
        <v>96.680384326865195</v>
      </c>
      <c r="Y16" s="60">
        <f>(T16/$T$15)*100</f>
        <v>98.080025986689307</v>
      </c>
      <c r="Z16" t="s">
        <v>74</v>
      </c>
    </row>
    <row r="17" spans="1:25" x14ac:dyDescent="0.25">
      <c r="A17" s="42" t="s">
        <v>80</v>
      </c>
      <c r="B17" s="43"/>
      <c r="C17" s="44"/>
      <c r="P17" s="58">
        <v>44621</v>
      </c>
      <c r="Q17" s="6">
        <v>58.02</v>
      </c>
      <c r="R17" s="6">
        <v>4543.0600000000004</v>
      </c>
      <c r="S17" s="6">
        <v>14169.3</v>
      </c>
      <c r="T17" s="6">
        <v>34861.24</v>
      </c>
      <c r="U17" s="58">
        <v>44621</v>
      </c>
      <c r="V17" s="60">
        <f t="shared" ref="V17:V69" si="0">(Q17/$Q$15)*100</f>
        <v>128.93333333333334</v>
      </c>
      <c r="W17" s="60">
        <f t="shared" ref="W17:W69" si="1">(R17/$R$15)*100</f>
        <v>100.94499981113336</v>
      </c>
      <c r="X17" s="60">
        <f t="shared" ref="X17:X69" si="2">(S17/$S$15)*100</f>
        <v>102.89552284328099</v>
      </c>
      <c r="Y17" s="60">
        <f t="shared" ref="Y17:Y69" si="3">(T17/$T$15)*100</f>
        <v>100.39098102919843</v>
      </c>
    </row>
    <row r="18" spans="1:25" x14ac:dyDescent="0.25">
      <c r="P18" s="58">
        <v>44652</v>
      </c>
      <c r="Q18" s="6">
        <v>59.21</v>
      </c>
      <c r="R18" s="6">
        <v>4271.78</v>
      </c>
      <c r="S18" s="6">
        <v>12839.29</v>
      </c>
      <c r="T18" s="6">
        <v>33811.4</v>
      </c>
      <c r="U18" s="58">
        <v>44652</v>
      </c>
      <c r="V18" s="60">
        <f t="shared" si="0"/>
        <v>131.57777777777778</v>
      </c>
      <c r="W18" s="60">
        <f t="shared" si="1"/>
        <v>94.917265299864681</v>
      </c>
      <c r="X18" s="60">
        <f t="shared" si="2"/>
        <v>93.237171736536695</v>
      </c>
      <c r="Y18" s="60">
        <f t="shared" si="3"/>
        <v>97.367724612510642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8">
        <v>44682</v>
      </c>
      <c r="Q19" s="6">
        <v>65.17</v>
      </c>
      <c r="R19" s="6">
        <v>4158.24</v>
      </c>
      <c r="S19" s="6">
        <v>11354.62</v>
      </c>
      <c r="T19" s="6">
        <v>33212.959999999999</v>
      </c>
      <c r="U19" s="58">
        <v>44682</v>
      </c>
      <c r="V19" s="60">
        <f t="shared" si="0"/>
        <v>144.82222222222222</v>
      </c>
      <c r="W19" s="60">
        <f t="shared" si="1"/>
        <v>92.394451320177851</v>
      </c>
      <c r="X19" s="60">
        <f t="shared" si="2"/>
        <v>82.45570081703228</v>
      </c>
      <c r="Y19" s="60">
        <f t="shared" si="3"/>
        <v>95.644378607402572</v>
      </c>
    </row>
    <row r="20" spans="1:25" x14ac:dyDescent="0.25">
      <c r="A20" t="s">
        <v>16</v>
      </c>
      <c r="C20" s="7">
        <v>46211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348140303463.94214</v>
      </c>
      <c r="P20" s="58">
        <v>44713</v>
      </c>
      <c r="Q20" s="6">
        <v>59.28</v>
      </c>
      <c r="R20" s="6">
        <v>3911.74</v>
      </c>
      <c r="S20" s="6">
        <v>11127.85</v>
      </c>
      <c r="T20" s="6">
        <v>31097.26</v>
      </c>
      <c r="U20" s="58">
        <v>44713</v>
      </c>
      <c r="V20" s="60">
        <f t="shared" si="0"/>
        <v>131.73333333333335</v>
      </c>
      <c r="W20" s="60">
        <f t="shared" si="1"/>
        <v>86.917318626917279</v>
      </c>
      <c r="X20" s="60">
        <f t="shared" si="2"/>
        <v>80.808928025492051</v>
      </c>
      <c r="Y20" s="60">
        <f t="shared" si="3"/>
        <v>89.551732489149884</v>
      </c>
    </row>
    <row r="21" spans="1:25" x14ac:dyDescent="0.25">
      <c r="A21" t="s">
        <v>18</v>
      </c>
      <c r="B21" t="s">
        <v>90</v>
      </c>
      <c r="D21" s="5">
        <v>25530000000</v>
      </c>
      <c r="E21" s="5">
        <f>D21*1.3</f>
        <v>33189000000</v>
      </c>
      <c r="F21" s="5">
        <f>E21*1.2</f>
        <v>39826800000</v>
      </c>
      <c r="G21" s="5">
        <f>F21*1.35</f>
        <v>53766180000</v>
      </c>
      <c r="H21" s="5">
        <f>G21*1.3</f>
        <v>69896034000</v>
      </c>
      <c r="I21" s="5">
        <f>H21*1.35</f>
        <v>94359645900</v>
      </c>
      <c r="L21" t="s">
        <v>19</v>
      </c>
      <c r="M21" s="13">
        <f>(I22+I25)*15.5</f>
        <v>394895118091.5</v>
      </c>
      <c r="P21" s="58">
        <v>44743</v>
      </c>
      <c r="Q21" s="60">
        <v>66.099999999999994</v>
      </c>
      <c r="R21" s="6">
        <v>4130.29</v>
      </c>
      <c r="S21" s="6">
        <v>12390.69</v>
      </c>
      <c r="T21" s="6">
        <v>32845.129999999997</v>
      </c>
      <c r="U21" s="58">
        <v>44743</v>
      </c>
      <c r="V21" s="60">
        <f t="shared" si="0"/>
        <v>146.88888888888886</v>
      </c>
      <c r="W21" s="60">
        <f t="shared" si="1"/>
        <v>91.773413353538373</v>
      </c>
      <c r="X21" s="60">
        <f t="shared" si="2"/>
        <v>89.979499759269231</v>
      </c>
      <c r="Y21" s="60">
        <f t="shared" si="3"/>
        <v>94.585127285534213</v>
      </c>
    </row>
    <row r="22" spans="1:25" x14ac:dyDescent="0.25">
      <c r="A22" t="s">
        <v>77</v>
      </c>
      <c r="B22" t="s">
        <v>102</v>
      </c>
      <c r="C22" s="25">
        <v>0.22</v>
      </c>
      <c r="D22" s="5">
        <f>D21*$C$22</f>
        <v>5616600000</v>
      </c>
      <c r="E22" s="5">
        <f t="shared" ref="E22:I22" si="4">E21*$C$22</f>
        <v>7301580000</v>
      </c>
      <c r="F22" s="5">
        <f t="shared" si="4"/>
        <v>8761896000</v>
      </c>
      <c r="G22" s="5">
        <f t="shared" si="4"/>
        <v>11828559600</v>
      </c>
      <c r="H22" s="5">
        <f t="shared" si="4"/>
        <v>15377127480</v>
      </c>
      <c r="I22" s="5">
        <f t="shared" si="4"/>
        <v>20759122098</v>
      </c>
      <c r="L22" t="s">
        <v>20</v>
      </c>
      <c r="M22" s="13">
        <f>(M20+M21)/2</f>
        <v>371517710777.72107</v>
      </c>
      <c r="P22" s="58">
        <v>44774</v>
      </c>
      <c r="Q22" s="6">
        <v>80.84</v>
      </c>
      <c r="R22" s="6">
        <v>3924.26</v>
      </c>
      <c r="S22" s="6">
        <v>12141.71</v>
      </c>
      <c r="T22" s="6">
        <v>31318.44</v>
      </c>
      <c r="U22" s="58">
        <v>44774</v>
      </c>
      <c r="V22" s="60">
        <f t="shared" si="0"/>
        <v>179.64444444444445</v>
      </c>
      <c r="W22" s="60">
        <f t="shared" si="1"/>
        <v>87.195508084603375</v>
      </c>
      <c r="X22" s="60">
        <f t="shared" si="2"/>
        <v>88.171440978841105</v>
      </c>
      <c r="Y22" s="60">
        <f t="shared" si="3"/>
        <v>90.188671312440121</v>
      </c>
    </row>
    <row r="23" spans="1:25" x14ac:dyDescent="0.25">
      <c r="A23" t="s">
        <v>21</v>
      </c>
      <c r="B23" t="s">
        <v>22</v>
      </c>
      <c r="C23" s="25"/>
      <c r="D23" s="5">
        <f>D22*$B$6</f>
        <v>1291818000</v>
      </c>
      <c r="E23" s="30">
        <f t="shared" ref="E23:I23" si="5">E22*$B$6</f>
        <v>1679363400</v>
      </c>
      <c r="F23" s="5">
        <f t="shared" si="5"/>
        <v>2015236080</v>
      </c>
      <c r="G23" s="30">
        <f t="shared" si="5"/>
        <v>2720568708</v>
      </c>
      <c r="H23" s="30">
        <f t="shared" si="5"/>
        <v>3536739320.4000001</v>
      </c>
      <c r="I23" s="5">
        <f t="shared" si="5"/>
        <v>4774598082.54</v>
      </c>
      <c r="P23" s="58">
        <v>44805</v>
      </c>
      <c r="Q23" s="6">
        <v>83.85</v>
      </c>
      <c r="R23" s="6">
        <v>3585.62</v>
      </c>
      <c r="S23" s="6">
        <v>10867.93</v>
      </c>
      <c r="T23" s="6">
        <v>30822.42</v>
      </c>
      <c r="U23" s="58">
        <v>44805</v>
      </c>
      <c r="V23" s="60">
        <f t="shared" si="0"/>
        <v>186.33333333333331</v>
      </c>
      <c r="W23" s="60">
        <f t="shared" si="1"/>
        <v>79.671060963930913</v>
      </c>
      <c r="X23" s="60">
        <f t="shared" si="2"/>
        <v>78.921424458101598</v>
      </c>
      <c r="Y23" s="60">
        <f t="shared" si="3"/>
        <v>88.760267319635972</v>
      </c>
    </row>
    <row r="24" spans="1:25" x14ac:dyDescent="0.25">
      <c r="A24" t="s">
        <v>23</v>
      </c>
      <c r="B24" t="s">
        <v>24</v>
      </c>
      <c r="C24" s="25"/>
      <c r="D24" s="5">
        <f>D22*(1-$B$6)</f>
        <v>4324782000</v>
      </c>
      <c r="E24" s="5">
        <f t="shared" ref="E24:I24" si="6">E22*(1-$B$6)</f>
        <v>5622216600</v>
      </c>
      <c r="F24" s="5">
        <f t="shared" si="6"/>
        <v>6746659920</v>
      </c>
      <c r="G24" s="5">
        <f t="shared" si="6"/>
        <v>9107990892</v>
      </c>
      <c r="H24" s="5">
        <f t="shared" si="6"/>
        <v>11840388159.6</v>
      </c>
      <c r="I24" s="5">
        <f t="shared" si="6"/>
        <v>15984524015.460001</v>
      </c>
      <c r="P24" s="58">
        <v>44835</v>
      </c>
      <c r="Q24" s="6">
        <v>93.75</v>
      </c>
      <c r="R24" s="6">
        <v>3901.06</v>
      </c>
      <c r="S24" s="6">
        <v>11102.45</v>
      </c>
      <c r="T24" s="6">
        <v>32861.800000000003</v>
      </c>
      <c r="U24" s="58">
        <v>44835</v>
      </c>
      <c r="V24" s="60">
        <f t="shared" si="0"/>
        <v>208.33333333333334</v>
      </c>
      <c r="W24" s="60">
        <f t="shared" si="1"/>
        <v>86.680013242884741</v>
      </c>
      <c r="X24" s="60">
        <f t="shared" si="2"/>
        <v>80.624476691959742</v>
      </c>
      <c r="Y24" s="60">
        <f t="shared" si="3"/>
        <v>94.633132395328275</v>
      </c>
    </row>
    <row r="25" spans="1:25" x14ac:dyDescent="0.25">
      <c r="A25" s="4" t="s">
        <v>25</v>
      </c>
      <c r="B25" s="8" t="s">
        <v>82</v>
      </c>
      <c r="C25" s="25">
        <v>0.05</v>
      </c>
      <c r="D25" s="12">
        <f>D21*$C$25</f>
        <v>1276500000</v>
      </c>
      <c r="E25" s="12">
        <f t="shared" ref="E25:I25" si="7">E21*$C$25</f>
        <v>1659450000</v>
      </c>
      <c r="F25" s="12">
        <f t="shared" si="7"/>
        <v>1991340000</v>
      </c>
      <c r="G25" s="12">
        <f t="shared" si="7"/>
        <v>2688309000</v>
      </c>
      <c r="H25" s="12">
        <f t="shared" si="7"/>
        <v>3494801700</v>
      </c>
      <c r="I25" s="12">
        <f t="shared" si="7"/>
        <v>4717982295</v>
      </c>
      <c r="P25" s="58">
        <v>44866</v>
      </c>
      <c r="Q25" s="6">
        <v>97.16</v>
      </c>
      <c r="R25" s="6">
        <v>4026.12</v>
      </c>
      <c r="S25" s="6">
        <v>11226.36</v>
      </c>
      <c r="T25" s="6">
        <v>34429.879999999997</v>
      </c>
      <c r="U25" s="58">
        <v>44866</v>
      </c>
      <c r="V25" s="60">
        <f t="shared" si="0"/>
        <v>215.91111111111113</v>
      </c>
      <c r="W25" s="60">
        <f t="shared" si="1"/>
        <v>89.458797075011162</v>
      </c>
      <c r="X25" s="60">
        <f t="shared" si="2"/>
        <v>81.524294201329354</v>
      </c>
      <c r="Y25" s="60">
        <f t="shared" si="3"/>
        <v>99.148780419674651</v>
      </c>
    </row>
    <row r="26" spans="1:25" x14ac:dyDescent="0.25">
      <c r="A26" t="s">
        <v>26</v>
      </c>
      <c r="B26" t="s">
        <v>94</v>
      </c>
      <c r="C26" s="25">
        <v>0.09</v>
      </c>
      <c r="D26" s="10">
        <f>D21*$C$26</f>
        <v>2297700000</v>
      </c>
      <c r="E26" s="10">
        <f t="shared" ref="E26:I26" si="8">E21*$C$26</f>
        <v>2987010000</v>
      </c>
      <c r="F26" s="10">
        <f t="shared" si="8"/>
        <v>3584412000</v>
      </c>
      <c r="G26" s="10">
        <f t="shared" si="8"/>
        <v>4838956200</v>
      </c>
      <c r="H26" s="10">
        <f t="shared" si="8"/>
        <v>6290643060</v>
      </c>
      <c r="I26" s="10">
        <f t="shared" si="8"/>
        <v>8492368131</v>
      </c>
      <c r="P26" s="58">
        <v>44896</v>
      </c>
      <c r="Q26" s="6">
        <v>86.21</v>
      </c>
      <c r="R26" s="6">
        <v>3839.5</v>
      </c>
      <c r="S26" s="6">
        <v>10466.48</v>
      </c>
      <c r="T26" s="6">
        <v>33203.93</v>
      </c>
      <c r="U26" s="58">
        <v>44896</v>
      </c>
      <c r="V26" s="60">
        <f t="shared" si="0"/>
        <v>191.57777777777775</v>
      </c>
      <c r="W26" s="60">
        <f t="shared" si="1"/>
        <v>85.312174343910613</v>
      </c>
      <c r="X26" s="60">
        <f t="shared" si="2"/>
        <v>76.006149346032885</v>
      </c>
      <c r="Y26" s="60">
        <f t="shared" si="3"/>
        <v>95.6183746397097</v>
      </c>
    </row>
    <row r="27" spans="1:25" x14ac:dyDescent="0.25">
      <c r="A27" t="s">
        <v>27</v>
      </c>
      <c r="B27" t="s">
        <v>87</v>
      </c>
      <c r="C27" s="45">
        <v>0</v>
      </c>
      <c r="D27" s="10">
        <f>D21*$C$27</f>
        <v>0</v>
      </c>
      <c r="E27" s="10">
        <f t="shared" ref="E27:I27" si="9">E21*$C$27</f>
        <v>0</v>
      </c>
      <c r="F27" s="10">
        <f t="shared" si="9"/>
        <v>0</v>
      </c>
      <c r="G27" s="10">
        <f t="shared" si="9"/>
        <v>0</v>
      </c>
      <c r="H27" s="10">
        <f t="shared" si="9"/>
        <v>0</v>
      </c>
      <c r="I27" s="10">
        <f t="shared" si="9"/>
        <v>0</v>
      </c>
      <c r="P27" s="58">
        <v>44927</v>
      </c>
      <c r="Q27" s="6">
        <v>86.58</v>
      </c>
      <c r="R27" s="6">
        <v>4070.56</v>
      </c>
      <c r="S27" s="6">
        <v>11140.43</v>
      </c>
      <c r="T27" s="6">
        <v>33375.49</v>
      </c>
      <c r="U27" s="58">
        <v>44927</v>
      </c>
      <c r="V27" s="60">
        <f t="shared" si="0"/>
        <v>192.4</v>
      </c>
      <c r="W27" s="60">
        <f t="shared" si="1"/>
        <v>90.446236332165327</v>
      </c>
      <c r="X27" s="60">
        <f t="shared" si="2"/>
        <v>80.900282268635209</v>
      </c>
      <c r="Y27" s="60">
        <f t="shared" si="3"/>
        <v>96.112421228567953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3303582000</v>
      </c>
      <c r="E28" s="12">
        <f t="shared" ref="E28:I28" si="10">E24+E25-E26-E27</f>
        <v>4294656600</v>
      </c>
      <c r="F28" s="12">
        <f t="shared" si="10"/>
        <v>5153587920</v>
      </c>
      <c r="G28" s="12">
        <f t="shared" si="10"/>
        <v>6957343692</v>
      </c>
      <c r="H28" s="12">
        <f t="shared" si="10"/>
        <v>9044546799.6000004</v>
      </c>
      <c r="I28" s="12">
        <f t="shared" si="10"/>
        <v>12210138179.459999</v>
      </c>
      <c r="P28" s="58">
        <v>44958</v>
      </c>
      <c r="Q28" s="6">
        <v>79.27</v>
      </c>
      <c r="R28" s="6">
        <v>4045.64</v>
      </c>
      <c r="S28" s="6">
        <v>11689.01</v>
      </c>
      <c r="T28" s="6">
        <v>32816.92</v>
      </c>
      <c r="U28" s="58">
        <v>44958</v>
      </c>
      <c r="V28" s="60">
        <f t="shared" si="0"/>
        <v>176.15555555555557</v>
      </c>
      <c r="W28" s="60">
        <f t="shared" si="1"/>
        <v>89.892523769422723</v>
      </c>
      <c r="X28" s="60">
        <f t="shared" si="2"/>
        <v>84.883995361121592</v>
      </c>
      <c r="Y28" s="60">
        <f t="shared" si="3"/>
        <v>94.503890084137083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8">
        <v>44986</v>
      </c>
      <c r="Q29" s="6">
        <v>76.77</v>
      </c>
      <c r="R29" s="6">
        <v>3970.99</v>
      </c>
      <c r="S29" s="6">
        <v>11823.96</v>
      </c>
      <c r="T29" s="6">
        <v>33274.15</v>
      </c>
      <c r="U29" s="58">
        <v>44986</v>
      </c>
      <c r="V29" s="60">
        <f t="shared" si="0"/>
        <v>170.6</v>
      </c>
      <c r="W29" s="60">
        <f t="shared" si="1"/>
        <v>88.233830237771997</v>
      </c>
      <c r="X29" s="60">
        <f t="shared" si="2"/>
        <v>85.863983843806025</v>
      </c>
      <c r="Y29" s="60">
        <f t="shared" si="3"/>
        <v>95.820589325356863</v>
      </c>
    </row>
    <row r="30" spans="1:25" x14ac:dyDescent="0.25">
      <c r="A30" t="s">
        <v>36</v>
      </c>
      <c r="C30" s="13">
        <f>-G39</f>
        <v>-109085500000</v>
      </c>
      <c r="D30" s="5">
        <f>D28</f>
        <v>3303582000</v>
      </c>
      <c r="E30" s="5">
        <f t="shared" ref="E30:I30" si="11">E28</f>
        <v>4294656600</v>
      </c>
      <c r="F30" s="5">
        <f t="shared" si="11"/>
        <v>5153587920</v>
      </c>
      <c r="G30" s="5">
        <f t="shared" si="11"/>
        <v>6957343692</v>
      </c>
      <c r="H30" s="5">
        <f t="shared" si="11"/>
        <v>9044546799.6000004</v>
      </c>
      <c r="I30" s="5">
        <f t="shared" si="11"/>
        <v>12210138179.459999</v>
      </c>
      <c r="J30" s="13">
        <f>I28+M22</f>
        <v>383727848957.18109</v>
      </c>
      <c r="K30" t="s">
        <v>38</v>
      </c>
      <c r="P30" s="58">
        <v>45017</v>
      </c>
      <c r="Q30" s="6">
        <v>77.400000000000006</v>
      </c>
      <c r="R30" s="6">
        <v>4133.5200000000004</v>
      </c>
      <c r="S30" s="6">
        <v>12072.46</v>
      </c>
      <c r="T30" s="6">
        <v>33808.959999999999</v>
      </c>
      <c r="U30" s="58">
        <v>45017</v>
      </c>
      <c r="V30" s="60">
        <f t="shared" si="0"/>
        <v>172.00000000000003</v>
      </c>
      <c r="W30" s="60">
        <f t="shared" si="1"/>
        <v>91.845182678484548</v>
      </c>
      <c r="X30" s="60">
        <f t="shared" si="2"/>
        <v>87.668556929742195</v>
      </c>
      <c r="Y30" s="60">
        <f t="shared" si="3"/>
        <v>97.360698069745339</v>
      </c>
    </row>
    <row r="31" spans="1:25" x14ac:dyDescent="0.25">
      <c r="A31" t="s">
        <v>37</v>
      </c>
      <c r="D31" s="6">
        <f>1/(1+$B$7)^D29</f>
        <v>0.96614975380369805</v>
      </c>
      <c r="E31" s="6">
        <f t="shared" ref="E31:I31" si="12">1/(1+$B$7)^E29</f>
        <v>0.90184799197582211</v>
      </c>
      <c r="F31" s="6">
        <f t="shared" si="12"/>
        <v>0.84182581160816028</v>
      </c>
      <c r="G31" s="6">
        <f t="shared" si="12"/>
        <v>0.78579838664067991</v>
      </c>
      <c r="H31" s="6">
        <f t="shared" si="12"/>
        <v>0.7334998475130029</v>
      </c>
      <c r="I31" s="6">
        <f t="shared" si="12"/>
        <v>0.70867069708973773</v>
      </c>
      <c r="J31" t="s">
        <v>39</v>
      </c>
      <c r="P31" s="58">
        <v>45047</v>
      </c>
      <c r="Q31" s="6">
        <v>83.85</v>
      </c>
      <c r="R31" s="6">
        <v>4282.37</v>
      </c>
      <c r="S31" s="6">
        <v>13240.77</v>
      </c>
      <c r="T31" s="6">
        <v>33093.339999999997</v>
      </c>
      <c r="U31" s="58">
        <v>45047</v>
      </c>
      <c r="V31" s="60">
        <f t="shared" si="0"/>
        <v>186.33333333333331</v>
      </c>
      <c r="W31" s="60">
        <f t="shared" si="1"/>
        <v>95.152570919425045</v>
      </c>
      <c r="X31" s="60">
        <f t="shared" si="2"/>
        <v>96.152664704511153</v>
      </c>
      <c r="Y31" s="60">
        <f t="shared" si="3"/>
        <v>95.299905228064574</v>
      </c>
    </row>
    <row r="32" spans="1:25" x14ac:dyDescent="0.25">
      <c r="A32" t="s">
        <v>40</v>
      </c>
      <c r="C32" s="13">
        <f>-G39</f>
        <v>-109085500000</v>
      </c>
      <c r="D32" s="5">
        <f>D30*D31</f>
        <v>3191754935.9703283</v>
      </c>
      <c r="E32" s="5">
        <f t="shared" ref="E32:I32" si="13">E30*E31</f>
        <v>3873127430.9357114</v>
      </c>
      <c r="F32" s="5">
        <f t="shared" si="13"/>
        <v>4338423333.4480104</v>
      </c>
      <c r="G32" s="5">
        <f t="shared" si="13"/>
        <v>5467069448.4783115</v>
      </c>
      <c r="H32" s="5">
        <f t="shared" si="13"/>
        <v>6634173698.3308191</v>
      </c>
      <c r="I32" s="5">
        <f t="shared" si="13"/>
        <v>8652967135.1999378</v>
      </c>
      <c r="J32" s="14">
        <f>M22</f>
        <v>371517710777.72107</v>
      </c>
      <c r="P32" s="58">
        <v>45078</v>
      </c>
      <c r="Q32" s="6">
        <v>90.36</v>
      </c>
      <c r="R32" s="6">
        <v>4450.38</v>
      </c>
      <c r="S32" s="6">
        <v>13492.52</v>
      </c>
      <c r="T32" s="6">
        <v>33727.43</v>
      </c>
      <c r="U32" s="58">
        <v>45078</v>
      </c>
      <c r="V32" s="60">
        <f t="shared" si="0"/>
        <v>200.8</v>
      </c>
      <c r="W32" s="60">
        <f t="shared" si="1"/>
        <v>98.885686796888379</v>
      </c>
      <c r="X32" s="60">
        <f t="shared" si="2"/>
        <v>97.980838846903211</v>
      </c>
      <c r="Y32" s="60">
        <f t="shared" si="3"/>
        <v>97.125913630542655</v>
      </c>
    </row>
    <row r="33" spans="1:25" x14ac:dyDescent="0.25">
      <c r="A33" t="s">
        <v>56</v>
      </c>
      <c r="C33" s="29">
        <v>-109086</v>
      </c>
      <c r="D33" s="46">
        <v>3192</v>
      </c>
      <c r="E33" s="24">
        <v>3873</v>
      </c>
      <c r="F33" s="24">
        <v>4338</v>
      </c>
      <c r="G33" s="24">
        <v>5467</v>
      </c>
      <c r="H33" s="24">
        <v>6634</v>
      </c>
      <c r="I33" s="24">
        <v>8653</v>
      </c>
      <c r="J33" s="24">
        <v>371518</v>
      </c>
      <c r="P33" s="58">
        <v>45108</v>
      </c>
      <c r="Q33" s="6">
        <v>95.74</v>
      </c>
      <c r="R33" s="6">
        <v>4582.2299999999996</v>
      </c>
      <c r="S33" s="6">
        <v>14032.81</v>
      </c>
      <c r="T33" s="6">
        <v>35065.620000000003</v>
      </c>
      <c r="U33" s="58">
        <v>45108</v>
      </c>
      <c r="V33" s="60">
        <f t="shared" si="0"/>
        <v>212.75555555555553</v>
      </c>
      <c r="W33" s="60">
        <f t="shared" si="1"/>
        <v>101.81534174863849</v>
      </c>
      <c r="X33" s="60">
        <f t="shared" si="2"/>
        <v>101.9043510907682</v>
      </c>
      <c r="Y33" s="60">
        <f t="shared" si="3"/>
        <v>100.97954037771125</v>
      </c>
    </row>
    <row r="34" spans="1:25" x14ac:dyDescent="0.25">
      <c r="P34" s="58">
        <v>45139</v>
      </c>
      <c r="Q34" s="6">
        <v>105.87</v>
      </c>
      <c r="R34" s="6">
        <v>4515.7700000000004</v>
      </c>
      <c r="S34" s="6">
        <v>13590.65</v>
      </c>
      <c r="T34" s="6">
        <v>34837.71</v>
      </c>
      <c r="U34" s="58">
        <v>45139</v>
      </c>
      <c r="V34" s="60">
        <f t="shared" si="0"/>
        <v>235.26666666666668</v>
      </c>
      <c r="W34" s="60">
        <f t="shared" si="1"/>
        <v>100.33862678395657</v>
      </c>
      <c r="X34" s="60">
        <f t="shared" si="2"/>
        <v>98.693445514601066</v>
      </c>
      <c r="Y34" s="60">
        <f t="shared" si="3"/>
        <v>100.32322096720361</v>
      </c>
    </row>
    <row r="35" spans="1:25" x14ac:dyDescent="0.25">
      <c r="A35" s="3" t="s">
        <v>41</v>
      </c>
      <c r="F35" s="3" t="s">
        <v>31</v>
      </c>
      <c r="P35" s="58">
        <v>45170</v>
      </c>
      <c r="Q35" s="6">
        <v>110.36</v>
      </c>
      <c r="R35" s="6">
        <v>4320.0600000000004</v>
      </c>
      <c r="S35" s="6">
        <v>13211.81</v>
      </c>
      <c r="T35" s="6">
        <v>33507.5</v>
      </c>
      <c r="U35" s="58">
        <v>45170</v>
      </c>
      <c r="V35" s="60">
        <f t="shared" si="0"/>
        <v>245.24444444444447</v>
      </c>
      <c r="W35" s="60">
        <f t="shared" si="1"/>
        <v>95.990027841165386</v>
      </c>
      <c r="X35" s="60">
        <f t="shared" si="2"/>
        <v>95.942361136830215</v>
      </c>
      <c r="Y35" s="60">
        <f t="shared" si="3"/>
        <v>96.492574470554317</v>
      </c>
    </row>
    <row r="36" spans="1:25" x14ac:dyDescent="0.25">
      <c r="A36" s="13" t="s">
        <v>42</v>
      </c>
      <c r="B36" s="17">
        <f>SUM(D32:I32)</f>
        <v>32157515982.363121</v>
      </c>
      <c r="C36" t="s">
        <v>45</v>
      </c>
      <c r="F36" t="s">
        <v>33</v>
      </c>
      <c r="G36" s="15">
        <f>B13*B12</f>
        <v>87489500000</v>
      </c>
      <c r="H36" t="s">
        <v>34</v>
      </c>
      <c r="L36" s="3" t="s">
        <v>51</v>
      </c>
      <c r="P36" s="58">
        <v>45200</v>
      </c>
      <c r="Q36" s="6">
        <v>112.1</v>
      </c>
      <c r="R36" s="6">
        <v>4117.37</v>
      </c>
      <c r="S36" s="6">
        <v>12643.01</v>
      </c>
      <c r="T36" s="6">
        <v>34061.32</v>
      </c>
      <c r="U36" s="58">
        <v>45200</v>
      </c>
      <c r="V36" s="60">
        <f t="shared" si="0"/>
        <v>249.11111111111111</v>
      </c>
      <c r="W36" s="60">
        <f t="shared" si="1"/>
        <v>91.486336053753675</v>
      </c>
      <c r="X36" s="60">
        <f t="shared" si="2"/>
        <v>91.811813163870497</v>
      </c>
      <c r="Y36" s="60">
        <f t="shared" si="3"/>
        <v>98.087426894437996</v>
      </c>
    </row>
    <row r="37" spans="1:25" x14ac:dyDescent="0.25">
      <c r="A37" t="s">
        <v>11</v>
      </c>
      <c r="B37" s="19">
        <f>B15</f>
        <v>864000000</v>
      </c>
      <c r="F37" t="s">
        <v>10</v>
      </c>
      <c r="G37" s="14">
        <f>B14</f>
        <v>22460000000</v>
      </c>
      <c r="L37" t="s">
        <v>52</v>
      </c>
      <c r="M37" s="21">
        <f>(B40/B12)-1</f>
        <v>1.1835718958279804</v>
      </c>
      <c r="P37" s="58">
        <v>45231</v>
      </c>
      <c r="Q37" s="6">
        <v>119.88</v>
      </c>
      <c r="R37" s="6">
        <v>4559.34</v>
      </c>
      <c r="S37" s="6">
        <v>14250.85</v>
      </c>
      <c r="T37" s="6">
        <v>36245.5</v>
      </c>
      <c r="U37" s="58">
        <v>45231</v>
      </c>
      <c r="V37" s="60">
        <f t="shared" si="0"/>
        <v>266.39999999999998</v>
      </c>
      <c r="W37" s="60">
        <f t="shared" si="1"/>
        <v>101.30673498454628</v>
      </c>
      <c r="X37" s="60">
        <f t="shared" si="2"/>
        <v>103.48772781373611</v>
      </c>
      <c r="Y37" s="60">
        <f t="shared" si="3"/>
        <v>104.37727696702161</v>
      </c>
    </row>
    <row r="38" spans="1:25" x14ac:dyDescent="0.25">
      <c r="A38" t="s">
        <v>10</v>
      </c>
      <c r="B38" s="19">
        <f>B14</f>
        <v>22460000000</v>
      </c>
      <c r="C38" s="3"/>
      <c r="F38" t="s">
        <v>11</v>
      </c>
      <c r="G38" s="14">
        <f>B15</f>
        <v>864000000</v>
      </c>
      <c r="L38" t="s">
        <v>53</v>
      </c>
      <c r="M38" s="23">
        <f>IRR(C33:J33)</f>
        <v>0.21727338128497764</v>
      </c>
      <c r="N38" t="s">
        <v>57</v>
      </c>
      <c r="P38" s="58">
        <v>45261</v>
      </c>
      <c r="Q38" s="6">
        <v>116.89</v>
      </c>
      <c r="R38" s="6">
        <v>4769.83</v>
      </c>
      <c r="S38" s="6">
        <v>14992.97</v>
      </c>
      <c r="T38" s="6">
        <v>37689.54</v>
      </c>
      <c r="U38" s="58">
        <v>45261</v>
      </c>
      <c r="V38" s="60">
        <f t="shared" si="0"/>
        <v>259.75555555555559</v>
      </c>
      <c r="W38" s="60">
        <f t="shared" si="1"/>
        <v>105.98373969288062</v>
      </c>
      <c r="X38" s="60">
        <f t="shared" si="2"/>
        <v>108.87690197283047</v>
      </c>
      <c r="Y38" s="60">
        <f t="shared" si="3"/>
        <v>108.53572320259453</v>
      </c>
    </row>
    <row r="39" spans="1:25" x14ac:dyDescent="0.25">
      <c r="A39" t="s">
        <v>44</v>
      </c>
      <c r="B39" s="17">
        <f>(((B36+B37)-B38)+(M22))/2</f>
        <v>191039613380.04208</v>
      </c>
      <c r="C39" t="s">
        <v>75</v>
      </c>
      <c r="F39" t="s">
        <v>30</v>
      </c>
      <c r="G39" s="13">
        <f>G36+G37-G38</f>
        <v>109085500000</v>
      </c>
      <c r="H39" t="s">
        <v>32</v>
      </c>
      <c r="P39" s="58">
        <v>45292</v>
      </c>
      <c r="Q39" s="6">
        <v>121.27</v>
      </c>
      <c r="R39" s="6">
        <v>4958.6099999999997</v>
      </c>
      <c r="S39" s="6">
        <v>15628.95</v>
      </c>
      <c r="T39" s="6">
        <v>38109.43</v>
      </c>
      <c r="U39" s="58">
        <v>45292</v>
      </c>
      <c r="V39" s="60">
        <f t="shared" si="0"/>
        <v>269.48888888888888</v>
      </c>
      <c r="W39" s="60">
        <f t="shared" si="1"/>
        <v>110.1783567713136</v>
      </c>
      <c r="X39" s="60">
        <f t="shared" si="2"/>
        <v>113.49530193739257</v>
      </c>
      <c r="Y39" s="60">
        <f t="shared" si="3"/>
        <v>109.74489330166013</v>
      </c>
    </row>
    <row r="40" spans="1:25" x14ac:dyDescent="0.25">
      <c r="A40" t="s">
        <v>72</v>
      </c>
      <c r="B40" s="20">
        <f>B39/B13</f>
        <v>534.97511447785519</v>
      </c>
      <c r="C40" t="s">
        <v>76</v>
      </c>
      <c r="F40" t="s">
        <v>48</v>
      </c>
      <c r="G40" s="16">
        <f>G39/B13</f>
        <v>305.47605712685521</v>
      </c>
      <c r="H40" t="s">
        <v>49</v>
      </c>
      <c r="L40" s="48" t="s">
        <v>84</v>
      </c>
      <c r="M40" s="49"/>
      <c r="P40" s="58">
        <v>45323</v>
      </c>
      <c r="Q40" s="6">
        <v>169.99</v>
      </c>
      <c r="R40" s="6">
        <v>5137.08</v>
      </c>
      <c r="S40" s="6">
        <v>16274.94</v>
      </c>
      <c r="T40" s="6">
        <v>39087.379999999997</v>
      </c>
      <c r="U40" s="58">
        <v>45323</v>
      </c>
      <c r="V40" s="60">
        <f t="shared" si="0"/>
        <v>377.75555555555559</v>
      </c>
      <c r="W40" s="60">
        <f t="shared" si="1"/>
        <v>114.14388971965525</v>
      </c>
      <c r="X40" s="60">
        <f t="shared" si="2"/>
        <v>118.18639315583887</v>
      </c>
      <c r="Y40" s="60">
        <f t="shared" si="3"/>
        <v>112.56112588252944</v>
      </c>
    </row>
    <row r="41" spans="1:25" x14ac:dyDescent="0.25">
      <c r="A41" t="s">
        <v>46</v>
      </c>
      <c r="B41" s="22">
        <f>(B40/B12)-1</f>
        <v>1.1835718958279804</v>
      </c>
      <c r="C41" t="s">
        <v>47</v>
      </c>
      <c r="F41" t="s">
        <v>46</v>
      </c>
      <c r="G41" s="21">
        <f>(G40/B12)-1</f>
        <v>0.24684104949736829</v>
      </c>
      <c r="H41" t="s">
        <v>50</v>
      </c>
      <c r="L41" s="50" t="s">
        <v>41</v>
      </c>
      <c r="M41" s="51">
        <f>B40</f>
        <v>534.97511447785519</v>
      </c>
      <c r="P41" s="58">
        <v>45352</v>
      </c>
      <c r="Q41" s="6">
        <v>178.24</v>
      </c>
      <c r="R41" s="6">
        <v>5234.18</v>
      </c>
      <c r="S41" s="6">
        <v>16428.82</v>
      </c>
      <c r="T41" s="6">
        <v>39807.370000000003</v>
      </c>
      <c r="U41" s="58">
        <v>45352</v>
      </c>
      <c r="V41" s="60">
        <f t="shared" si="0"/>
        <v>396.0888888888889</v>
      </c>
      <c r="W41" s="60">
        <f t="shared" si="1"/>
        <v>116.30141338908975</v>
      </c>
      <c r="X41" s="60">
        <f t="shared" si="2"/>
        <v>119.30384871504955</v>
      </c>
      <c r="Y41" s="60">
        <f t="shared" si="3"/>
        <v>114.63450314711363</v>
      </c>
    </row>
    <row r="42" spans="1:25" x14ac:dyDescent="0.25">
      <c r="L42" s="50" t="s">
        <v>8</v>
      </c>
      <c r="M42" s="55">
        <f>B12</f>
        <v>245</v>
      </c>
      <c r="P42" s="58">
        <v>45383</v>
      </c>
      <c r="Q42" s="6">
        <v>188.37</v>
      </c>
      <c r="R42" s="6">
        <v>4967.2299999999996</v>
      </c>
      <c r="S42" s="6">
        <v>15282.01</v>
      </c>
      <c r="T42" s="6">
        <v>37986.400000000001</v>
      </c>
      <c r="U42" s="58">
        <v>45383</v>
      </c>
      <c r="V42" s="60">
        <f t="shared" si="0"/>
        <v>418.6</v>
      </c>
      <c r="W42" s="60">
        <f t="shared" si="1"/>
        <v>110.36988976853837</v>
      </c>
      <c r="X42" s="60">
        <f t="shared" si="2"/>
        <v>110.97587100606583</v>
      </c>
      <c r="Y42" s="60">
        <f t="shared" si="3"/>
        <v>109.39060004083458</v>
      </c>
    </row>
    <row r="43" spans="1:25" x14ac:dyDescent="0.25">
      <c r="L43" s="50" t="s">
        <v>89</v>
      </c>
      <c r="M43" s="51">
        <f>(B40-B12)</f>
        <v>289.97511447785519</v>
      </c>
      <c r="P43" s="58">
        <v>45413</v>
      </c>
      <c r="Q43" s="6">
        <v>230.63</v>
      </c>
      <c r="R43" s="6">
        <v>5277.51</v>
      </c>
      <c r="S43" s="6">
        <v>16735.02</v>
      </c>
      <c r="T43" s="6">
        <v>38686.32</v>
      </c>
      <c r="U43" s="58">
        <v>45413</v>
      </c>
      <c r="V43" s="60">
        <f t="shared" si="0"/>
        <v>512.51111111111106</v>
      </c>
      <c r="W43" s="60">
        <f t="shared" si="1"/>
        <v>117.26418888442029</v>
      </c>
      <c r="X43" s="60">
        <f t="shared" si="2"/>
        <v>121.52743132637211</v>
      </c>
      <c r="Y43" s="60">
        <f t="shared" si="3"/>
        <v>111.40618111144356</v>
      </c>
    </row>
    <row r="44" spans="1:25" x14ac:dyDescent="0.25">
      <c r="L44" s="50" t="s">
        <v>88</v>
      </c>
      <c r="M44" s="56">
        <f>((B40-B12)/(B12))</f>
        <v>1.1835718958279804</v>
      </c>
      <c r="P44" s="58">
        <v>45444</v>
      </c>
      <c r="Q44" s="6">
        <v>200.27</v>
      </c>
      <c r="R44" s="6">
        <v>5464.62</v>
      </c>
      <c r="S44" s="6">
        <v>17689.36</v>
      </c>
      <c r="T44" s="6">
        <v>39150.33</v>
      </c>
      <c r="U44" s="58">
        <v>45444</v>
      </c>
      <c r="V44" s="60">
        <f t="shared" si="0"/>
        <v>445.04444444444448</v>
      </c>
      <c r="W44" s="60">
        <f t="shared" si="1"/>
        <v>121.42169922209163</v>
      </c>
      <c r="X44" s="60">
        <f t="shared" si="2"/>
        <v>128.45771816271949</v>
      </c>
      <c r="Y44" s="60">
        <f t="shared" si="3"/>
        <v>112.7424049264128</v>
      </c>
    </row>
    <row r="45" spans="1:25" x14ac:dyDescent="0.25">
      <c r="L45" s="50"/>
      <c r="M45" s="52"/>
      <c r="P45" s="58">
        <v>45474</v>
      </c>
      <c r="Q45" s="6">
        <v>175.04</v>
      </c>
      <c r="R45" s="6">
        <v>5459.1</v>
      </c>
      <c r="S45" s="6">
        <v>17357.88</v>
      </c>
      <c r="T45" s="6">
        <v>40287.53</v>
      </c>
      <c r="U45" s="58">
        <v>45474</v>
      </c>
      <c r="V45" s="60">
        <f t="shared" si="0"/>
        <v>388.97777777777776</v>
      </c>
      <c r="W45" s="60">
        <f t="shared" si="1"/>
        <v>121.29904700113099</v>
      </c>
      <c r="X45" s="60">
        <f t="shared" si="2"/>
        <v>126.05055564148762</v>
      </c>
      <c r="Y45" s="60">
        <f t="shared" si="3"/>
        <v>116.01723461194334</v>
      </c>
    </row>
    <row r="46" spans="1:25" x14ac:dyDescent="0.25">
      <c r="L46" s="53" t="s">
        <v>54</v>
      </c>
      <c r="M46" s="52"/>
      <c r="P46" s="58">
        <v>45505</v>
      </c>
      <c r="Q46" s="6">
        <v>194.99</v>
      </c>
      <c r="R46" s="6">
        <v>5648.4</v>
      </c>
      <c r="S46" s="6">
        <v>17877.79</v>
      </c>
      <c r="T46" s="6">
        <v>41175.08</v>
      </c>
      <c r="U46" s="58">
        <v>45505</v>
      </c>
      <c r="V46" s="60">
        <f t="shared" si="0"/>
        <v>433.31111111111113</v>
      </c>
      <c r="W46" s="60">
        <f t="shared" si="1"/>
        <v>125.50521827429213</v>
      </c>
      <c r="X46" s="60">
        <f t="shared" si="2"/>
        <v>129.82607110671526</v>
      </c>
      <c r="Y46" s="60">
        <f t="shared" si="3"/>
        <v>118.57313954281972</v>
      </c>
    </row>
    <row r="47" spans="1:25" x14ac:dyDescent="0.25">
      <c r="L47" s="50" t="s">
        <v>41</v>
      </c>
      <c r="M47" s="51">
        <f>B40</f>
        <v>534.97511447785519</v>
      </c>
      <c r="P47" s="58">
        <v>45536</v>
      </c>
      <c r="Q47" s="6">
        <v>257</v>
      </c>
      <c r="R47" s="6">
        <v>5751.07</v>
      </c>
      <c r="S47" s="6">
        <v>18137.849999999999</v>
      </c>
      <c r="T47" s="6">
        <v>42313</v>
      </c>
      <c r="U47" s="58">
        <v>45536</v>
      </c>
      <c r="V47" s="60">
        <f t="shared" si="0"/>
        <v>571.11111111111109</v>
      </c>
      <c r="W47" s="60">
        <f t="shared" si="1"/>
        <v>127.7865051449496</v>
      </c>
      <c r="X47" s="60">
        <f t="shared" si="2"/>
        <v>131.7145913349992</v>
      </c>
      <c r="Y47" s="60">
        <f t="shared" si="3"/>
        <v>121.85004263441215</v>
      </c>
    </row>
    <row r="48" spans="1:25" x14ac:dyDescent="0.25">
      <c r="L48" s="50" t="s">
        <v>31</v>
      </c>
      <c r="M48" s="51">
        <f>G40</f>
        <v>305.47605712685521</v>
      </c>
      <c r="P48" s="58">
        <v>45566</v>
      </c>
      <c r="Q48" s="6">
        <v>264.41000000000003</v>
      </c>
      <c r="R48" s="6">
        <v>5728.8</v>
      </c>
      <c r="S48" s="6">
        <v>18518.61</v>
      </c>
      <c r="T48" s="6">
        <v>42052.19</v>
      </c>
      <c r="U48" s="58">
        <v>45566</v>
      </c>
      <c r="V48" s="60">
        <f t="shared" si="0"/>
        <v>587.5777777777779</v>
      </c>
      <c r="W48" s="60">
        <f t="shared" si="1"/>
        <v>127.29167453611021</v>
      </c>
      <c r="X48" s="60">
        <f t="shared" si="2"/>
        <v>134.47961849073786</v>
      </c>
      <c r="Y48" s="60">
        <f t="shared" si="3"/>
        <v>121.09898008579869</v>
      </c>
    </row>
    <row r="49" spans="12:25" x14ac:dyDescent="0.25">
      <c r="L49" s="50" t="s">
        <v>89</v>
      </c>
      <c r="M49" s="51">
        <f>-(G40-B40)</f>
        <v>229.49905735099998</v>
      </c>
      <c r="P49" s="58">
        <v>45597</v>
      </c>
      <c r="Q49" s="6">
        <v>249.89</v>
      </c>
      <c r="R49" s="6">
        <v>5969.34</v>
      </c>
      <c r="S49" s="6">
        <v>19003.650000000001</v>
      </c>
      <c r="T49" s="6">
        <v>44296.51</v>
      </c>
      <c r="U49" s="58">
        <v>45597</v>
      </c>
      <c r="V49" s="60">
        <f t="shared" si="0"/>
        <v>555.31111111111113</v>
      </c>
      <c r="W49" s="60">
        <f t="shared" si="1"/>
        <v>132.63637838210167</v>
      </c>
      <c r="X49" s="60">
        <f t="shared" si="2"/>
        <v>138.00191277485249</v>
      </c>
      <c r="Y49" s="60">
        <f t="shared" si="3"/>
        <v>127.56201715916301</v>
      </c>
    </row>
    <row r="50" spans="12:25" x14ac:dyDescent="0.25">
      <c r="L50" s="54" t="s">
        <v>88</v>
      </c>
      <c r="M50" s="57">
        <f>((B40-G40)/(G40))</f>
        <v>0.75128329044687048</v>
      </c>
      <c r="P50" s="58">
        <v>45627</v>
      </c>
      <c r="Q50" s="6">
        <v>226.54</v>
      </c>
      <c r="R50" s="6">
        <v>5942.47</v>
      </c>
      <c r="S50" s="6">
        <v>19722.03</v>
      </c>
      <c r="T50" s="6">
        <v>42840.26</v>
      </c>
      <c r="U50" s="58">
        <v>45627</v>
      </c>
      <c r="V50" s="60">
        <f t="shared" si="0"/>
        <v>503.42222222222216</v>
      </c>
      <c r="W50" s="60">
        <f t="shared" si="1"/>
        <v>132.03933758912839</v>
      </c>
      <c r="X50" s="60">
        <f t="shared" si="2"/>
        <v>143.21869029386582</v>
      </c>
      <c r="Y50" s="60">
        <f t="shared" si="3"/>
        <v>123.3684094124572</v>
      </c>
    </row>
    <row r="51" spans="12:25" x14ac:dyDescent="0.25">
      <c r="P51" s="58">
        <v>45658</v>
      </c>
      <c r="Q51" s="6">
        <v>299.98</v>
      </c>
      <c r="R51" s="6">
        <v>6040.53</v>
      </c>
      <c r="S51" s="6">
        <v>19627.439999999999</v>
      </c>
      <c r="T51" s="6">
        <v>44424.25</v>
      </c>
      <c r="U51" s="58">
        <v>45658</v>
      </c>
      <c r="V51" s="60">
        <f t="shared" si="0"/>
        <v>666.62222222222226</v>
      </c>
      <c r="W51" s="60">
        <f t="shared" si="1"/>
        <v>134.2181920795995</v>
      </c>
      <c r="X51" s="60">
        <f t="shared" si="2"/>
        <v>142.53179062304611</v>
      </c>
      <c r="Y51" s="60">
        <f t="shared" si="3"/>
        <v>127.92987395131009</v>
      </c>
    </row>
    <row r="52" spans="12:25" x14ac:dyDescent="0.25">
      <c r="P52" s="58">
        <v>45689</v>
      </c>
      <c r="Q52" s="6">
        <v>250.24</v>
      </c>
      <c r="R52" s="6">
        <v>5954.5</v>
      </c>
      <c r="S52" s="6">
        <v>19524.009999999998</v>
      </c>
      <c r="T52" s="6">
        <v>43840.91</v>
      </c>
      <c r="U52" s="58">
        <v>45689</v>
      </c>
      <c r="V52" s="60">
        <f t="shared" si="0"/>
        <v>556.08888888888885</v>
      </c>
      <c r="W52" s="60">
        <f t="shared" si="1"/>
        <v>132.30663944024371</v>
      </c>
      <c r="X52" s="60">
        <f t="shared" si="2"/>
        <v>141.7806960786663</v>
      </c>
      <c r="Y52" s="60">
        <f t="shared" si="3"/>
        <v>126.25001187888891</v>
      </c>
    </row>
    <row r="53" spans="12:25" x14ac:dyDescent="0.25">
      <c r="P53" s="58">
        <v>45717</v>
      </c>
      <c r="Q53" s="6">
        <v>222.48</v>
      </c>
      <c r="R53" s="6">
        <v>5074.08</v>
      </c>
      <c r="S53" s="6">
        <v>15587.79</v>
      </c>
      <c r="T53" s="6">
        <v>38314.86</v>
      </c>
      <c r="U53" s="58">
        <v>45717</v>
      </c>
      <c r="V53" s="60">
        <f t="shared" si="0"/>
        <v>494.4</v>
      </c>
      <c r="W53" s="60">
        <f t="shared" si="1"/>
        <v>112.74405458912618</v>
      </c>
      <c r="X53" s="60">
        <f t="shared" si="2"/>
        <v>113.19640363470793</v>
      </c>
      <c r="Y53" s="60">
        <f t="shared" si="3"/>
        <v>110.33647636734649</v>
      </c>
    </row>
    <row r="54" spans="12:25" x14ac:dyDescent="0.25">
      <c r="P54" s="58">
        <v>45748</v>
      </c>
      <c r="Q54" s="6">
        <v>222.99</v>
      </c>
      <c r="R54" s="6">
        <v>5282.7</v>
      </c>
      <c r="S54" s="6">
        <v>16286.45</v>
      </c>
      <c r="T54" s="6">
        <v>39142.230000000003</v>
      </c>
      <c r="U54" s="58">
        <v>45748</v>
      </c>
      <c r="V54" s="60">
        <f t="shared" si="0"/>
        <v>495.53333333333336</v>
      </c>
      <c r="W54" s="60">
        <f t="shared" si="1"/>
        <v>117.37950863564959</v>
      </c>
      <c r="X54" s="60">
        <f t="shared" si="2"/>
        <v>118.26997720501041</v>
      </c>
      <c r="Y54" s="60">
        <f t="shared" si="3"/>
        <v>112.71907910821655</v>
      </c>
    </row>
    <row r="55" spans="12:25" x14ac:dyDescent="0.25">
      <c r="P55" s="58">
        <v>45778</v>
      </c>
      <c r="Q55" s="6">
        <v>297.49</v>
      </c>
      <c r="R55" s="6">
        <v>5802.82</v>
      </c>
      <c r="S55" s="6">
        <v>19113.77</v>
      </c>
      <c r="T55" s="6">
        <v>41603.07</v>
      </c>
      <c r="U55" s="58">
        <v>45778</v>
      </c>
      <c r="V55" s="60">
        <f t="shared" si="0"/>
        <v>661.08888888888885</v>
      </c>
      <c r="W55" s="60">
        <f t="shared" si="1"/>
        <v>128.9363697164556</v>
      </c>
      <c r="X55" s="60">
        <f t="shared" si="2"/>
        <v>138.80158918621379</v>
      </c>
      <c r="Y55" s="60">
        <f t="shared" si="3"/>
        <v>119.8056354600816</v>
      </c>
    </row>
    <row r="56" spans="12:25" x14ac:dyDescent="0.25">
      <c r="P56" s="58">
        <v>45809</v>
      </c>
      <c r="Q56" s="6">
        <v>320.17</v>
      </c>
      <c r="R56" s="6">
        <v>6279.35</v>
      </c>
      <c r="S56" s="6">
        <v>19447.41</v>
      </c>
      <c r="T56" s="6">
        <v>42206.82</v>
      </c>
      <c r="U56" s="58">
        <v>45809</v>
      </c>
      <c r="V56" s="60">
        <f t="shared" si="0"/>
        <v>711.48888888888894</v>
      </c>
      <c r="W56" s="60">
        <f t="shared" si="1"/>
        <v>139.52467820456704</v>
      </c>
      <c r="X56" s="60">
        <f t="shared" si="2"/>
        <v>141.22443733265945</v>
      </c>
      <c r="Y56" s="60">
        <f t="shared" si="3"/>
        <v>121.54427283489611</v>
      </c>
    </row>
    <row r="57" spans="12:25" x14ac:dyDescent="0.25">
      <c r="P57" s="58">
        <v>45839</v>
      </c>
      <c r="Q57" s="6">
        <v>327.35000000000002</v>
      </c>
      <c r="R57" s="6">
        <v>6238.01</v>
      </c>
      <c r="S57" s="6">
        <v>20650.13</v>
      </c>
      <c r="T57" s="6">
        <v>44901.919999999998</v>
      </c>
      <c r="U57" s="58">
        <v>45839</v>
      </c>
      <c r="V57" s="60">
        <f t="shared" si="0"/>
        <v>727.44444444444446</v>
      </c>
      <c r="W57" s="60">
        <f t="shared" si="1"/>
        <v>138.60611972367701</v>
      </c>
      <c r="X57" s="60">
        <f t="shared" si="2"/>
        <v>149.95842583132</v>
      </c>
      <c r="Y57" s="60">
        <f t="shared" si="3"/>
        <v>129.30543488684242</v>
      </c>
    </row>
    <row r="58" spans="12:25" x14ac:dyDescent="0.25">
      <c r="P58" s="58">
        <v>45870</v>
      </c>
      <c r="Q58" s="6">
        <v>310.16000000000003</v>
      </c>
      <c r="R58" s="6">
        <v>6460.26</v>
      </c>
      <c r="S58" s="6">
        <v>21496.54</v>
      </c>
      <c r="T58" s="6">
        <v>45544.88</v>
      </c>
      <c r="U58" s="58">
        <v>45870</v>
      </c>
      <c r="V58" s="60">
        <f t="shared" si="0"/>
        <v>689.24444444444453</v>
      </c>
      <c r="W58" s="60">
        <f t="shared" si="1"/>
        <v>143.5444269897101</v>
      </c>
      <c r="X58" s="60">
        <f t="shared" si="2"/>
        <v>156.10493973742555</v>
      </c>
      <c r="Y58" s="60">
        <f t="shared" si="3"/>
        <v>131.15698650011072</v>
      </c>
    </row>
    <row r="59" spans="12:25" x14ac:dyDescent="0.25">
      <c r="P59" s="58">
        <v>45901</v>
      </c>
      <c r="Q59" s="6">
        <v>331.26</v>
      </c>
      <c r="R59" s="6">
        <v>6715.79</v>
      </c>
      <c r="S59" s="6">
        <v>22780.51</v>
      </c>
      <c r="T59" s="6">
        <v>46758.28</v>
      </c>
      <c r="U59" s="58">
        <v>45901</v>
      </c>
      <c r="V59" s="60">
        <f t="shared" si="0"/>
        <v>736.13333333333333</v>
      </c>
      <c r="W59" s="60">
        <f t="shared" si="1"/>
        <v>149.22220271834652</v>
      </c>
      <c r="X59" s="60">
        <f t="shared" si="2"/>
        <v>165.42895464748372</v>
      </c>
      <c r="Y59" s="60">
        <f t="shared" si="3"/>
        <v>134.65125166052468</v>
      </c>
    </row>
    <row r="60" spans="12:25" x14ac:dyDescent="0.25">
      <c r="P60" s="58">
        <v>45931</v>
      </c>
      <c r="Q60" s="6">
        <v>389.19</v>
      </c>
      <c r="R60" s="6">
        <v>6840.2</v>
      </c>
      <c r="S60" s="6">
        <v>23204.87</v>
      </c>
      <c r="T60" s="6">
        <v>47207.12</v>
      </c>
      <c r="U60" s="58">
        <v>45931</v>
      </c>
      <c r="V60" s="60">
        <f t="shared" si="0"/>
        <v>864.86666666666667</v>
      </c>
      <c r="W60" s="60">
        <f t="shared" si="1"/>
        <v>151.98654380706273</v>
      </c>
      <c r="X60" s="60">
        <f t="shared" si="2"/>
        <v>168.51059905290776</v>
      </c>
      <c r="Y60" s="60">
        <f t="shared" si="3"/>
        <v>135.94378996166213</v>
      </c>
    </row>
    <row r="61" spans="12:25" x14ac:dyDescent="0.25">
      <c r="P61" s="58">
        <v>45962</v>
      </c>
      <c r="Q61" s="6">
        <v>364.36</v>
      </c>
      <c r="R61" s="6">
        <v>6849.09</v>
      </c>
      <c r="S61" s="6">
        <v>23365.69</v>
      </c>
      <c r="T61" s="6">
        <v>46245.41</v>
      </c>
      <c r="U61" s="58">
        <v>45962</v>
      </c>
      <c r="V61" s="60">
        <f t="shared" si="0"/>
        <v>809.68888888888898</v>
      </c>
      <c r="W61" s="60">
        <f t="shared" si="1"/>
        <v>152.18407609770406</v>
      </c>
      <c r="X61" s="60">
        <f t="shared" si="2"/>
        <v>169.67845194498122</v>
      </c>
      <c r="Y61" s="60">
        <f t="shared" si="3"/>
        <v>133.17432420641103</v>
      </c>
    </row>
    <row r="62" spans="12:25" x14ac:dyDescent="0.25">
      <c r="P62" s="58">
        <v>45992</v>
      </c>
      <c r="Q62" s="6">
        <v>360.46</v>
      </c>
      <c r="R62" s="6">
        <v>6929.94</v>
      </c>
      <c r="S62" s="6">
        <v>23593.1</v>
      </c>
      <c r="T62" s="6">
        <v>48134.89</v>
      </c>
      <c r="U62" s="58">
        <v>45992</v>
      </c>
      <c r="V62" s="60">
        <f t="shared" si="0"/>
        <v>801.02222222222213</v>
      </c>
      <c r="W62" s="60">
        <f t="shared" si="1"/>
        <v>153.98053118188301</v>
      </c>
      <c r="X62" s="60">
        <f t="shared" si="2"/>
        <v>171.32987232917736</v>
      </c>
      <c r="Y62" s="60">
        <f t="shared" si="3"/>
        <v>138.61551765894023</v>
      </c>
    </row>
    <row r="63" spans="12:25" x14ac:dyDescent="0.25">
      <c r="P63" s="58">
        <v>46023</v>
      </c>
      <c r="Q63" s="6">
        <v>289.06</v>
      </c>
      <c r="R63" s="6">
        <v>6939.03</v>
      </c>
      <c r="S63" s="6">
        <v>23461.82</v>
      </c>
      <c r="T63" s="6">
        <v>49098.71</v>
      </c>
      <c r="U63" s="58">
        <v>46023</v>
      </c>
      <c r="V63" s="60">
        <f t="shared" si="0"/>
        <v>642.35555555555561</v>
      </c>
      <c r="W63" s="60">
        <f t="shared" si="1"/>
        <v>154.18250739357364</v>
      </c>
      <c r="X63" s="60">
        <f t="shared" si="2"/>
        <v>170.37653488562927</v>
      </c>
      <c r="Y63" s="60">
        <f t="shared" si="3"/>
        <v>141.39105964584496</v>
      </c>
    </row>
    <row r="64" spans="12:25" x14ac:dyDescent="0.25">
      <c r="P64" s="58">
        <v>46054</v>
      </c>
      <c r="Q64" s="6">
        <v>294.83999999999997</v>
      </c>
      <c r="R64" s="6">
        <v>6909.51</v>
      </c>
      <c r="S64" s="6">
        <v>22668.21</v>
      </c>
      <c r="T64" s="6">
        <v>48977.919999999998</v>
      </c>
      <c r="U64" s="58">
        <v>46054</v>
      </c>
      <c r="V64" s="60">
        <f t="shared" si="0"/>
        <v>655.19999999999993</v>
      </c>
      <c r="W64" s="60">
        <f t="shared" si="1"/>
        <v>153.52658464669716</v>
      </c>
      <c r="X64" s="60">
        <f t="shared" si="2"/>
        <v>164.61344737363811</v>
      </c>
      <c r="Y64" s="60">
        <f t="shared" si="3"/>
        <v>141.04321698165637</v>
      </c>
    </row>
    <row r="65" spans="16:25" x14ac:dyDescent="0.25">
      <c r="P65" s="58">
        <v>46082</v>
      </c>
      <c r="Q65" s="6">
        <v>281.99</v>
      </c>
      <c r="R65" s="6">
        <v>6368.85</v>
      </c>
      <c r="S65" s="6">
        <v>20948.36</v>
      </c>
      <c r="T65" s="6">
        <v>45577.47</v>
      </c>
      <c r="U65" s="58">
        <v>46082</v>
      </c>
      <c r="V65" s="60">
        <f t="shared" si="0"/>
        <v>626.6444444444445</v>
      </c>
      <c r="W65" s="60">
        <f t="shared" si="1"/>
        <v>141.51333287412817</v>
      </c>
      <c r="X65" s="60">
        <f t="shared" si="2"/>
        <v>152.12413139034913</v>
      </c>
      <c r="Y65" s="60">
        <f t="shared" si="3"/>
        <v>131.25083692171768</v>
      </c>
    </row>
    <row r="66" spans="16:25" x14ac:dyDescent="0.25">
      <c r="P66" s="58">
        <v>46113</v>
      </c>
      <c r="Q66" s="6">
        <v>313.52999999999997</v>
      </c>
      <c r="R66" s="6">
        <v>7123.06</v>
      </c>
      <c r="S66" s="6">
        <v>24468.48</v>
      </c>
      <c r="T66" s="6">
        <v>49447.43</v>
      </c>
      <c r="U66" s="58">
        <v>46113</v>
      </c>
      <c r="V66" s="60">
        <f t="shared" si="0"/>
        <v>696.73333333333323</v>
      </c>
      <c r="W66" s="60">
        <f t="shared" si="1"/>
        <v>158.2715813470858</v>
      </c>
      <c r="X66" s="60">
        <f t="shared" si="2"/>
        <v>177.6867624215991</v>
      </c>
      <c r="Y66" s="60">
        <f t="shared" si="3"/>
        <v>142.39527931515397</v>
      </c>
    </row>
    <row r="67" spans="16:25" x14ac:dyDescent="0.25">
      <c r="P67" s="58">
        <v>46143</v>
      </c>
      <c r="Q67" s="6">
        <v>287.75</v>
      </c>
      <c r="R67" s="6">
        <v>7473.47</v>
      </c>
      <c r="S67" s="6">
        <v>26343.97</v>
      </c>
      <c r="T67" s="6">
        <v>50579.7</v>
      </c>
      <c r="U67" s="58">
        <v>46143</v>
      </c>
      <c r="V67" s="60">
        <f t="shared" si="0"/>
        <v>639.44444444444446</v>
      </c>
      <c r="W67" s="60">
        <f t="shared" si="1"/>
        <v>166.05755322150947</v>
      </c>
      <c r="X67" s="60">
        <f t="shared" si="2"/>
        <v>191.30631484390264</v>
      </c>
      <c r="Y67" s="60">
        <f t="shared" si="3"/>
        <v>145.65591192862183</v>
      </c>
    </row>
    <row r="68" spans="16:25" x14ac:dyDescent="0.25">
      <c r="P68" s="58">
        <v>46174</v>
      </c>
      <c r="Q68" s="6">
        <v>264.02</v>
      </c>
      <c r="R68" s="6">
        <v>7425.29</v>
      </c>
      <c r="S68" s="6">
        <v>25883.49</v>
      </c>
      <c r="T68" s="6">
        <v>51200.15</v>
      </c>
      <c r="U68" s="58">
        <v>46174</v>
      </c>
      <c r="V68" s="60">
        <f t="shared" si="0"/>
        <v>586.71111111111111</v>
      </c>
      <c r="W68" s="60">
        <f t="shared" si="1"/>
        <v>164.98701264073344</v>
      </c>
      <c r="X68" s="60">
        <f t="shared" si="2"/>
        <v>187.96237192795942</v>
      </c>
      <c r="Y68" s="60">
        <f t="shared" si="3"/>
        <v>147.44264080514964</v>
      </c>
    </row>
    <row r="69" spans="16:25" x14ac:dyDescent="0.25">
      <c r="P69" s="58">
        <v>46204</v>
      </c>
      <c r="Q69" s="61">
        <v>244.52</v>
      </c>
      <c r="R69" s="6">
        <v>7483.24</v>
      </c>
      <c r="S69" s="6">
        <v>25832.67</v>
      </c>
      <c r="T69" s="6">
        <v>52900.07</v>
      </c>
      <c r="U69" s="58">
        <v>46204</v>
      </c>
      <c r="V69" s="60">
        <f t="shared" si="0"/>
        <v>543.37777777777785</v>
      </c>
      <c r="W69" s="60">
        <f t="shared" si="1"/>
        <v>166.2746387647677</v>
      </c>
      <c r="X69" s="60">
        <f t="shared" si="2"/>
        <v>187.59332402362426</v>
      </c>
      <c r="Y69" s="60">
        <f t="shared" si="3"/>
        <v>152.33795251727332</v>
      </c>
    </row>
  </sheetData>
  <pageMargins left="0.7" right="0.7" top="0.75" bottom="0.75" header="0.3" footer="0.3"/>
  <pageSetup orientation="portrait" r:id="rId1"/>
  <ignoredErrors>
    <ignoredError sqref="H21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1D27-C936-4CAF-A852-AAAF44D8AEB9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2026-09-01T15:21:23Z</dcterms:modified>
  <cp:category/>
  <cp:contentStatus/>
</cp:coreProperties>
</file>