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262130E0-04C2-4E35-8D71-48434D7431A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9" r:id="rId1"/>
    <sheet name="Base Assumptions" sheetId="1" r:id="rId2"/>
    <sheet name="Bear Assumptions" sheetId="7" r:id="rId3"/>
    <sheet name="Bull Assumptions" sheetId="8" r:id="rId4"/>
    <sheet name="Export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9" l="1"/>
  <c r="C22" i="9"/>
  <c r="C24" i="9" s="1"/>
  <c r="C18" i="9"/>
  <c r="C12" i="9"/>
  <c r="C14" i="9" s="1"/>
  <c r="C13" i="9" l="1"/>
  <c r="C28" i="9" s="1"/>
  <c r="B7" i="1" s="1"/>
  <c r="I21" i="8" l="1"/>
  <c r="H21" i="8"/>
  <c r="G21" i="8"/>
  <c r="F21" i="8"/>
  <c r="E21" i="8"/>
  <c r="I21" i="7"/>
  <c r="H21" i="7"/>
  <c r="G21" i="7"/>
  <c r="F21" i="7"/>
  <c r="E21" i="7"/>
  <c r="Y75" i="8" l="1"/>
  <c r="X75" i="8"/>
  <c r="W75" i="8"/>
  <c r="V75" i="8"/>
  <c r="Y74" i="8"/>
  <c r="X74" i="8"/>
  <c r="W74" i="8"/>
  <c r="V74" i="8"/>
  <c r="Y73" i="8"/>
  <c r="X73" i="8"/>
  <c r="W73" i="8"/>
  <c r="V73" i="8"/>
  <c r="Y72" i="8"/>
  <c r="X72" i="8"/>
  <c r="W72" i="8"/>
  <c r="V72" i="8"/>
  <c r="Y71" i="8"/>
  <c r="X71" i="8"/>
  <c r="W71" i="8"/>
  <c r="V71" i="8"/>
  <c r="Y70" i="8"/>
  <c r="X70" i="8"/>
  <c r="W70" i="8"/>
  <c r="V70" i="8"/>
  <c r="Y69" i="8"/>
  <c r="X69" i="8"/>
  <c r="W69" i="8"/>
  <c r="V69" i="8"/>
  <c r="Y68" i="8"/>
  <c r="X68" i="8"/>
  <c r="W68" i="8"/>
  <c r="V68" i="8"/>
  <c r="Y67" i="8"/>
  <c r="X67" i="8"/>
  <c r="W67" i="8"/>
  <c r="V67" i="8"/>
  <c r="Y66" i="8"/>
  <c r="X66" i="8"/>
  <c r="W66" i="8"/>
  <c r="V66" i="8"/>
  <c r="Y65" i="8"/>
  <c r="X65" i="8"/>
  <c r="W65" i="8"/>
  <c r="V65" i="8"/>
  <c r="Y64" i="8"/>
  <c r="X64" i="8"/>
  <c r="W64" i="8"/>
  <c r="V64" i="8"/>
  <c r="Y63" i="8"/>
  <c r="X63" i="8"/>
  <c r="W63" i="8"/>
  <c r="V63" i="8"/>
  <c r="Y62" i="8"/>
  <c r="X62" i="8"/>
  <c r="W62" i="8"/>
  <c r="V62" i="8"/>
  <c r="Y61" i="8"/>
  <c r="X61" i="8"/>
  <c r="W61" i="8"/>
  <c r="V61" i="8"/>
  <c r="Y60" i="8"/>
  <c r="X60" i="8"/>
  <c r="W60" i="8"/>
  <c r="V60" i="8"/>
  <c r="Y59" i="8"/>
  <c r="X59" i="8"/>
  <c r="W59" i="8"/>
  <c r="V59" i="8"/>
  <c r="Y58" i="8"/>
  <c r="X58" i="8"/>
  <c r="W58" i="8"/>
  <c r="V58" i="8"/>
  <c r="Y57" i="8"/>
  <c r="X57" i="8"/>
  <c r="W57" i="8"/>
  <c r="V57" i="8"/>
  <c r="Y56" i="8"/>
  <c r="X56" i="8"/>
  <c r="W56" i="8"/>
  <c r="V56" i="8"/>
  <c r="Y55" i="8"/>
  <c r="X55" i="8"/>
  <c r="W55" i="8"/>
  <c r="V55" i="8"/>
  <c r="Y54" i="8"/>
  <c r="X54" i="8"/>
  <c r="W54" i="8"/>
  <c r="V54" i="8"/>
  <c r="Y53" i="8"/>
  <c r="X53" i="8"/>
  <c r="W53" i="8"/>
  <c r="V53" i="8"/>
  <c r="Y52" i="8"/>
  <c r="X52" i="8"/>
  <c r="W52" i="8"/>
  <c r="V52" i="8"/>
  <c r="Y51" i="8"/>
  <c r="X51" i="8"/>
  <c r="W51" i="8"/>
  <c r="V51" i="8"/>
  <c r="Y50" i="8"/>
  <c r="X50" i="8"/>
  <c r="W50" i="8"/>
  <c r="V50" i="8"/>
  <c r="Y49" i="8"/>
  <c r="X49" i="8"/>
  <c r="W49" i="8"/>
  <c r="V49" i="8"/>
  <c r="Y48" i="8"/>
  <c r="X48" i="8"/>
  <c r="W48" i="8"/>
  <c r="V48" i="8"/>
  <c r="Y47" i="8"/>
  <c r="X47" i="8"/>
  <c r="W47" i="8"/>
  <c r="V47" i="8"/>
  <c r="Y46" i="8"/>
  <c r="X46" i="8"/>
  <c r="W46" i="8"/>
  <c r="V46" i="8"/>
  <c r="Y45" i="8"/>
  <c r="X45" i="8"/>
  <c r="W45" i="8"/>
  <c r="V45" i="8"/>
  <c r="Y44" i="8"/>
  <c r="X44" i="8"/>
  <c r="W44" i="8"/>
  <c r="V44" i="8"/>
  <c r="Y43" i="8"/>
  <c r="X43" i="8"/>
  <c r="W43" i="8"/>
  <c r="V43" i="8"/>
  <c r="Y42" i="8"/>
  <c r="X42" i="8"/>
  <c r="W42" i="8"/>
  <c r="V42" i="8"/>
  <c r="M42" i="8"/>
  <c r="Y41" i="8"/>
  <c r="X41" i="8"/>
  <c r="W41" i="8"/>
  <c r="V41" i="8"/>
  <c r="Y40" i="8"/>
  <c r="X40" i="8"/>
  <c r="W40" i="8"/>
  <c r="V40" i="8"/>
  <c r="Y39" i="8"/>
  <c r="X39" i="8"/>
  <c r="W39" i="8"/>
  <c r="V39" i="8"/>
  <c r="Y38" i="8"/>
  <c r="X38" i="8"/>
  <c r="W38" i="8"/>
  <c r="V38" i="8"/>
  <c r="M38" i="8"/>
  <c r="G38" i="8"/>
  <c r="B38" i="8"/>
  <c r="Y37" i="8"/>
  <c r="X37" i="8"/>
  <c r="W37" i="8"/>
  <c r="V37" i="8"/>
  <c r="G37" i="8"/>
  <c r="B37" i="8"/>
  <c r="Y36" i="8"/>
  <c r="X36" i="8"/>
  <c r="W36" i="8"/>
  <c r="V36" i="8"/>
  <c r="G36" i="8"/>
  <c r="G39" i="8" s="1"/>
  <c r="Y35" i="8"/>
  <c r="X35" i="8"/>
  <c r="W35" i="8"/>
  <c r="V35" i="8"/>
  <c r="Y34" i="8"/>
  <c r="X34" i="8"/>
  <c r="W34" i="8"/>
  <c r="V34" i="8"/>
  <c r="Y33" i="8"/>
  <c r="X33" i="8"/>
  <c r="W33" i="8"/>
  <c r="V33" i="8"/>
  <c r="Y32" i="8"/>
  <c r="X32" i="8"/>
  <c r="W32" i="8"/>
  <c r="V32" i="8"/>
  <c r="Y31" i="8"/>
  <c r="X31" i="8"/>
  <c r="W31" i="8"/>
  <c r="V31" i="8"/>
  <c r="I31" i="8"/>
  <c r="H31" i="8"/>
  <c r="G31" i="8"/>
  <c r="F31" i="8"/>
  <c r="E31" i="8"/>
  <c r="D31" i="8"/>
  <c r="Y30" i="8"/>
  <c r="X30" i="8"/>
  <c r="W30" i="8"/>
  <c r="V30" i="8"/>
  <c r="Y29" i="8"/>
  <c r="X29" i="8"/>
  <c r="W29" i="8"/>
  <c r="V29" i="8"/>
  <c r="Y28" i="8"/>
  <c r="X28" i="8"/>
  <c r="W28" i="8"/>
  <c r="V28" i="8"/>
  <c r="Y27" i="8"/>
  <c r="X27" i="8"/>
  <c r="W27" i="8"/>
  <c r="V27" i="8"/>
  <c r="E27" i="8"/>
  <c r="D27" i="8"/>
  <c r="Y26" i="8"/>
  <c r="X26" i="8"/>
  <c r="W26" i="8"/>
  <c r="V26" i="8"/>
  <c r="E26" i="8"/>
  <c r="D26" i="8"/>
  <c r="Y25" i="8"/>
  <c r="X25" i="8"/>
  <c r="W25" i="8"/>
  <c r="V25" i="8"/>
  <c r="E25" i="8"/>
  <c r="D25" i="8"/>
  <c r="Y24" i="8"/>
  <c r="X24" i="8"/>
  <c r="W24" i="8"/>
  <c r="V24" i="8"/>
  <c r="Y23" i="8"/>
  <c r="X23" i="8"/>
  <c r="W23" i="8"/>
  <c r="V23" i="8"/>
  <c r="Y22" i="8"/>
  <c r="X22" i="8"/>
  <c r="W22" i="8"/>
  <c r="V22" i="8"/>
  <c r="E22" i="8"/>
  <c r="E24" i="8" s="1"/>
  <c r="D22" i="8"/>
  <c r="D24" i="8" s="1"/>
  <c r="Y21" i="8"/>
  <c r="X21" i="8"/>
  <c r="W21" i="8"/>
  <c r="V21" i="8"/>
  <c r="F27" i="8"/>
  <c r="Y20" i="8"/>
  <c r="X20" i="8"/>
  <c r="W20" i="8"/>
  <c r="V20" i="8"/>
  <c r="Y19" i="8"/>
  <c r="X19" i="8"/>
  <c r="W19" i="8"/>
  <c r="V19" i="8"/>
  <c r="Y18" i="8"/>
  <c r="X18" i="8"/>
  <c r="W18" i="8"/>
  <c r="V18" i="8"/>
  <c r="Y17" i="8"/>
  <c r="X17" i="8"/>
  <c r="W17" i="8"/>
  <c r="V17" i="8"/>
  <c r="Y16" i="8"/>
  <c r="X16" i="8"/>
  <c r="W16" i="8"/>
  <c r="V16" i="8"/>
  <c r="Y15" i="8"/>
  <c r="X15" i="8"/>
  <c r="W15" i="8"/>
  <c r="V15" i="8"/>
  <c r="T9" i="8"/>
  <c r="Y75" i="7"/>
  <c r="X75" i="7"/>
  <c r="W75" i="7"/>
  <c r="V75" i="7"/>
  <c r="Y74" i="7"/>
  <c r="X74" i="7"/>
  <c r="W74" i="7"/>
  <c r="V74" i="7"/>
  <c r="Y73" i="7"/>
  <c r="X73" i="7"/>
  <c r="W73" i="7"/>
  <c r="V73" i="7"/>
  <c r="Y72" i="7"/>
  <c r="X72" i="7"/>
  <c r="W72" i="7"/>
  <c r="V72" i="7"/>
  <c r="Y71" i="7"/>
  <c r="X71" i="7"/>
  <c r="W71" i="7"/>
  <c r="V71" i="7"/>
  <c r="Y70" i="7"/>
  <c r="X70" i="7"/>
  <c r="W70" i="7"/>
  <c r="V70" i="7"/>
  <c r="Y69" i="7"/>
  <c r="X69" i="7"/>
  <c r="W69" i="7"/>
  <c r="V69" i="7"/>
  <c r="Y68" i="7"/>
  <c r="X68" i="7"/>
  <c r="W68" i="7"/>
  <c r="V68" i="7"/>
  <c r="Y67" i="7"/>
  <c r="X67" i="7"/>
  <c r="W67" i="7"/>
  <c r="V67" i="7"/>
  <c r="Y66" i="7"/>
  <c r="X66" i="7"/>
  <c r="W66" i="7"/>
  <c r="V66" i="7"/>
  <c r="Y65" i="7"/>
  <c r="X65" i="7"/>
  <c r="W65" i="7"/>
  <c r="V65" i="7"/>
  <c r="Y64" i="7"/>
  <c r="X64" i="7"/>
  <c r="W64" i="7"/>
  <c r="V64" i="7"/>
  <c r="Y63" i="7"/>
  <c r="X63" i="7"/>
  <c r="W63" i="7"/>
  <c r="V63" i="7"/>
  <c r="Y62" i="7"/>
  <c r="X62" i="7"/>
  <c r="W62" i="7"/>
  <c r="V62" i="7"/>
  <c r="Y61" i="7"/>
  <c r="X61" i="7"/>
  <c r="W61" i="7"/>
  <c r="V61" i="7"/>
  <c r="Y60" i="7"/>
  <c r="X60" i="7"/>
  <c r="W60" i="7"/>
  <c r="V60" i="7"/>
  <c r="Y59" i="7"/>
  <c r="X59" i="7"/>
  <c r="W59" i="7"/>
  <c r="V59" i="7"/>
  <c r="Y58" i="7"/>
  <c r="X58" i="7"/>
  <c r="W58" i="7"/>
  <c r="V58" i="7"/>
  <c r="Y57" i="7"/>
  <c r="X57" i="7"/>
  <c r="W57" i="7"/>
  <c r="V57" i="7"/>
  <c r="Y56" i="7"/>
  <c r="X56" i="7"/>
  <c r="W56" i="7"/>
  <c r="V56" i="7"/>
  <c r="Y55" i="7"/>
  <c r="X55" i="7"/>
  <c r="W55" i="7"/>
  <c r="V55" i="7"/>
  <c r="Y54" i="7"/>
  <c r="X54" i="7"/>
  <c r="W54" i="7"/>
  <c r="V54" i="7"/>
  <c r="Y53" i="7"/>
  <c r="X53" i="7"/>
  <c r="W53" i="7"/>
  <c r="V53" i="7"/>
  <c r="Y52" i="7"/>
  <c r="X52" i="7"/>
  <c r="W52" i="7"/>
  <c r="V52" i="7"/>
  <c r="Y51" i="7"/>
  <c r="X51" i="7"/>
  <c r="W51" i="7"/>
  <c r="V51" i="7"/>
  <c r="Y50" i="7"/>
  <c r="X50" i="7"/>
  <c r="W50" i="7"/>
  <c r="V50" i="7"/>
  <c r="Y49" i="7"/>
  <c r="X49" i="7"/>
  <c r="W49" i="7"/>
  <c r="V49" i="7"/>
  <c r="Y48" i="7"/>
  <c r="X48" i="7"/>
  <c r="W48" i="7"/>
  <c r="V48" i="7"/>
  <c r="Y47" i="7"/>
  <c r="X47" i="7"/>
  <c r="W47" i="7"/>
  <c r="V47" i="7"/>
  <c r="Y46" i="7"/>
  <c r="X46" i="7"/>
  <c r="W46" i="7"/>
  <c r="V46" i="7"/>
  <c r="Y45" i="7"/>
  <c r="X45" i="7"/>
  <c r="W45" i="7"/>
  <c r="V45" i="7"/>
  <c r="Y44" i="7"/>
  <c r="X44" i="7"/>
  <c r="W44" i="7"/>
  <c r="V44" i="7"/>
  <c r="Y43" i="7"/>
  <c r="X43" i="7"/>
  <c r="W43" i="7"/>
  <c r="V43" i="7"/>
  <c r="Y42" i="7"/>
  <c r="X42" i="7"/>
  <c r="W42" i="7"/>
  <c r="V42" i="7"/>
  <c r="M42" i="7"/>
  <c r="Y41" i="7"/>
  <c r="X41" i="7"/>
  <c r="W41" i="7"/>
  <c r="V41" i="7"/>
  <c r="Y40" i="7"/>
  <c r="X40" i="7"/>
  <c r="W40" i="7"/>
  <c r="V40" i="7"/>
  <c r="Y39" i="7"/>
  <c r="X39" i="7"/>
  <c r="W39" i="7"/>
  <c r="V39" i="7"/>
  <c r="Y38" i="7"/>
  <c r="X38" i="7"/>
  <c r="W38" i="7"/>
  <c r="V38" i="7"/>
  <c r="M38" i="7"/>
  <c r="G38" i="7"/>
  <c r="B38" i="7"/>
  <c r="Y37" i="7"/>
  <c r="X37" i="7"/>
  <c r="W37" i="7"/>
  <c r="V37" i="7"/>
  <c r="G37" i="7"/>
  <c r="B37" i="7"/>
  <c r="Y36" i="7"/>
  <c r="X36" i="7"/>
  <c r="W36" i="7"/>
  <c r="V36" i="7"/>
  <c r="G36" i="7"/>
  <c r="G39" i="7" s="1"/>
  <c r="Y35" i="7"/>
  <c r="X35" i="7"/>
  <c r="W35" i="7"/>
  <c r="V35" i="7"/>
  <c r="Y34" i="7"/>
  <c r="X34" i="7"/>
  <c r="W34" i="7"/>
  <c r="V34" i="7"/>
  <c r="Y33" i="7"/>
  <c r="X33" i="7"/>
  <c r="W33" i="7"/>
  <c r="V33" i="7"/>
  <c r="Y32" i="7"/>
  <c r="X32" i="7"/>
  <c r="W32" i="7"/>
  <c r="V32" i="7"/>
  <c r="Y31" i="7"/>
  <c r="X31" i="7"/>
  <c r="W31" i="7"/>
  <c r="V31" i="7"/>
  <c r="I31" i="7"/>
  <c r="H31" i="7"/>
  <c r="G31" i="7"/>
  <c r="F31" i="7"/>
  <c r="E31" i="7"/>
  <c r="D31" i="7"/>
  <c r="Y30" i="7"/>
  <c r="X30" i="7"/>
  <c r="W30" i="7"/>
  <c r="V30" i="7"/>
  <c r="Y29" i="7"/>
  <c r="X29" i="7"/>
  <c r="W29" i="7"/>
  <c r="V29" i="7"/>
  <c r="Y28" i="7"/>
  <c r="X28" i="7"/>
  <c r="W28" i="7"/>
  <c r="V28" i="7"/>
  <c r="Y27" i="7"/>
  <c r="X27" i="7"/>
  <c r="W27" i="7"/>
  <c r="V27" i="7"/>
  <c r="D27" i="7"/>
  <c r="Y26" i="7"/>
  <c r="X26" i="7"/>
  <c r="W26" i="7"/>
  <c r="V26" i="7"/>
  <c r="E26" i="7"/>
  <c r="D26" i="7"/>
  <c r="Y25" i="7"/>
  <c r="X25" i="7"/>
  <c r="W25" i="7"/>
  <c r="V25" i="7"/>
  <c r="E25" i="7"/>
  <c r="D25" i="7"/>
  <c r="Y24" i="7"/>
  <c r="X24" i="7"/>
  <c r="W24" i="7"/>
  <c r="V24" i="7"/>
  <c r="Y23" i="7"/>
  <c r="X23" i="7"/>
  <c r="W23" i="7"/>
  <c r="V23" i="7"/>
  <c r="Y22" i="7"/>
  <c r="X22" i="7"/>
  <c r="W22" i="7"/>
  <c r="V22" i="7"/>
  <c r="E22" i="7"/>
  <c r="E24" i="7" s="1"/>
  <c r="D22" i="7"/>
  <c r="D24" i="7" s="1"/>
  <c r="D28" i="7" s="1"/>
  <c r="Y21" i="7"/>
  <c r="X21" i="7"/>
  <c r="W21" i="7"/>
  <c r="V21" i="7"/>
  <c r="F22" i="7"/>
  <c r="E27" i="7"/>
  <c r="Y20" i="7"/>
  <c r="X20" i="7"/>
  <c r="W20" i="7"/>
  <c r="V20" i="7"/>
  <c r="Y19" i="7"/>
  <c r="X19" i="7"/>
  <c r="W19" i="7"/>
  <c r="V19" i="7"/>
  <c r="Y18" i="7"/>
  <c r="X18" i="7"/>
  <c r="W18" i="7"/>
  <c r="V18" i="7"/>
  <c r="Y17" i="7"/>
  <c r="X17" i="7"/>
  <c r="W17" i="7"/>
  <c r="V17" i="7"/>
  <c r="Y16" i="7"/>
  <c r="X16" i="7"/>
  <c r="W16" i="7"/>
  <c r="V16" i="7"/>
  <c r="Y15" i="7"/>
  <c r="X15" i="7"/>
  <c r="W15" i="7"/>
  <c r="V15" i="7"/>
  <c r="T9" i="7"/>
  <c r="D28" i="8" l="1"/>
  <c r="E28" i="8"/>
  <c r="E30" i="8" s="1"/>
  <c r="E32" i="8" s="1"/>
  <c r="E28" i="7"/>
  <c r="Q8" i="7" s="1"/>
  <c r="G40" i="8"/>
  <c r="C30" i="8"/>
  <c r="C32" i="8"/>
  <c r="Q7" i="8"/>
  <c r="D30" i="8"/>
  <c r="D32" i="8" s="1"/>
  <c r="F25" i="8"/>
  <c r="F22" i="8"/>
  <c r="D23" i="8"/>
  <c r="F26" i="8"/>
  <c r="E23" i="8"/>
  <c r="C30" i="7"/>
  <c r="G40" i="7"/>
  <c r="C32" i="7"/>
  <c r="Q7" i="7"/>
  <c r="D30" i="7"/>
  <c r="D32" i="7" s="1"/>
  <c r="F24" i="7"/>
  <c r="F23" i="7"/>
  <c r="F25" i="7"/>
  <c r="D23" i="7"/>
  <c r="F26" i="7"/>
  <c r="E23" i="7"/>
  <c r="F27" i="7"/>
  <c r="Q8" i="8" l="1"/>
  <c r="E30" i="7"/>
  <c r="E32" i="7" s="1"/>
  <c r="F28" i="7"/>
  <c r="F30" i="7" s="1"/>
  <c r="F32" i="7" s="1"/>
  <c r="G27" i="8"/>
  <c r="G26" i="8"/>
  <c r="G22" i="8"/>
  <c r="G25" i="8"/>
  <c r="F23" i="8"/>
  <c r="F24" i="8"/>
  <c r="F28" i="8" s="1"/>
  <c r="M48" i="8"/>
  <c r="G41" i="8"/>
  <c r="G27" i="7"/>
  <c r="G22" i="7"/>
  <c r="G26" i="7"/>
  <c r="G25" i="7"/>
  <c r="M48" i="7"/>
  <c r="G41" i="7"/>
  <c r="Q9" i="7" l="1"/>
  <c r="F30" i="8"/>
  <c r="F32" i="8" s="1"/>
  <c r="Q9" i="8"/>
  <c r="H26" i="8"/>
  <c r="H22" i="8"/>
  <c r="H25" i="8"/>
  <c r="H27" i="8"/>
  <c r="G23" i="8"/>
  <c r="G24" i="8"/>
  <c r="G28" i="8" s="1"/>
  <c r="H25" i="7"/>
  <c r="H27" i="7"/>
  <c r="H26" i="7"/>
  <c r="H22" i="7"/>
  <c r="G23" i="7"/>
  <c r="G24" i="7"/>
  <c r="G28" i="7" s="1"/>
  <c r="E21" i="1"/>
  <c r="F21" i="1" s="1"/>
  <c r="I26" i="8" l="1"/>
  <c r="I22" i="8"/>
  <c r="I25" i="8"/>
  <c r="I27" i="8"/>
  <c r="H24" i="8"/>
  <c r="H28" i="8" s="1"/>
  <c r="H23" i="8"/>
  <c r="Q10" i="8"/>
  <c r="G30" i="8"/>
  <c r="G32" i="8" s="1"/>
  <c r="Q10" i="7"/>
  <c r="G30" i="7"/>
  <c r="G32" i="7" s="1"/>
  <c r="I26" i="7"/>
  <c r="I27" i="7"/>
  <c r="I22" i="7"/>
  <c r="I25" i="7"/>
  <c r="H24" i="7"/>
  <c r="H28" i="7" s="1"/>
  <c r="H23" i="7"/>
  <c r="G21" i="1"/>
  <c r="H21" i="1" s="1"/>
  <c r="I21" i="1" s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Y17" i="1"/>
  <c r="X17" i="1"/>
  <c r="W17" i="1"/>
  <c r="Y16" i="1"/>
  <c r="X16" i="1"/>
  <c r="W16" i="1"/>
  <c r="Y15" i="1"/>
  <c r="X15" i="1"/>
  <c r="W15" i="1"/>
  <c r="M21" i="8" l="1"/>
  <c r="M21" i="7"/>
  <c r="Q11" i="8"/>
  <c r="H30" i="8"/>
  <c r="H32" i="8" s="1"/>
  <c r="I24" i="8"/>
  <c r="I28" i="8" s="1"/>
  <c r="I23" i="8"/>
  <c r="I23" i="7"/>
  <c r="I24" i="7"/>
  <c r="I28" i="7" s="1"/>
  <c r="H30" i="7"/>
  <c r="H32" i="7" s="1"/>
  <c r="Q11" i="7"/>
  <c r="Q12" i="8" l="1"/>
  <c r="I30" i="8"/>
  <c r="I32" i="8" s="1"/>
  <c r="B36" i="8" s="1"/>
  <c r="M20" i="8"/>
  <c r="M22" i="8" s="1"/>
  <c r="J32" i="8" s="1"/>
  <c r="Q12" i="7"/>
  <c r="M20" i="7"/>
  <c r="M22" i="7" s="1"/>
  <c r="J32" i="7" s="1"/>
  <c r="I30" i="7"/>
  <c r="I32" i="7" s="1"/>
  <c r="B36" i="7" s="1"/>
  <c r="B39" i="7" l="1"/>
  <c r="B40" i="7" s="1"/>
  <c r="M44" i="7" s="1"/>
  <c r="B39" i="8"/>
  <c r="B40" i="8" s="1"/>
  <c r="J30" i="8"/>
  <c r="J30" i="7"/>
  <c r="M41" i="7" l="1"/>
  <c r="M43" i="7"/>
  <c r="M47" i="7"/>
  <c r="B41" i="7"/>
  <c r="T7" i="7"/>
  <c r="M49" i="7"/>
  <c r="M50" i="7"/>
  <c r="M37" i="7"/>
  <c r="M50" i="8"/>
  <c r="T7" i="8"/>
  <c r="M43" i="8"/>
  <c r="M41" i="8"/>
  <c r="M44" i="8"/>
  <c r="B41" i="8"/>
  <c r="M37" i="8"/>
  <c r="M47" i="8"/>
  <c r="M49" i="8"/>
  <c r="M42" i="1"/>
  <c r="T9" i="1"/>
  <c r="V16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D22" i="1" l="1"/>
  <c r="D27" i="1"/>
  <c r="D26" i="1"/>
  <c r="D25" i="1"/>
  <c r="G36" i="1"/>
  <c r="E27" i="1" l="1"/>
  <c r="E25" i="1"/>
  <c r="E26" i="1"/>
  <c r="F26" i="1"/>
  <c r="F27" i="1"/>
  <c r="G27" i="1"/>
  <c r="G25" i="1"/>
  <c r="G26" i="1"/>
  <c r="F25" i="1"/>
  <c r="H26" i="1" l="1"/>
  <c r="H27" i="1"/>
  <c r="H25" i="1"/>
  <c r="I26" i="1" l="1"/>
  <c r="I27" i="1"/>
  <c r="I25" i="1"/>
  <c r="E22" i="1"/>
  <c r="B38" i="1"/>
  <c r="F22" i="1" l="1"/>
  <c r="D23" i="1"/>
  <c r="V15" i="1"/>
  <c r="M38" i="1"/>
  <c r="B37" i="1"/>
  <c r="G37" i="1"/>
  <c r="G38" i="1"/>
  <c r="E31" i="1"/>
  <c r="F31" i="1"/>
  <c r="G31" i="1"/>
  <c r="H31" i="1"/>
  <c r="I31" i="1"/>
  <c r="D31" i="1"/>
  <c r="G22" i="1" l="1"/>
  <c r="D24" i="1"/>
  <c r="G39" i="1"/>
  <c r="C30" i="1" s="1"/>
  <c r="H22" i="1" l="1"/>
  <c r="D28" i="1"/>
  <c r="Q7" i="1" s="1"/>
  <c r="G40" i="1"/>
  <c r="C32" i="1"/>
  <c r="E24" i="1"/>
  <c r="E28" i="1" s="1"/>
  <c r="E23" i="1"/>
  <c r="G41" i="1" l="1"/>
  <c r="I22" i="1"/>
  <c r="M21" i="1" s="1"/>
  <c r="D30" i="1"/>
  <c r="D32" i="1" s="1"/>
  <c r="M48" i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44" i="1"/>
  <c r="M50" i="1"/>
  <c r="M41" i="1"/>
  <c r="M43" i="1"/>
  <c r="M37" i="1"/>
  <c r="B41" i="1"/>
  <c r="M47" i="1"/>
  <c r="M49" i="1"/>
</calcChain>
</file>

<file path=xl/sharedStrings.xml><?xml version="1.0" encoding="utf-8"?>
<sst xmlns="http://schemas.openxmlformats.org/spreadsheetml/2006/main" count="342" uniqueCount="126">
  <si>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</si>
  <si>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</si>
  <si>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</si>
  <si>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</si>
  <si>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</si>
  <si>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</si>
  <si>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</si>
  <si>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</si>
  <si>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</si>
  <si>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</si>
  <si>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</si>
  <si>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</si>
  <si>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</si>
  <si>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</si>
  <si>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</si>
  <si>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</si>
  <si>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</si>
  <si>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</si>
  <si>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</si>
  <si>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</si>
  <si>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</si>
  <si>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</si>
  <si>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</si>
  <si>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</si>
  <si>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</si>
  <si>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</si>
  <si>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</si>
  <si>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</si>
  <si>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</si>
  <si>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</si>
  <si>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</si>
  <si>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</si>
  <si>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</si>
  <si>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</si>
  <si>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</si>
  <si>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</si>
  <si>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</si>
  <si>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</si>
  <si>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</si>
  <si>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</si>
  <si>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</si>
  <si>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</si>
  <si>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</si>
  <si>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</si>
  <si>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</si>
  <si>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</si>
  <si>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</si>
  <si>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</si>
  <si>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</si>
  <si>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</si>
  <si>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</si>
  <si>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</si>
  <si>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</si>
  <si>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</si>
  <si>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</si>
  <si>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</si>
  <si>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</si>
  <si>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</si>
  <si>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</si>
  <si>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</si>
  <si>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</si>
  <si>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</si>
  <si>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</si>
  <si>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</si>
  <si>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</si>
  <si>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</si>
  <si>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</si>
  <si>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</si>
  <si>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</si>
  <si>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</si>
  <si>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</si>
  <si>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</si>
  <si>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</si>
  <si>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</si>
  <si>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</si>
  <si>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</si>
  <si>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</si>
  <si>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</si>
  <si>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*base-case assumptions</t>
  </si>
  <si>
    <t>*bear-case assumptions</t>
  </si>
  <si>
    <t>*bull-case assumptions</t>
  </si>
  <si>
    <t>(as of July 2026)</t>
  </si>
  <si>
    <t>(5% of Revenue)</t>
  </si>
  <si>
    <t>(4% of Revenue)</t>
  </si>
  <si>
    <t>Intrinsic Value vs Current Price</t>
  </si>
  <si>
    <t>10.0x</t>
  </si>
  <si>
    <t>(3% of Revenue)</t>
  </si>
  <si>
    <t>(0.5% of Revenue)</t>
  </si>
  <si>
    <t>9.0x</t>
  </si>
  <si>
    <t>(Revenue * 0.35)</t>
  </si>
  <si>
    <t>(1% of Revenue)</t>
  </si>
  <si>
    <t>(0% of Revenue)</t>
  </si>
  <si>
    <t>(2% of Revenue)</t>
  </si>
  <si>
    <t>252,000,000 (1% of Revenue)</t>
  </si>
  <si>
    <t>Adobe Inc</t>
  </si>
  <si>
    <t>Adobe Indexed</t>
  </si>
  <si>
    <t>Upside (%)</t>
  </si>
  <si>
    <t>Upside ($)</t>
  </si>
  <si>
    <t>(Revenue * 0.3)</t>
  </si>
  <si>
    <t>11.0x</t>
  </si>
  <si>
    <t>Ticker</t>
  </si>
  <si>
    <t>Beta</t>
  </si>
  <si>
    <t>Total Debt</t>
  </si>
  <si>
    <t>Effective Tax Rate</t>
  </si>
  <si>
    <t>ADBE</t>
  </si>
  <si>
    <t>Risk-Free Rate (beginning of month)</t>
  </si>
  <si>
    <t>Interest Expense (TTM)</t>
  </si>
  <si>
    <t>Input</t>
  </si>
  <si>
    <t>Capital Structure Weights</t>
  </si>
  <si>
    <t>Total Capitalization</t>
  </si>
  <si>
    <t>Weight of Equity (E/V)</t>
  </si>
  <si>
    <t>Weight of Debt (D/V)</t>
  </si>
  <si>
    <t>Formula</t>
  </si>
  <si>
    <t>Calculation</t>
  </si>
  <si>
    <t>Pre-Tax Cost of Debt</t>
  </si>
  <si>
    <t>After-Tax Shield Formula</t>
  </si>
  <si>
    <t>Pre-Tax Rate x (1-Tax Rate)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</si>
  <si>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</si>
  <si>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</si>
  <si>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</si>
  <si>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</si>
  <si>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(Revenue * 0.4)</t>
  </si>
  <si>
    <t>Risk-Free Rate + (Beta x Market Risk Premium)</t>
  </si>
  <si>
    <t>Market Risk Premium (assuming 9% return)</t>
  </si>
  <si>
    <t>475,400,000 (2% of Revenue)</t>
  </si>
  <si>
    <t>0 (0%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</si>
</sst>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3" fontId="0" fillId="0" borderId="0" xfId="1" applyNumberFormat="1" applyFont="1"/>
    <xf numFmtId="170" fontId="0" fillId="0" borderId="0" xfId="0" applyNumberForma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6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7333045000</c:v>
                </c:pt>
                <c:pt idx="1">
                  <c:v>8139679950.000001</c:v>
                </c:pt>
                <c:pt idx="2">
                  <c:v>8872251145.5000019</c:v>
                </c:pt>
                <c:pt idx="3">
                  <c:v>9759476260.0500031</c:v>
                </c:pt>
                <c:pt idx="4">
                  <c:v>10442639598.253504</c:v>
                </c:pt>
                <c:pt idx="5">
                  <c:v>10964771578.166182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224.73478436975023</c:v>
                </c:pt>
                <c:pt idx="1">
                  <c:v>5.73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ADBE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Adobe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107.23259816932902</c:v>
                </c:pt>
                <c:pt idx="2">
                  <c:v>92.896095748274703</c:v>
                </c:pt>
                <c:pt idx="3">
                  <c:v>104.62172031594356</c:v>
                </c:pt>
                <c:pt idx="4">
                  <c:v>106.51030355677815</c:v>
                </c:pt>
                <c:pt idx="5">
                  <c:v>91.22146614545629</c:v>
                </c:pt>
                <c:pt idx="6">
                  <c:v>80.419220436594117</c:v>
                </c:pt>
                <c:pt idx="7">
                  <c:v>74.890208001544337</c:v>
                </c:pt>
                <c:pt idx="8">
                  <c:v>73.707832633560159</c:v>
                </c:pt>
                <c:pt idx="9">
                  <c:v>63.695445843990797</c:v>
                </c:pt>
                <c:pt idx="10">
                  <c:v>69.134372536717976</c:v>
                </c:pt>
                <c:pt idx="11">
                  <c:v>59.276418448273091</c:v>
                </c:pt>
                <c:pt idx="12">
                  <c:v>65.974936859546673</c:v>
                </c:pt>
                <c:pt idx="13">
                  <c:v>59.221723533291502</c:v>
                </c:pt>
                <c:pt idx="14">
                  <c:v>44.270707655679416</c:v>
                </c:pt>
                <c:pt idx="15">
                  <c:v>45.967858694078473</c:v>
                </c:pt>
                <c:pt idx="16">
                  <c:v>54.941042098997798</c:v>
                </c:pt>
                <c:pt idx="17">
                  <c:v>54.445570516223476</c:v>
                </c:pt>
                <c:pt idx="18">
                  <c:v>59.635152743593459</c:v>
                </c:pt>
                <c:pt idx="19">
                  <c:v>55.344819265479472</c:v>
                </c:pt>
                <c:pt idx="20">
                  <c:v>61.993468783681614</c:v>
                </c:pt>
                <c:pt idx="21">
                  <c:v>60.737094413075297</c:v>
                </c:pt>
                <c:pt idx="22">
                  <c:v>66.822708041761175</c:v>
                </c:pt>
                <c:pt idx="23">
                  <c:v>78.662548461303345</c:v>
                </c:pt>
                <c:pt idx="24">
                  <c:v>85.077940253848752</c:v>
                </c:pt>
                <c:pt idx="25">
                  <c:v>84.465035471261032</c:v>
                </c:pt>
                <c:pt idx="26">
                  <c:v>82.508887923684497</c:v>
                </c:pt>
                <c:pt idx="27">
                  <c:v>81.739941766002289</c:v>
                </c:pt>
                <c:pt idx="28">
                  <c:v>98.526454643437418</c:v>
                </c:pt>
                <c:pt idx="29">
                  <c:v>95.973489052973633</c:v>
                </c:pt>
                <c:pt idx="30">
                  <c:v>98.7613210430642</c:v>
                </c:pt>
                <c:pt idx="31">
                  <c:v>91.844022971864277</c:v>
                </c:pt>
                <c:pt idx="32">
                  <c:v>81.173688528545924</c:v>
                </c:pt>
                <c:pt idx="33">
                  <c:v>74.806556955101911</c:v>
                </c:pt>
                <c:pt idx="34">
                  <c:v>77.768125733957504</c:v>
                </c:pt>
                <c:pt idx="35">
                  <c:v>89.368273731962731</c:v>
                </c:pt>
                <c:pt idx="36">
                  <c:v>84.643598281936193</c:v>
                </c:pt>
                <c:pt idx="37">
                  <c:v>92.403841513440469</c:v>
                </c:pt>
                <c:pt idx="38">
                  <c:v>81.595161108698093</c:v>
                </c:pt>
                <c:pt idx="39">
                  <c:v>77.666779273844583</c:v>
                </c:pt>
                <c:pt idx="40">
                  <c:v>82.996316136608584</c:v>
                </c:pt>
                <c:pt idx="41">
                  <c:v>71.824075414635729</c:v>
                </c:pt>
                <c:pt idx="42">
                  <c:v>70.371442819683736</c:v>
                </c:pt>
                <c:pt idx="43">
                  <c:v>70.550005630358896</c:v>
                </c:pt>
                <c:pt idx="44">
                  <c:v>62.048163698663195</c:v>
                </c:pt>
                <c:pt idx="45">
                  <c:v>56.110548075221601</c:v>
                </c:pt>
                <c:pt idx="46">
                  <c:v>66.774447822659781</c:v>
                </c:pt>
                <c:pt idx="47">
                  <c:v>62.067467786303745</c:v>
                </c:pt>
                <c:pt idx="48">
                  <c:v>59.639978765503599</c:v>
                </c:pt>
                <c:pt idx="49">
                  <c:v>57.381400511558326</c:v>
                </c:pt>
                <c:pt idx="50">
                  <c:v>55.779161237392017</c:v>
                </c:pt>
                <c:pt idx="51">
                  <c:v>54.744783874652128</c:v>
                </c:pt>
                <c:pt idx="52">
                  <c:v>52.151601434937177</c:v>
                </c:pt>
                <c:pt idx="53">
                  <c:v>57.246271898074419</c:v>
                </c:pt>
                <c:pt idx="54">
                  <c:v>48.43234721618969</c:v>
                </c:pt>
                <c:pt idx="55">
                  <c:v>41.601917539372295</c:v>
                </c:pt>
                <c:pt idx="56">
                  <c:v>56.005984267168571</c:v>
                </c:pt>
                <c:pt idx="57">
                  <c:v>40.33106510303557</c:v>
                </c:pt>
                <c:pt idx="58">
                  <c:v>41.698437977575082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5633490000</c:v>
                </c:pt>
                <c:pt idx="1">
                  <c:v>6027834300</c:v>
                </c:pt>
                <c:pt idx="2">
                  <c:v>6389504358</c:v>
                </c:pt>
                <c:pt idx="3">
                  <c:v>6900664706.6400003</c:v>
                </c:pt>
                <c:pt idx="4">
                  <c:v>7245697941.9720011</c:v>
                </c:pt>
                <c:pt idx="5">
                  <c:v>7607982839.0706015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5-4832-BCEC-E329A2CE8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87-46C3-8671-550456053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142.31201521680836</c:v>
                </c:pt>
                <c:pt idx="1">
                  <c:v>76.69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7-46C3-8671-55045605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ADBE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Adobe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107.23259816932902</c:v>
                </c:pt>
                <c:pt idx="2">
                  <c:v>92.896095748274703</c:v>
                </c:pt>
                <c:pt idx="3">
                  <c:v>104.62172031594356</c:v>
                </c:pt>
                <c:pt idx="4">
                  <c:v>106.51030355677815</c:v>
                </c:pt>
                <c:pt idx="5">
                  <c:v>91.22146614545629</c:v>
                </c:pt>
                <c:pt idx="6">
                  <c:v>80.419220436594117</c:v>
                </c:pt>
                <c:pt idx="7">
                  <c:v>74.890208001544337</c:v>
                </c:pt>
                <c:pt idx="8">
                  <c:v>73.707832633560159</c:v>
                </c:pt>
                <c:pt idx="9">
                  <c:v>63.695445843990797</c:v>
                </c:pt>
                <c:pt idx="10">
                  <c:v>69.134372536717976</c:v>
                </c:pt>
                <c:pt idx="11">
                  <c:v>59.276418448273091</c:v>
                </c:pt>
                <c:pt idx="12">
                  <c:v>65.974936859546673</c:v>
                </c:pt>
                <c:pt idx="13">
                  <c:v>59.221723533291502</c:v>
                </c:pt>
                <c:pt idx="14">
                  <c:v>44.270707655679416</c:v>
                </c:pt>
                <c:pt idx="15">
                  <c:v>45.967858694078473</c:v>
                </c:pt>
                <c:pt idx="16">
                  <c:v>54.941042098997798</c:v>
                </c:pt>
                <c:pt idx="17">
                  <c:v>54.445570516223476</c:v>
                </c:pt>
                <c:pt idx="18">
                  <c:v>59.635152743593459</c:v>
                </c:pt>
                <c:pt idx="19">
                  <c:v>55.344819265479472</c:v>
                </c:pt>
                <c:pt idx="20">
                  <c:v>61.993468783681614</c:v>
                </c:pt>
                <c:pt idx="21">
                  <c:v>60.737094413075297</c:v>
                </c:pt>
                <c:pt idx="22">
                  <c:v>66.822708041761175</c:v>
                </c:pt>
                <c:pt idx="23">
                  <c:v>78.662548461303345</c:v>
                </c:pt>
                <c:pt idx="24">
                  <c:v>85.077940253848752</c:v>
                </c:pt>
                <c:pt idx="25">
                  <c:v>84.465035471261032</c:v>
                </c:pt>
                <c:pt idx="26">
                  <c:v>82.508887923684497</c:v>
                </c:pt>
                <c:pt idx="27">
                  <c:v>81.739941766002289</c:v>
                </c:pt>
                <c:pt idx="28">
                  <c:v>98.526454643437418</c:v>
                </c:pt>
                <c:pt idx="29">
                  <c:v>95.973489052973633</c:v>
                </c:pt>
                <c:pt idx="30">
                  <c:v>98.7613210430642</c:v>
                </c:pt>
                <c:pt idx="31">
                  <c:v>91.844022971864277</c:v>
                </c:pt>
                <c:pt idx="32">
                  <c:v>81.173688528545924</c:v>
                </c:pt>
                <c:pt idx="33">
                  <c:v>74.806556955101911</c:v>
                </c:pt>
                <c:pt idx="34">
                  <c:v>77.768125733957504</c:v>
                </c:pt>
                <c:pt idx="35">
                  <c:v>89.368273731962731</c:v>
                </c:pt>
                <c:pt idx="36">
                  <c:v>84.643598281936193</c:v>
                </c:pt>
                <c:pt idx="37">
                  <c:v>92.403841513440469</c:v>
                </c:pt>
                <c:pt idx="38">
                  <c:v>81.595161108698093</c:v>
                </c:pt>
                <c:pt idx="39">
                  <c:v>77.666779273844583</c:v>
                </c:pt>
                <c:pt idx="40">
                  <c:v>82.996316136608584</c:v>
                </c:pt>
                <c:pt idx="41">
                  <c:v>71.824075414635729</c:v>
                </c:pt>
                <c:pt idx="42">
                  <c:v>70.371442819683736</c:v>
                </c:pt>
                <c:pt idx="43">
                  <c:v>70.550005630358896</c:v>
                </c:pt>
                <c:pt idx="44">
                  <c:v>62.048163698663195</c:v>
                </c:pt>
                <c:pt idx="45">
                  <c:v>56.110548075221601</c:v>
                </c:pt>
                <c:pt idx="46">
                  <c:v>66.774447822659781</c:v>
                </c:pt>
                <c:pt idx="47">
                  <c:v>62.067467786303745</c:v>
                </c:pt>
                <c:pt idx="48">
                  <c:v>59.639978765503599</c:v>
                </c:pt>
                <c:pt idx="49">
                  <c:v>57.381400511558326</c:v>
                </c:pt>
                <c:pt idx="50">
                  <c:v>55.779161237392017</c:v>
                </c:pt>
                <c:pt idx="51">
                  <c:v>54.744783874652128</c:v>
                </c:pt>
                <c:pt idx="52">
                  <c:v>52.151601434937177</c:v>
                </c:pt>
                <c:pt idx="53">
                  <c:v>57.246271898074419</c:v>
                </c:pt>
                <c:pt idx="54">
                  <c:v>48.43234721618969</c:v>
                </c:pt>
                <c:pt idx="55">
                  <c:v>41.601917539372295</c:v>
                </c:pt>
                <c:pt idx="56">
                  <c:v>56.005984267168571</c:v>
                </c:pt>
                <c:pt idx="57">
                  <c:v>40.33106510303557</c:v>
                </c:pt>
                <c:pt idx="58">
                  <c:v>41.698437977575082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3-4A1C-BB89-028E09508C08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3-4A1C-BB89-028E09508C08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3-4A1C-BB89-028E09508C08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23-4A1C-BB89-028E09508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9080140000</c:v>
                </c:pt>
                <c:pt idx="1">
                  <c:v>10442161000</c:v>
                </c:pt>
                <c:pt idx="2">
                  <c:v>11590798710</c:v>
                </c:pt>
                <c:pt idx="3">
                  <c:v>12981694555.200001</c:v>
                </c:pt>
                <c:pt idx="4">
                  <c:v>14020230119.616005</c:v>
                </c:pt>
                <c:pt idx="5">
                  <c:v>14861443926.792965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7-4E17-8E15-1E5F5DB0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E7-470C-9EA5-80BBA4AE9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350.45585191814121</c:v>
                </c:pt>
                <c:pt idx="1">
                  <c:v>131.46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7-470C-9EA5-80BBA4AE9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ADBE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Adobe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107.23259816932902</c:v>
                </c:pt>
                <c:pt idx="2">
                  <c:v>92.896095748274703</c:v>
                </c:pt>
                <c:pt idx="3">
                  <c:v>104.62172031594356</c:v>
                </c:pt>
                <c:pt idx="4">
                  <c:v>106.51030355677815</c:v>
                </c:pt>
                <c:pt idx="5">
                  <c:v>91.22146614545629</c:v>
                </c:pt>
                <c:pt idx="6">
                  <c:v>80.419220436594117</c:v>
                </c:pt>
                <c:pt idx="7">
                  <c:v>74.890208001544337</c:v>
                </c:pt>
                <c:pt idx="8">
                  <c:v>73.707832633560159</c:v>
                </c:pt>
                <c:pt idx="9">
                  <c:v>63.695445843990797</c:v>
                </c:pt>
                <c:pt idx="10">
                  <c:v>69.134372536717976</c:v>
                </c:pt>
                <c:pt idx="11">
                  <c:v>59.276418448273091</c:v>
                </c:pt>
                <c:pt idx="12">
                  <c:v>65.974936859546673</c:v>
                </c:pt>
                <c:pt idx="13">
                  <c:v>59.221723533291502</c:v>
                </c:pt>
                <c:pt idx="14">
                  <c:v>44.270707655679416</c:v>
                </c:pt>
                <c:pt idx="15">
                  <c:v>45.967858694078473</c:v>
                </c:pt>
                <c:pt idx="16">
                  <c:v>54.941042098997798</c:v>
                </c:pt>
                <c:pt idx="17">
                  <c:v>54.445570516223476</c:v>
                </c:pt>
                <c:pt idx="18">
                  <c:v>59.635152743593459</c:v>
                </c:pt>
                <c:pt idx="19">
                  <c:v>55.344819265479472</c:v>
                </c:pt>
                <c:pt idx="20">
                  <c:v>61.993468783681614</c:v>
                </c:pt>
                <c:pt idx="21">
                  <c:v>60.737094413075297</c:v>
                </c:pt>
                <c:pt idx="22">
                  <c:v>66.822708041761175</c:v>
                </c:pt>
                <c:pt idx="23">
                  <c:v>78.662548461303345</c:v>
                </c:pt>
                <c:pt idx="24">
                  <c:v>85.077940253848752</c:v>
                </c:pt>
                <c:pt idx="25">
                  <c:v>84.465035471261032</c:v>
                </c:pt>
                <c:pt idx="26">
                  <c:v>82.508887923684497</c:v>
                </c:pt>
                <c:pt idx="27">
                  <c:v>81.739941766002289</c:v>
                </c:pt>
                <c:pt idx="28">
                  <c:v>98.526454643437418</c:v>
                </c:pt>
                <c:pt idx="29">
                  <c:v>95.973489052973633</c:v>
                </c:pt>
                <c:pt idx="30">
                  <c:v>98.7613210430642</c:v>
                </c:pt>
                <c:pt idx="31">
                  <c:v>91.844022971864277</c:v>
                </c:pt>
                <c:pt idx="32">
                  <c:v>81.173688528545924</c:v>
                </c:pt>
                <c:pt idx="33">
                  <c:v>74.806556955101911</c:v>
                </c:pt>
                <c:pt idx="34">
                  <c:v>77.768125733957504</c:v>
                </c:pt>
                <c:pt idx="35">
                  <c:v>89.368273731962731</c:v>
                </c:pt>
                <c:pt idx="36">
                  <c:v>84.643598281936193</c:v>
                </c:pt>
                <c:pt idx="37">
                  <c:v>92.403841513440469</c:v>
                </c:pt>
                <c:pt idx="38">
                  <c:v>81.595161108698093</c:v>
                </c:pt>
                <c:pt idx="39">
                  <c:v>77.666779273844583</c:v>
                </c:pt>
                <c:pt idx="40">
                  <c:v>82.996316136608584</c:v>
                </c:pt>
                <c:pt idx="41">
                  <c:v>71.824075414635729</c:v>
                </c:pt>
                <c:pt idx="42">
                  <c:v>70.371442819683736</c:v>
                </c:pt>
                <c:pt idx="43">
                  <c:v>70.550005630358896</c:v>
                </c:pt>
                <c:pt idx="44">
                  <c:v>62.048163698663195</c:v>
                </c:pt>
                <c:pt idx="45">
                  <c:v>56.110548075221601</c:v>
                </c:pt>
                <c:pt idx="46">
                  <c:v>66.774447822659781</c:v>
                </c:pt>
                <c:pt idx="47">
                  <c:v>62.067467786303745</c:v>
                </c:pt>
                <c:pt idx="48">
                  <c:v>59.639978765503599</c:v>
                </c:pt>
                <c:pt idx="49">
                  <c:v>57.381400511558326</c:v>
                </c:pt>
                <c:pt idx="50">
                  <c:v>55.779161237392017</c:v>
                </c:pt>
                <c:pt idx="51">
                  <c:v>54.744783874652128</c:v>
                </c:pt>
                <c:pt idx="52">
                  <c:v>52.151601434937177</c:v>
                </c:pt>
                <c:pt idx="53">
                  <c:v>57.246271898074419</c:v>
                </c:pt>
                <c:pt idx="54">
                  <c:v>48.43234721618969</c:v>
                </c:pt>
                <c:pt idx="55">
                  <c:v>41.601917539372295</c:v>
                </c:pt>
                <c:pt idx="56">
                  <c:v>56.005984267168571</c:v>
                </c:pt>
                <c:pt idx="57">
                  <c:v>40.33106510303557</c:v>
                </c:pt>
                <c:pt idx="58">
                  <c:v>41.698437977575082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6-4A87-BED3-F92FC76BF8A6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6-4A87-BED3-F92FC76BF8A6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6-4A87-BED3-F92FC76BF8A6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96-4A87-BED3-F92FC76BF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387FB-ABC2-4D6E-A42C-9D8ADA074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C4E2B7-FA3E-4251-93A0-929847BA3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CD9683-3255-4F01-9269-FC8B7D95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E8B81-E727-4373-B205-C4CC65F1A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569FE-A725-4A4D-A509-20AF73029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F0F8FC-55F4-43E3-BFF1-B1385BDCB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70B3-328E-46CC-BDCD-A8778AB4D18F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107</v>
      </c>
    </row>
    <row r="3" spans="2:3" x14ac:dyDescent="0.25">
      <c r="B3" s="63" t="s">
        <v>100</v>
      </c>
      <c r="C3" s="64" t="s">
        <v>104</v>
      </c>
    </row>
    <row r="4" spans="2:3" x14ac:dyDescent="0.25">
      <c r="B4" s="65" t="s">
        <v>101</v>
      </c>
      <c r="C4" s="66">
        <v>1.43</v>
      </c>
    </row>
    <row r="5" spans="2:3" x14ac:dyDescent="0.25">
      <c r="B5" s="65" t="s">
        <v>33</v>
      </c>
      <c r="C5" s="67">
        <v>88038000000</v>
      </c>
    </row>
    <row r="6" spans="2:3" x14ac:dyDescent="0.25">
      <c r="B6" s="65" t="s">
        <v>102</v>
      </c>
      <c r="C6" s="67">
        <v>7080000000</v>
      </c>
    </row>
    <row r="7" spans="2:3" x14ac:dyDescent="0.25">
      <c r="B7" s="65" t="s">
        <v>106</v>
      </c>
      <c r="C7" s="67">
        <v>261000000</v>
      </c>
    </row>
    <row r="8" spans="2:3" x14ac:dyDescent="0.25">
      <c r="B8" s="65" t="s">
        <v>103</v>
      </c>
      <c r="C8" s="68">
        <v>0.19</v>
      </c>
    </row>
    <row r="9" spans="2:3" x14ac:dyDescent="0.25">
      <c r="B9" s="42" t="s">
        <v>105</v>
      </c>
      <c r="C9" s="69">
        <v>4.48E-2</v>
      </c>
    </row>
    <row r="11" spans="2:3" x14ac:dyDescent="0.25">
      <c r="B11" s="3" t="s">
        <v>108</v>
      </c>
    </row>
    <row r="12" spans="2:3" x14ac:dyDescent="0.25">
      <c r="B12" t="s">
        <v>109</v>
      </c>
      <c r="C12" s="70">
        <f>C5+C6</f>
        <v>95118000000</v>
      </c>
    </row>
    <row r="13" spans="2:3" x14ac:dyDescent="0.25">
      <c r="B13" t="s">
        <v>110</v>
      </c>
      <c r="C13" s="71">
        <f>C5/C12</f>
        <v>0.92556613890115436</v>
      </c>
    </row>
    <row r="14" spans="2:3" x14ac:dyDescent="0.25">
      <c r="B14" t="s">
        <v>111</v>
      </c>
      <c r="C14" s="71">
        <f>C6/C12</f>
        <v>7.4433861098845644E-2</v>
      </c>
    </row>
    <row r="16" spans="2:3" ht="18" x14ac:dyDescent="0.35">
      <c r="B16" s="3" t="s">
        <v>118</v>
      </c>
    </row>
    <row r="17" spans="2:3" x14ac:dyDescent="0.25">
      <c r="B17" t="s">
        <v>112</v>
      </c>
      <c r="C17" t="s">
        <v>122</v>
      </c>
    </row>
    <row r="18" spans="2:3" x14ac:dyDescent="0.25">
      <c r="B18" t="s">
        <v>123</v>
      </c>
      <c r="C18" s="21">
        <f>9%-C9</f>
        <v>4.5199999999999997E-2</v>
      </c>
    </row>
    <row r="19" spans="2:3" x14ac:dyDescent="0.25">
      <c r="B19" t="s">
        <v>113</v>
      </c>
      <c r="C19" s="21">
        <f>C9+(1.43*C18)</f>
        <v>0.10943600000000001</v>
      </c>
    </row>
    <row r="21" spans="2:3" ht="18" x14ac:dyDescent="0.35">
      <c r="B21" s="3" t="s">
        <v>117</v>
      </c>
    </row>
    <row r="22" spans="2:3" x14ac:dyDescent="0.25">
      <c r="B22" t="s">
        <v>114</v>
      </c>
      <c r="C22" s="71">
        <f>C7/C6</f>
        <v>3.6864406779661019E-2</v>
      </c>
    </row>
    <row r="23" spans="2:3" x14ac:dyDescent="0.25">
      <c r="B23" t="s">
        <v>115</v>
      </c>
      <c r="C23" t="s">
        <v>116</v>
      </c>
    </row>
    <row r="24" spans="2:3" x14ac:dyDescent="0.25">
      <c r="B24" t="s">
        <v>113</v>
      </c>
      <c r="C24" s="71">
        <f>C22*(1-C8)</f>
        <v>2.9860169491525427E-2</v>
      </c>
    </row>
    <row r="26" spans="2:3" x14ac:dyDescent="0.25">
      <c r="B26" s="3" t="s">
        <v>119</v>
      </c>
    </row>
    <row r="27" spans="2:3" ht="18" x14ac:dyDescent="0.35">
      <c r="B27" t="s">
        <v>112</v>
      </c>
      <c r="C27" t="s">
        <v>120</v>
      </c>
    </row>
    <row r="28" spans="2:3" x14ac:dyDescent="0.25">
      <c r="B28" t="s">
        <v>113</v>
      </c>
      <c r="C28" s="21">
        <f>(C13*C19)+(C14*C24)</f>
        <v>0.10351286368510693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0.19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0.10351286368510693</v>
      </c>
      <c r="C7" s="41"/>
      <c r="P7">
        <v>2026</v>
      </c>
      <c r="Q7" s="26">
        <f>D28</f>
        <v>7333045000</v>
      </c>
      <c r="R7" s="26"/>
      <c r="S7" t="s">
        <v>41</v>
      </c>
      <c r="T7" s="16">
        <f>B40</f>
        <v>224.73478436975023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8139679950.000001</v>
      </c>
      <c r="R8" s="26"/>
      <c r="S8" t="s">
        <v>55</v>
      </c>
      <c r="T8" s="16">
        <v>5.73</v>
      </c>
    </row>
    <row r="9" spans="1:26" x14ac:dyDescent="0.25">
      <c r="A9" s="40" t="s">
        <v>5</v>
      </c>
      <c r="B9" s="33" t="s">
        <v>85</v>
      </c>
      <c r="C9" s="41"/>
      <c r="P9">
        <v>2028</v>
      </c>
      <c r="Q9" s="26">
        <f>F28</f>
        <v>8872251145.5000019</v>
      </c>
      <c r="R9" s="26"/>
      <c r="S9" t="s">
        <v>8</v>
      </c>
      <c r="T9" s="16">
        <f>B12</f>
        <v>219</v>
      </c>
    </row>
    <row r="10" spans="1:26" x14ac:dyDescent="0.25">
      <c r="A10" s="40" t="s">
        <v>6</v>
      </c>
      <c r="B10" s="34">
        <v>46209</v>
      </c>
      <c r="C10" s="41"/>
      <c r="P10">
        <v>2029</v>
      </c>
      <c r="Q10" s="26">
        <f>G28</f>
        <v>9759476260.0500031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10442639598.253504</v>
      </c>
      <c r="R11" s="26"/>
    </row>
    <row r="12" spans="1:26" x14ac:dyDescent="0.25">
      <c r="A12" s="40" t="s">
        <v>8</v>
      </c>
      <c r="B12" s="35">
        <v>219</v>
      </c>
      <c r="C12" s="41" t="s">
        <v>81</v>
      </c>
      <c r="P12">
        <v>2031</v>
      </c>
      <c r="Q12" s="26">
        <f>I28</f>
        <v>10964771578.166182</v>
      </c>
      <c r="R12" s="26"/>
    </row>
    <row r="13" spans="1:26" x14ac:dyDescent="0.25">
      <c r="A13" s="40" t="s">
        <v>9</v>
      </c>
      <c r="B13" s="36">
        <v>402000000</v>
      </c>
      <c r="C13" s="41"/>
    </row>
    <row r="14" spans="1:26" x14ac:dyDescent="0.25">
      <c r="A14" s="40" t="s">
        <v>10</v>
      </c>
      <c r="B14" s="35">
        <v>7080000000</v>
      </c>
      <c r="C14" s="41"/>
      <c r="P14" s="6" t="s">
        <v>16</v>
      </c>
      <c r="Q14" s="6" t="s">
        <v>94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95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5630000000</v>
      </c>
      <c r="C15" s="41"/>
      <c r="P15" s="58">
        <v>44378</v>
      </c>
      <c r="Q15" s="59">
        <v>621.63</v>
      </c>
      <c r="R15" s="6">
        <v>4395.26</v>
      </c>
      <c r="S15" s="6">
        <v>14672.68</v>
      </c>
      <c r="T15" s="6">
        <v>35061.550000000003</v>
      </c>
      <c r="U15" s="58">
        <v>44378</v>
      </c>
      <c r="V15" s="60">
        <f t="shared" ref="V15:V46" si="0">(Q15/$Q$15)*100</f>
        <v>100</v>
      </c>
      <c r="W15" s="60">
        <f>(R15/$R$15)*100</f>
        <v>100</v>
      </c>
      <c r="X15" s="60">
        <f>(S15/$S$15)*100</f>
        <v>100</v>
      </c>
      <c r="Y15" s="60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93</v>
      </c>
      <c r="C16" s="41"/>
      <c r="P16" s="58">
        <v>44409</v>
      </c>
      <c r="Q16" s="6">
        <v>666.59</v>
      </c>
      <c r="R16" s="6">
        <v>4509.37</v>
      </c>
      <c r="S16" s="6">
        <v>14714.66</v>
      </c>
      <c r="T16" s="6">
        <v>35120.080000000002</v>
      </c>
      <c r="U16" s="58">
        <v>44409</v>
      </c>
      <c r="V16" s="61">
        <f t="shared" si="0"/>
        <v>107.23259816932902</v>
      </c>
      <c r="W16" s="61">
        <f>(R16/$R$15)*100</f>
        <v>102.59620591273327</v>
      </c>
      <c r="X16" s="61">
        <f>(S16/$S$15)*100</f>
        <v>100.28610996764054</v>
      </c>
      <c r="Y16" s="61">
        <f>(T16/$T$15)*100</f>
        <v>100.16693500429959</v>
      </c>
      <c r="Z16" t="s">
        <v>74</v>
      </c>
    </row>
    <row r="17" spans="1:25" x14ac:dyDescent="0.25">
      <c r="A17" s="42" t="s">
        <v>78</v>
      </c>
      <c r="B17" s="43"/>
      <c r="C17" s="44"/>
      <c r="P17" s="58">
        <v>44440</v>
      </c>
      <c r="Q17" s="6">
        <v>577.47</v>
      </c>
      <c r="R17" s="6">
        <v>4455.4799999999996</v>
      </c>
      <c r="S17" s="6">
        <v>15047.7</v>
      </c>
      <c r="T17" s="6">
        <v>34326.46</v>
      </c>
      <c r="U17" s="58">
        <v>44440</v>
      </c>
      <c r="V17" s="61">
        <f t="shared" si="0"/>
        <v>92.896095748274703</v>
      </c>
      <c r="W17" s="61">
        <f>(R17/$R$15)*100</f>
        <v>101.37011234830247</v>
      </c>
      <c r="X17" s="61">
        <f>(S17/$S$15)*100</f>
        <v>102.55590662373881</v>
      </c>
      <c r="Y17" s="61">
        <f>(T17/$T$15)*100</f>
        <v>97.903429825549622</v>
      </c>
    </row>
    <row r="18" spans="1:25" x14ac:dyDescent="0.25">
      <c r="P18" s="58">
        <v>44470</v>
      </c>
      <c r="Q18" s="6">
        <v>650.36</v>
      </c>
      <c r="R18" s="6">
        <v>4544.8999999999996</v>
      </c>
      <c r="S18" s="6">
        <v>15498.39</v>
      </c>
      <c r="T18" s="6">
        <v>35677.019999999997</v>
      </c>
      <c r="U18" s="58">
        <v>44470</v>
      </c>
      <c r="V18" s="61">
        <f t="shared" si="0"/>
        <v>104.62172031594356</v>
      </c>
      <c r="W18" s="61">
        <f t="shared" ref="W18:W75" si="1">(R18/$R$15)*100</f>
        <v>103.40457674858823</v>
      </c>
      <c r="X18" s="61">
        <f t="shared" ref="X18:X75" si="2">(S18/$S$15)*100</f>
        <v>105.62753362030656</v>
      </c>
      <c r="Y18" s="61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8">
        <v>44501</v>
      </c>
      <c r="Q19" s="6">
        <v>662.1</v>
      </c>
      <c r="R19" s="6">
        <v>4594.62</v>
      </c>
      <c r="S19" s="6">
        <v>15085.47</v>
      </c>
      <c r="T19" s="6">
        <v>34889.339999999997</v>
      </c>
      <c r="U19" s="58">
        <v>44501</v>
      </c>
      <c r="V19" s="61">
        <f t="shared" si="0"/>
        <v>106.51030355677815</v>
      </c>
      <c r="W19" s="61">
        <f t="shared" si="1"/>
        <v>104.53579537956799</v>
      </c>
      <c r="X19" s="61">
        <f t="shared" si="2"/>
        <v>102.81332380996517</v>
      </c>
      <c r="Y19" s="61">
        <f t="shared" si="3"/>
        <v>99.508835176995873</v>
      </c>
    </row>
    <row r="20" spans="1:25" x14ac:dyDescent="0.25">
      <c r="A20" t="s">
        <v>16</v>
      </c>
      <c r="C20" s="7">
        <v>46209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143147126981.59085</v>
      </c>
      <c r="P20" s="58">
        <v>44531</v>
      </c>
      <c r="Q20" s="6">
        <v>567.05999999999995</v>
      </c>
      <c r="R20" s="6">
        <v>4766.18</v>
      </c>
      <c r="S20" s="6">
        <v>15653.37</v>
      </c>
      <c r="T20" s="6">
        <v>35950.559999999998</v>
      </c>
      <c r="U20" s="58">
        <v>44531</v>
      </c>
      <c r="V20" s="61">
        <f t="shared" si="0"/>
        <v>91.22146614545629</v>
      </c>
      <c r="W20" s="61">
        <f t="shared" si="1"/>
        <v>108.43909120279574</v>
      </c>
      <c r="X20" s="61">
        <f t="shared" si="2"/>
        <v>106.68378237649836</v>
      </c>
      <c r="Y20" s="61">
        <f t="shared" si="3"/>
        <v>102.53556959119035</v>
      </c>
    </row>
    <row r="21" spans="1:25" x14ac:dyDescent="0.25">
      <c r="A21" t="s">
        <v>18</v>
      </c>
      <c r="D21" s="5">
        <v>23770000000</v>
      </c>
      <c r="E21" s="5">
        <f>D21*1.11</f>
        <v>26384700000.000004</v>
      </c>
      <c r="F21" s="5">
        <f>E21*1.09</f>
        <v>28759323000.000008</v>
      </c>
      <c r="G21" s="5">
        <f>F21*1.1</f>
        <v>31635255300.000011</v>
      </c>
      <c r="H21" s="5">
        <f>G21*1.07</f>
        <v>33849723171.000015</v>
      </c>
      <c r="I21" s="5">
        <f>H21*1.05</f>
        <v>35542209329.550018</v>
      </c>
      <c r="L21" t="s">
        <v>19</v>
      </c>
      <c r="M21" s="13">
        <f>(I22+I25)*10</f>
        <v>138614616385.24509</v>
      </c>
      <c r="P21" s="58">
        <v>44562</v>
      </c>
      <c r="Q21" s="6">
        <v>499.91</v>
      </c>
      <c r="R21" s="6">
        <v>4500.53</v>
      </c>
      <c r="S21" s="6">
        <v>13770.57</v>
      </c>
      <c r="T21" s="6">
        <v>34725.47</v>
      </c>
      <c r="U21" s="58">
        <v>44562</v>
      </c>
      <c r="V21" s="61">
        <f t="shared" si="0"/>
        <v>80.419220436594117</v>
      </c>
      <c r="W21" s="61">
        <f t="shared" si="1"/>
        <v>102.39508015453009</v>
      </c>
      <c r="X21" s="61">
        <f t="shared" si="2"/>
        <v>93.851770773982665</v>
      </c>
      <c r="Y21" s="61">
        <f t="shared" si="3"/>
        <v>99.041457094737666</v>
      </c>
    </row>
    <row r="22" spans="1:25" x14ac:dyDescent="0.25">
      <c r="A22" t="s">
        <v>77</v>
      </c>
      <c r="B22" t="s">
        <v>89</v>
      </c>
      <c r="C22" s="25">
        <v>0.35</v>
      </c>
      <c r="D22" s="5">
        <f t="shared" ref="D22:I22" si="4">D21*$C$22</f>
        <v>8319499999.999999</v>
      </c>
      <c r="E22" s="5">
        <f t="shared" si="4"/>
        <v>9234645000</v>
      </c>
      <c r="F22" s="5">
        <f t="shared" si="4"/>
        <v>10065763050.000002</v>
      </c>
      <c r="G22" s="5">
        <f t="shared" si="4"/>
        <v>11072339355.000004</v>
      </c>
      <c r="H22" s="5">
        <f t="shared" si="4"/>
        <v>11847403109.850004</v>
      </c>
      <c r="I22" s="5">
        <f t="shared" si="4"/>
        <v>12439773265.342506</v>
      </c>
      <c r="L22" t="s">
        <v>20</v>
      </c>
      <c r="M22" s="13">
        <f>(M20+M21)/2</f>
        <v>140880871683.41797</v>
      </c>
      <c r="P22" s="58">
        <v>44593</v>
      </c>
      <c r="Q22" s="6">
        <v>465.54</v>
      </c>
      <c r="R22" s="6">
        <v>4384.6499999999996</v>
      </c>
      <c r="S22" s="6">
        <v>13313.44</v>
      </c>
      <c r="T22" s="6">
        <v>34058.75</v>
      </c>
      <c r="U22" s="58">
        <v>44593</v>
      </c>
      <c r="V22" s="61">
        <f t="shared" si="0"/>
        <v>74.890208001544337</v>
      </c>
      <c r="W22" s="61">
        <f t="shared" si="1"/>
        <v>99.758603586590993</v>
      </c>
      <c r="X22" s="61">
        <f t="shared" si="2"/>
        <v>90.736252681854992</v>
      </c>
      <c r="Y22" s="61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1580704999.9999998</v>
      </c>
      <c r="E23" s="30">
        <f t="shared" ref="E23:I23" si="5">E22*$B$6</f>
        <v>1754582550</v>
      </c>
      <c r="F23" s="5">
        <f t="shared" si="5"/>
        <v>1912494979.5000005</v>
      </c>
      <c r="G23" s="30">
        <f t="shared" si="5"/>
        <v>2103744477.4500008</v>
      </c>
      <c r="H23" s="30">
        <f t="shared" si="5"/>
        <v>2251006590.871501</v>
      </c>
      <c r="I23" s="5">
        <f t="shared" si="5"/>
        <v>2363556920.4150763</v>
      </c>
      <c r="P23" s="58">
        <v>44621</v>
      </c>
      <c r="Q23" s="6">
        <v>458.19</v>
      </c>
      <c r="R23" s="6">
        <v>4543.0600000000004</v>
      </c>
      <c r="S23" s="6">
        <v>14169.3</v>
      </c>
      <c r="T23" s="6">
        <v>34861.24</v>
      </c>
      <c r="U23" s="58">
        <v>44621</v>
      </c>
      <c r="V23" s="61">
        <f t="shared" si="0"/>
        <v>73.707832633560159</v>
      </c>
      <c r="W23" s="61">
        <f t="shared" si="1"/>
        <v>103.36271346860026</v>
      </c>
      <c r="X23" s="61">
        <f t="shared" si="2"/>
        <v>96.569270235567046</v>
      </c>
      <c r="Y23" s="61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6738795000</v>
      </c>
      <c r="E24" s="5">
        <f t="shared" ref="E24:I24" si="6">E22*(1-$B$6)</f>
        <v>7480062450.000001</v>
      </c>
      <c r="F24" s="5">
        <f t="shared" si="6"/>
        <v>8153268070.5000019</v>
      </c>
      <c r="G24" s="5">
        <f t="shared" si="6"/>
        <v>8968594877.5500031</v>
      </c>
      <c r="H24" s="5">
        <f t="shared" si="6"/>
        <v>9596396518.9785042</v>
      </c>
      <c r="I24" s="5">
        <f t="shared" si="6"/>
        <v>10076216344.927431</v>
      </c>
      <c r="P24" s="58">
        <v>44652</v>
      </c>
      <c r="Q24" s="6">
        <v>395.95</v>
      </c>
      <c r="R24" s="6">
        <v>4271.78</v>
      </c>
      <c r="S24" s="6">
        <v>12839.29</v>
      </c>
      <c r="T24" s="6">
        <v>33811.4</v>
      </c>
      <c r="U24" s="58">
        <v>44652</v>
      </c>
      <c r="V24" s="61">
        <f t="shared" si="0"/>
        <v>63.695445843990797</v>
      </c>
      <c r="W24" s="61">
        <f t="shared" si="1"/>
        <v>97.190609884284413</v>
      </c>
      <c r="X24" s="61">
        <f t="shared" si="2"/>
        <v>87.504736694318979</v>
      </c>
      <c r="Y24" s="61">
        <f t="shared" si="3"/>
        <v>96.434413196222067</v>
      </c>
    </row>
    <row r="25" spans="1:25" x14ac:dyDescent="0.25">
      <c r="A25" s="4" t="s">
        <v>25</v>
      </c>
      <c r="B25" s="8" t="s">
        <v>83</v>
      </c>
      <c r="C25" s="25">
        <v>0.04</v>
      </c>
      <c r="D25" s="12">
        <f>D21*$C$25</f>
        <v>950800000</v>
      </c>
      <c r="E25" s="12">
        <f t="shared" ref="E25:I25" si="7">E21*$C$25</f>
        <v>1055388000.0000001</v>
      </c>
      <c r="F25" s="12">
        <f t="shared" si="7"/>
        <v>1150372920.0000002</v>
      </c>
      <c r="G25" s="12">
        <f t="shared" si="7"/>
        <v>1265410212.0000005</v>
      </c>
      <c r="H25" s="12">
        <f t="shared" si="7"/>
        <v>1353988926.8400006</v>
      </c>
      <c r="I25" s="12">
        <f t="shared" si="7"/>
        <v>1421688373.1820009</v>
      </c>
      <c r="P25" s="58">
        <v>44682</v>
      </c>
      <c r="Q25" s="6">
        <v>429.76</v>
      </c>
      <c r="R25" s="6">
        <v>4158.24</v>
      </c>
      <c r="S25" s="6">
        <v>11354.62</v>
      </c>
      <c r="T25" s="6">
        <v>33212.959999999999</v>
      </c>
      <c r="U25" s="58">
        <v>44682</v>
      </c>
      <c r="V25" s="61">
        <f t="shared" si="0"/>
        <v>69.134372536717976</v>
      </c>
      <c r="W25" s="61">
        <f t="shared" si="1"/>
        <v>94.607372487634393</v>
      </c>
      <c r="X25" s="61">
        <f t="shared" si="2"/>
        <v>77.386135320882076</v>
      </c>
      <c r="Y25" s="61">
        <f t="shared" si="3"/>
        <v>94.727586201979079</v>
      </c>
    </row>
    <row r="26" spans="1:25" x14ac:dyDescent="0.25">
      <c r="A26" t="s">
        <v>26</v>
      </c>
      <c r="B26" t="s">
        <v>90</v>
      </c>
      <c r="C26" s="25">
        <v>0.01</v>
      </c>
      <c r="D26" s="10">
        <f>D21*$C$26</f>
        <v>237700000</v>
      </c>
      <c r="E26" s="10">
        <f t="shared" ref="E26:I26" si="8">E21*$C$26</f>
        <v>263847000.00000003</v>
      </c>
      <c r="F26" s="10">
        <f t="shared" si="8"/>
        <v>287593230.00000006</v>
      </c>
      <c r="G26" s="10">
        <f t="shared" si="8"/>
        <v>316352553.00000012</v>
      </c>
      <c r="H26" s="10">
        <f t="shared" si="8"/>
        <v>338497231.71000016</v>
      </c>
      <c r="I26" s="10">
        <f t="shared" si="8"/>
        <v>355422093.29550022</v>
      </c>
      <c r="P26" s="58">
        <v>44713</v>
      </c>
      <c r="Q26" s="6">
        <v>368.48</v>
      </c>
      <c r="R26" s="6">
        <v>3911.74</v>
      </c>
      <c r="S26" s="6">
        <v>11127.85</v>
      </c>
      <c r="T26" s="6">
        <v>31097.26</v>
      </c>
      <c r="U26" s="58">
        <v>44713</v>
      </c>
      <c r="V26" s="61">
        <f t="shared" si="0"/>
        <v>59.276418448273091</v>
      </c>
      <c r="W26" s="61">
        <f t="shared" si="1"/>
        <v>88.999058076200271</v>
      </c>
      <c r="X26" s="61">
        <f t="shared" si="2"/>
        <v>75.840609895397435</v>
      </c>
      <c r="Y26" s="61">
        <f t="shared" si="3"/>
        <v>88.693340710835642</v>
      </c>
    </row>
    <row r="27" spans="1:25" x14ac:dyDescent="0.25">
      <c r="A27" t="s">
        <v>27</v>
      </c>
      <c r="B27" t="s">
        <v>87</v>
      </c>
      <c r="C27" s="47">
        <v>5.0000000000000001E-3</v>
      </c>
      <c r="D27" s="10">
        <f>D21*$C$27</f>
        <v>118850000</v>
      </c>
      <c r="E27" s="10">
        <f t="shared" ref="E27:I27" si="9">E21*$C$27</f>
        <v>131923500.00000001</v>
      </c>
      <c r="F27" s="10">
        <f t="shared" si="9"/>
        <v>143796615.00000003</v>
      </c>
      <c r="G27" s="10">
        <f t="shared" si="9"/>
        <v>158176276.50000006</v>
      </c>
      <c r="H27" s="10">
        <f t="shared" si="9"/>
        <v>169248615.85500008</v>
      </c>
      <c r="I27" s="10">
        <f t="shared" si="9"/>
        <v>177711046.64775011</v>
      </c>
      <c r="P27" s="58">
        <v>44743</v>
      </c>
      <c r="Q27" s="61">
        <v>410.12</v>
      </c>
      <c r="R27" s="6">
        <v>4130.29</v>
      </c>
      <c r="S27" s="6">
        <v>12390.69</v>
      </c>
      <c r="T27" s="6">
        <v>32845.129999999997</v>
      </c>
      <c r="U27" s="58">
        <v>44743</v>
      </c>
      <c r="V27" s="61">
        <f t="shared" si="0"/>
        <v>65.974936859546673</v>
      </c>
      <c r="W27" s="61">
        <f t="shared" si="1"/>
        <v>93.971460163903842</v>
      </c>
      <c r="X27" s="61">
        <f t="shared" si="2"/>
        <v>84.447353857645638</v>
      </c>
      <c r="Y27" s="61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7333045000</v>
      </c>
      <c r="E28" s="12">
        <f t="shared" ref="E28:I28" si="10">E24+E25-E26-E27</f>
        <v>8139679950.000001</v>
      </c>
      <c r="F28" s="12">
        <f t="shared" si="10"/>
        <v>8872251145.5000019</v>
      </c>
      <c r="G28" s="12">
        <f t="shared" si="10"/>
        <v>9759476260.0500031</v>
      </c>
      <c r="H28" s="12">
        <f t="shared" si="10"/>
        <v>10442639598.253504</v>
      </c>
      <c r="I28" s="12">
        <f t="shared" si="10"/>
        <v>10964771578.166182</v>
      </c>
      <c r="P28" s="58">
        <v>44774</v>
      </c>
      <c r="Q28" s="6">
        <v>368.14</v>
      </c>
      <c r="R28" s="6">
        <v>3924.26</v>
      </c>
      <c r="S28" s="6">
        <v>12141.71</v>
      </c>
      <c r="T28" s="6">
        <v>31318.44</v>
      </c>
      <c r="U28" s="58">
        <v>44774</v>
      </c>
      <c r="V28" s="61">
        <f t="shared" si="0"/>
        <v>59.221723533291502</v>
      </c>
      <c r="W28" s="61">
        <f t="shared" si="1"/>
        <v>89.28391039437939</v>
      </c>
      <c r="X28" s="61">
        <f t="shared" si="2"/>
        <v>82.750458675579367</v>
      </c>
      <c r="Y28" s="61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8">
        <v>44805</v>
      </c>
      <c r="Q29" s="6">
        <v>275.2</v>
      </c>
      <c r="R29" s="6">
        <v>3585.62</v>
      </c>
      <c r="S29" s="6">
        <v>10867.93</v>
      </c>
      <c r="T29" s="6">
        <v>30822.42</v>
      </c>
      <c r="U29" s="58">
        <v>44805</v>
      </c>
      <c r="V29" s="61">
        <f t="shared" si="0"/>
        <v>44.270707655679416</v>
      </c>
      <c r="W29" s="61">
        <f t="shared" si="1"/>
        <v>81.579246733981606</v>
      </c>
      <c r="X29" s="61">
        <f t="shared" si="2"/>
        <v>74.069154373979401</v>
      </c>
      <c r="Y29" s="61">
        <f t="shared" si="3"/>
        <v>87.90946207455174</v>
      </c>
    </row>
    <row r="30" spans="1:25" x14ac:dyDescent="0.25">
      <c r="A30" t="s">
        <v>36</v>
      </c>
      <c r="C30" s="13">
        <f>-G39</f>
        <v>-89488000000</v>
      </c>
      <c r="D30" s="5">
        <f>D28</f>
        <v>7333045000</v>
      </c>
      <c r="E30" s="5">
        <f t="shared" ref="E30:I30" si="11">E28</f>
        <v>8139679950.000001</v>
      </c>
      <c r="F30" s="5">
        <f t="shared" si="11"/>
        <v>8872251145.5000019</v>
      </c>
      <c r="G30" s="5">
        <f t="shared" si="11"/>
        <v>9759476260.0500031</v>
      </c>
      <c r="H30" s="5">
        <f t="shared" si="11"/>
        <v>10442639598.253504</v>
      </c>
      <c r="I30" s="5">
        <f t="shared" si="11"/>
        <v>10964771578.166182</v>
      </c>
      <c r="J30" s="13">
        <f>I28+M22</f>
        <v>151845643261.58414</v>
      </c>
      <c r="K30" t="s">
        <v>38</v>
      </c>
      <c r="P30" s="58">
        <v>44835</v>
      </c>
      <c r="Q30" s="6">
        <v>285.75</v>
      </c>
      <c r="R30" s="6">
        <v>3901.06</v>
      </c>
      <c r="S30" s="6">
        <v>11102.45</v>
      </c>
      <c r="T30" s="6">
        <v>32861.800000000003</v>
      </c>
      <c r="U30" s="58">
        <v>44835</v>
      </c>
      <c r="V30" s="61">
        <f t="shared" si="0"/>
        <v>45.967858694078473</v>
      </c>
      <c r="W30" s="61">
        <f t="shared" si="1"/>
        <v>88.756069038009116</v>
      </c>
      <c r="X30" s="61">
        <f t="shared" si="2"/>
        <v>75.667499052661142</v>
      </c>
      <c r="Y30" s="61">
        <f t="shared" si="3"/>
        <v>93.726033218725362</v>
      </c>
    </row>
    <row r="31" spans="1:25" x14ac:dyDescent="0.25">
      <c r="A31" t="s">
        <v>37</v>
      </c>
      <c r="D31" s="6">
        <f>1/(1+$B$7)^D29</f>
        <v>0.95194377871388514</v>
      </c>
      <c r="E31" s="6">
        <f t="shared" ref="E31:I31" si="12">1/(1+$B$7)^E29</f>
        <v>0.86264855629768844</v>
      </c>
      <c r="F31" s="6">
        <f t="shared" si="12"/>
        <v>0.78172949739519271</v>
      </c>
      <c r="G31" s="6">
        <f t="shared" si="12"/>
        <v>0.70840089238711701</v>
      </c>
      <c r="H31" s="6">
        <f t="shared" si="12"/>
        <v>0.64195073360672938</v>
      </c>
      <c r="I31" s="6">
        <f t="shared" si="12"/>
        <v>0.61110100709774062</v>
      </c>
      <c r="J31" t="s">
        <v>39</v>
      </c>
      <c r="P31" s="58">
        <v>44866</v>
      </c>
      <c r="Q31" s="6">
        <v>341.53</v>
      </c>
      <c r="R31" s="6">
        <v>4026.12</v>
      </c>
      <c r="S31" s="6">
        <v>11226.36</v>
      </c>
      <c r="T31" s="6">
        <v>34429.879999999997</v>
      </c>
      <c r="U31" s="58">
        <v>44866</v>
      </c>
      <c r="V31" s="61">
        <f t="shared" si="0"/>
        <v>54.941042098997798</v>
      </c>
      <c r="W31" s="61">
        <f t="shared" si="1"/>
        <v>91.601406970236113</v>
      </c>
      <c r="X31" s="61">
        <f t="shared" si="2"/>
        <v>76.511993718938882</v>
      </c>
      <c r="Y31" s="61">
        <f t="shared" si="3"/>
        <v>98.198396819307746</v>
      </c>
    </row>
    <row r="32" spans="1:25" x14ac:dyDescent="0.25">
      <c r="A32" t="s">
        <v>40</v>
      </c>
      <c r="C32" s="13">
        <f>-G39</f>
        <v>-89488000000</v>
      </c>
      <c r="D32" s="5">
        <f>D30*D31</f>
        <v>6980646566.7789621</v>
      </c>
      <c r="E32" s="5">
        <f t="shared" ref="E32:I32" si="13">E30*E31</f>
        <v>7021683157.592742</v>
      </c>
      <c r="F32" s="5">
        <f t="shared" si="13"/>
        <v>6935700428.7356396</v>
      </c>
      <c r="G32" s="5">
        <f t="shared" si="13"/>
        <v>6913621691.8503056</v>
      </c>
      <c r="H32" s="5">
        <f t="shared" si="13"/>
        <v>6703660150.8895187</v>
      </c>
      <c r="I32" s="5">
        <f t="shared" si="13"/>
        <v>6700582954.0140362</v>
      </c>
      <c r="J32" s="14">
        <f>M22</f>
        <v>140880871683.41797</v>
      </c>
      <c r="P32" s="58">
        <v>44896</v>
      </c>
      <c r="Q32" s="6">
        <v>338.45</v>
      </c>
      <c r="R32" s="6">
        <v>3839.5</v>
      </c>
      <c r="S32" s="6">
        <v>10466.48</v>
      </c>
      <c r="T32" s="6">
        <v>33203.93</v>
      </c>
      <c r="U32" s="58">
        <v>44896</v>
      </c>
      <c r="V32" s="61">
        <f t="shared" si="0"/>
        <v>54.445570516223476</v>
      </c>
      <c r="W32" s="61">
        <f t="shared" si="1"/>
        <v>87.355469301019724</v>
      </c>
      <c r="X32" s="61">
        <f t="shared" si="2"/>
        <v>71.333117058369695</v>
      </c>
      <c r="Y32" s="61">
        <f t="shared" si="3"/>
        <v>94.701831493473605</v>
      </c>
    </row>
    <row r="33" spans="1:25" x14ac:dyDescent="0.25">
      <c r="A33" t="s">
        <v>56</v>
      </c>
      <c r="C33" s="29">
        <v>-89488</v>
      </c>
      <c r="D33" s="46">
        <v>6981</v>
      </c>
      <c r="E33" s="24">
        <v>7022</v>
      </c>
      <c r="F33" s="24">
        <v>6936</v>
      </c>
      <c r="G33" s="24">
        <v>6914</v>
      </c>
      <c r="H33" s="24">
        <v>6704</v>
      </c>
      <c r="I33" s="24">
        <v>6701</v>
      </c>
      <c r="J33" s="24">
        <v>140881</v>
      </c>
      <c r="K33" s="24"/>
      <c r="P33" s="58">
        <v>44927</v>
      </c>
      <c r="Q33" s="6">
        <v>370.71</v>
      </c>
      <c r="R33" s="6">
        <v>4070.56</v>
      </c>
      <c r="S33" s="6">
        <v>11140.43</v>
      </c>
      <c r="T33" s="6">
        <v>33375.49</v>
      </c>
      <c r="U33" s="58">
        <v>44927</v>
      </c>
      <c r="V33" s="61">
        <f t="shared" si="0"/>
        <v>59.635152743593459</v>
      </c>
      <c r="W33" s="61">
        <f t="shared" si="1"/>
        <v>92.61249618907641</v>
      </c>
      <c r="X33" s="61">
        <f t="shared" si="2"/>
        <v>75.92634747026446</v>
      </c>
      <c r="Y33" s="61">
        <f t="shared" si="3"/>
        <v>95.19114243380568</v>
      </c>
    </row>
    <row r="34" spans="1:25" x14ac:dyDescent="0.25">
      <c r="P34" s="58">
        <v>44958</v>
      </c>
      <c r="Q34" s="6">
        <v>344.04</v>
      </c>
      <c r="R34" s="6">
        <v>4045.64</v>
      </c>
      <c r="S34" s="6">
        <v>11689.01</v>
      </c>
      <c r="T34" s="6">
        <v>32816.92</v>
      </c>
      <c r="U34" s="58">
        <v>44958</v>
      </c>
      <c r="V34" s="61">
        <f t="shared" si="0"/>
        <v>55.344819265479472</v>
      </c>
      <c r="W34" s="61">
        <f t="shared" si="1"/>
        <v>92.045521766630415</v>
      </c>
      <c r="X34" s="61">
        <f t="shared" si="2"/>
        <v>79.665132750117905</v>
      </c>
      <c r="Y34" s="61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8">
        <v>44986</v>
      </c>
      <c r="Q35" s="6">
        <v>385.37</v>
      </c>
      <c r="R35" s="6">
        <v>3970.99</v>
      </c>
      <c r="S35" s="6">
        <v>11823.96</v>
      </c>
      <c r="T35" s="6">
        <v>33274.15</v>
      </c>
      <c r="U35" s="58">
        <v>44986</v>
      </c>
      <c r="V35" s="61">
        <f t="shared" si="0"/>
        <v>61.993468783681614</v>
      </c>
      <c r="W35" s="61">
        <f t="shared" si="1"/>
        <v>90.347101195378642</v>
      </c>
      <c r="X35" s="61">
        <f t="shared" si="2"/>
        <v>80.584869294498347</v>
      </c>
      <c r="Y35" s="61">
        <f t="shared" si="3"/>
        <v>94.902107864598108</v>
      </c>
    </row>
    <row r="36" spans="1:25" x14ac:dyDescent="0.25">
      <c r="A36" s="13" t="s">
        <v>42</v>
      </c>
      <c r="B36" s="17">
        <f>SUM(D32:I32)</f>
        <v>41255894949.861206</v>
      </c>
      <c r="C36" t="s">
        <v>45</v>
      </c>
      <c r="F36" t="s">
        <v>33</v>
      </c>
      <c r="G36" s="15">
        <f>B13*B12</f>
        <v>88038000000</v>
      </c>
      <c r="H36" t="s">
        <v>34</v>
      </c>
      <c r="L36" s="3" t="s">
        <v>51</v>
      </c>
      <c r="P36" s="58">
        <v>45017</v>
      </c>
      <c r="Q36" s="6">
        <v>377.56</v>
      </c>
      <c r="R36" s="6">
        <v>4133.5200000000004</v>
      </c>
      <c r="S36" s="6">
        <v>12072.46</v>
      </c>
      <c r="T36" s="6">
        <v>33808.959999999999</v>
      </c>
      <c r="U36" s="58">
        <v>45017</v>
      </c>
      <c r="V36" s="61">
        <f t="shared" si="0"/>
        <v>60.737094413075297</v>
      </c>
      <c r="W36" s="61">
        <f t="shared" si="1"/>
        <v>94.044948421708852</v>
      </c>
      <c r="X36" s="61">
        <f t="shared" si="2"/>
        <v>82.278493090560133</v>
      </c>
      <c r="Y36" s="61">
        <f t="shared" si="3"/>
        <v>96.427454005883931</v>
      </c>
    </row>
    <row r="37" spans="1:25" x14ac:dyDescent="0.25">
      <c r="A37" t="s">
        <v>11</v>
      </c>
      <c r="B37" s="19">
        <f>B15</f>
        <v>5630000000</v>
      </c>
      <c r="F37" t="s">
        <v>10</v>
      </c>
      <c r="G37" s="14">
        <f>B14</f>
        <v>7080000000</v>
      </c>
      <c r="L37" t="s">
        <v>52</v>
      </c>
      <c r="M37" s="21">
        <f>(B40/B12)-1</f>
        <v>2.6186229998859556E-2</v>
      </c>
      <c r="P37" s="58">
        <v>45047</v>
      </c>
      <c r="Q37" s="6">
        <v>415.39</v>
      </c>
      <c r="R37" s="6">
        <v>4282.37</v>
      </c>
      <c r="S37" s="6">
        <v>13240.77</v>
      </c>
      <c r="T37" s="6">
        <v>33093.339999999997</v>
      </c>
      <c r="U37" s="58">
        <v>45047</v>
      </c>
      <c r="V37" s="61">
        <f t="shared" si="0"/>
        <v>66.822708041761175</v>
      </c>
      <c r="W37" s="61">
        <f t="shared" si="1"/>
        <v>97.431551262041367</v>
      </c>
      <c r="X37" s="61">
        <f t="shared" si="2"/>
        <v>90.24097847155393</v>
      </c>
      <c r="Y37" s="61">
        <f t="shared" si="3"/>
        <v>94.386414747779241</v>
      </c>
    </row>
    <row r="38" spans="1:25" x14ac:dyDescent="0.25">
      <c r="A38" t="s">
        <v>10</v>
      </c>
      <c r="B38" s="19">
        <f>B14</f>
        <v>7080000000</v>
      </c>
      <c r="C38" s="3"/>
      <c r="F38" t="s">
        <v>11</v>
      </c>
      <c r="G38" s="14">
        <f>B15</f>
        <v>5630000000</v>
      </c>
      <c r="L38" t="s">
        <v>53</v>
      </c>
      <c r="M38" s="23">
        <f>IRR(C33:J33)</f>
        <v>0.12554182454099094</v>
      </c>
      <c r="N38" t="s">
        <v>57</v>
      </c>
      <c r="P38" s="58">
        <v>45078</v>
      </c>
      <c r="Q38" s="6">
        <v>488.99</v>
      </c>
      <c r="R38" s="6">
        <v>4450.38</v>
      </c>
      <c r="S38" s="6">
        <v>13492.52</v>
      </c>
      <c r="T38" s="6">
        <v>33727.43</v>
      </c>
      <c r="U38" s="58">
        <v>45078</v>
      </c>
      <c r="V38" s="61">
        <f t="shared" si="0"/>
        <v>78.662548461303345</v>
      </c>
      <c r="W38" s="61">
        <f t="shared" si="1"/>
        <v>101.25407825703144</v>
      </c>
      <c r="X38" s="61">
        <f t="shared" si="2"/>
        <v>91.956752277020968</v>
      </c>
      <c r="Y38" s="61">
        <f t="shared" si="3"/>
        <v>96.194920076265873</v>
      </c>
    </row>
    <row r="39" spans="1:25" x14ac:dyDescent="0.25">
      <c r="A39" t="s">
        <v>44</v>
      </c>
      <c r="B39" s="17">
        <f>(((B36+B37)-B38)+(M22))/2</f>
        <v>90343383316.639587</v>
      </c>
      <c r="C39" t="s">
        <v>75</v>
      </c>
      <c r="F39" t="s">
        <v>30</v>
      </c>
      <c r="G39" s="13">
        <f>G36+G37-G38</f>
        <v>89488000000</v>
      </c>
      <c r="H39" t="s">
        <v>32</v>
      </c>
      <c r="P39" s="58">
        <v>45108</v>
      </c>
      <c r="Q39" s="6">
        <v>528.87</v>
      </c>
      <c r="R39" s="6">
        <v>4582.2299999999996</v>
      </c>
      <c r="S39" s="6">
        <v>14032.81</v>
      </c>
      <c r="T39" s="6">
        <v>35065.620000000003</v>
      </c>
      <c r="U39" s="58">
        <v>45108</v>
      </c>
      <c r="V39" s="61">
        <f t="shared" si="0"/>
        <v>85.077940253848752</v>
      </c>
      <c r="W39" s="61">
        <f t="shared" si="1"/>
        <v>104.25390079312713</v>
      </c>
      <c r="X39" s="61">
        <f t="shared" si="2"/>
        <v>95.639037994422281</v>
      </c>
      <c r="Y39" s="61">
        <f t="shared" si="3"/>
        <v>100.01160815765418</v>
      </c>
    </row>
    <row r="40" spans="1:25" x14ac:dyDescent="0.25">
      <c r="A40" t="s">
        <v>72</v>
      </c>
      <c r="B40" s="20">
        <f>B39/B13</f>
        <v>224.73478436975023</v>
      </c>
      <c r="C40" t="s">
        <v>76</v>
      </c>
      <c r="F40" t="s">
        <v>48</v>
      </c>
      <c r="G40" s="16">
        <f>G39/B13</f>
        <v>222.60696517412936</v>
      </c>
      <c r="H40" t="s">
        <v>49</v>
      </c>
      <c r="L40" s="48" t="s">
        <v>84</v>
      </c>
      <c r="M40" s="49"/>
      <c r="P40" s="58">
        <v>45139</v>
      </c>
      <c r="Q40" s="6">
        <v>525.05999999999995</v>
      </c>
      <c r="R40" s="6">
        <v>4515.7700000000004</v>
      </c>
      <c r="S40" s="6">
        <v>13590.65</v>
      </c>
      <c r="T40" s="6">
        <v>34837.71</v>
      </c>
      <c r="U40" s="58">
        <v>45139</v>
      </c>
      <c r="V40" s="61">
        <f t="shared" si="0"/>
        <v>84.465035471261032</v>
      </c>
      <c r="W40" s="61">
        <f t="shared" si="1"/>
        <v>102.74181732138715</v>
      </c>
      <c r="X40" s="61">
        <f t="shared" si="2"/>
        <v>92.625546253308869</v>
      </c>
      <c r="Y40" s="61">
        <f t="shared" si="3"/>
        <v>99.361579850291832</v>
      </c>
    </row>
    <row r="41" spans="1:25" x14ac:dyDescent="0.25">
      <c r="A41" t="s">
        <v>46</v>
      </c>
      <c r="B41" s="22">
        <f>(B40/B12)-1</f>
        <v>2.6186229998859556E-2</v>
      </c>
      <c r="C41" t="s">
        <v>47</v>
      </c>
      <c r="F41" t="s">
        <v>46</v>
      </c>
      <c r="G41" s="21">
        <f>(G40/B12)-1</f>
        <v>1.647016061246287E-2</v>
      </c>
      <c r="H41" t="s">
        <v>50</v>
      </c>
      <c r="L41" s="50" t="s">
        <v>41</v>
      </c>
      <c r="M41" s="51">
        <f>B40</f>
        <v>224.73478436975023</v>
      </c>
      <c r="P41" s="58">
        <v>45170</v>
      </c>
      <c r="Q41" s="6">
        <v>512.9</v>
      </c>
      <c r="R41" s="6">
        <v>4320.0600000000004</v>
      </c>
      <c r="S41" s="6">
        <v>13211.81</v>
      </c>
      <c r="T41" s="6">
        <v>33507.5</v>
      </c>
      <c r="U41" s="58">
        <v>45170</v>
      </c>
      <c r="V41" s="61">
        <f t="shared" si="0"/>
        <v>82.508887923684497</v>
      </c>
      <c r="W41" s="61">
        <f t="shared" si="1"/>
        <v>98.289065948317059</v>
      </c>
      <c r="X41" s="61">
        <f t="shared" si="2"/>
        <v>90.04360484928452</v>
      </c>
      <c r="Y41" s="61">
        <f t="shared" si="3"/>
        <v>95.567651743861859</v>
      </c>
    </row>
    <row r="42" spans="1:25" x14ac:dyDescent="0.25">
      <c r="L42" s="50" t="s">
        <v>8</v>
      </c>
      <c r="M42" s="55">
        <f>B12</f>
        <v>219</v>
      </c>
      <c r="P42" s="58">
        <v>45200</v>
      </c>
      <c r="Q42" s="6">
        <v>508.12</v>
      </c>
      <c r="R42" s="6">
        <v>4117.37</v>
      </c>
      <c r="S42" s="6">
        <v>12643.01</v>
      </c>
      <c r="T42" s="6">
        <v>34061.32</v>
      </c>
      <c r="U42" s="58">
        <v>45200</v>
      </c>
      <c r="V42" s="61">
        <f t="shared" si="0"/>
        <v>81.739941766002289</v>
      </c>
      <c r="W42" s="61">
        <f t="shared" si="1"/>
        <v>93.677507132683829</v>
      </c>
      <c r="X42" s="61">
        <f t="shared" si="2"/>
        <v>86.16701243399298</v>
      </c>
      <c r="Y42" s="61">
        <f t="shared" si="3"/>
        <v>97.147216822986991</v>
      </c>
    </row>
    <row r="43" spans="1:25" x14ac:dyDescent="0.25">
      <c r="L43" s="50" t="s">
        <v>97</v>
      </c>
      <c r="M43" s="51">
        <f>(B40-B12)</f>
        <v>5.7347843697502299</v>
      </c>
      <c r="P43" s="58">
        <v>45231</v>
      </c>
      <c r="Q43" s="6">
        <v>612.47</v>
      </c>
      <c r="R43" s="6">
        <v>4559.34</v>
      </c>
      <c r="S43" s="6">
        <v>14250.85</v>
      </c>
      <c r="T43" s="6">
        <v>36245.5</v>
      </c>
      <c r="U43" s="58">
        <v>45231</v>
      </c>
      <c r="V43" s="61">
        <f t="shared" si="0"/>
        <v>98.526454643437418</v>
      </c>
      <c r="W43" s="61">
        <f t="shared" si="1"/>
        <v>103.73311248936355</v>
      </c>
      <c r="X43" s="61">
        <f t="shared" si="2"/>
        <v>97.125065086950713</v>
      </c>
      <c r="Y43" s="61">
        <f t="shared" si="3"/>
        <v>103.37677598394821</v>
      </c>
    </row>
    <row r="44" spans="1:25" x14ac:dyDescent="0.25">
      <c r="L44" s="50" t="s">
        <v>96</v>
      </c>
      <c r="M44" s="56">
        <f>((B40-B12)/(B12))</f>
        <v>2.6186229998859497E-2</v>
      </c>
      <c r="P44" s="58">
        <v>45261</v>
      </c>
      <c r="Q44" s="6">
        <v>596.6</v>
      </c>
      <c r="R44" s="6">
        <v>4769.83</v>
      </c>
      <c r="S44" s="6">
        <v>14992.97</v>
      </c>
      <c r="T44" s="6">
        <v>37689.54</v>
      </c>
      <c r="U44" s="58">
        <v>45261</v>
      </c>
      <c r="V44" s="61">
        <f t="shared" si="0"/>
        <v>95.973489052973633</v>
      </c>
      <c r="W44" s="61">
        <f t="shared" si="1"/>
        <v>108.52213520929364</v>
      </c>
      <c r="X44" s="61">
        <f t="shared" si="2"/>
        <v>102.18290046535465</v>
      </c>
      <c r="Y44" s="61">
        <f t="shared" si="3"/>
        <v>107.4953617281609</v>
      </c>
    </row>
    <row r="45" spans="1:25" x14ac:dyDescent="0.25">
      <c r="L45" s="50"/>
      <c r="M45" s="52"/>
      <c r="P45" s="58">
        <v>45292</v>
      </c>
      <c r="Q45" s="6">
        <v>613.92999999999995</v>
      </c>
      <c r="R45" s="6">
        <v>4958.6099999999997</v>
      </c>
      <c r="S45" s="6">
        <v>15628.95</v>
      </c>
      <c r="T45" s="6">
        <v>38109.43</v>
      </c>
      <c r="U45" s="58">
        <v>45292</v>
      </c>
      <c r="V45" s="61">
        <f t="shared" si="0"/>
        <v>98.7613210430642</v>
      </c>
      <c r="W45" s="61">
        <f t="shared" si="1"/>
        <v>112.8172167289307</v>
      </c>
      <c r="X45" s="61">
        <f t="shared" si="2"/>
        <v>106.51735061352119</v>
      </c>
      <c r="Y45" s="61">
        <f t="shared" si="3"/>
        <v>108.69294141302936</v>
      </c>
    </row>
    <row r="46" spans="1:25" x14ac:dyDescent="0.25">
      <c r="L46" s="53" t="s">
        <v>54</v>
      </c>
      <c r="M46" s="52"/>
      <c r="P46" s="58">
        <v>45323</v>
      </c>
      <c r="Q46" s="6">
        <v>570.92999999999995</v>
      </c>
      <c r="R46" s="6">
        <v>5137.08</v>
      </c>
      <c r="S46" s="6">
        <v>16274.94</v>
      </c>
      <c r="T46" s="6">
        <v>39087.379999999997</v>
      </c>
      <c r="U46" s="58">
        <v>45323</v>
      </c>
      <c r="V46" s="61">
        <f t="shared" si="0"/>
        <v>91.844022971864277</v>
      </c>
      <c r="W46" s="61">
        <f t="shared" si="1"/>
        <v>116.87772736993942</v>
      </c>
      <c r="X46" s="61">
        <f t="shared" si="2"/>
        <v>110.92002279065582</v>
      </c>
      <c r="Y46" s="61">
        <f t="shared" si="3"/>
        <v>111.48217919629906</v>
      </c>
    </row>
    <row r="47" spans="1:25" x14ac:dyDescent="0.25">
      <c r="L47" s="50" t="s">
        <v>41</v>
      </c>
      <c r="M47" s="51">
        <f>B40</f>
        <v>224.73478436975023</v>
      </c>
      <c r="P47" s="58">
        <v>45352</v>
      </c>
      <c r="Q47" s="6">
        <v>504.6</v>
      </c>
      <c r="R47" s="6">
        <v>5234.18</v>
      </c>
      <c r="S47" s="6">
        <v>16428.82</v>
      </c>
      <c r="T47" s="6">
        <v>39807.370000000003</v>
      </c>
      <c r="U47" s="58">
        <v>45352</v>
      </c>
      <c r="V47" s="61">
        <f t="shared" ref="V47:V75" si="14">(Q47/$Q$15)*100</f>
        <v>81.173688528545924</v>
      </c>
      <c r="W47" s="61">
        <f t="shared" si="1"/>
        <v>119.08692546060983</v>
      </c>
      <c r="X47" s="61">
        <f t="shared" si="2"/>
        <v>111.96877462058737</v>
      </c>
      <c r="Y47" s="61">
        <f t="shared" si="3"/>
        <v>113.53568225021426</v>
      </c>
    </row>
    <row r="48" spans="1:25" x14ac:dyDescent="0.25">
      <c r="L48" s="50" t="s">
        <v>31</v>
      </c>
      <c r="M48" s="51">
        <f>G40</f>
        <v>222.60696517412936</v>
      </c>
      <c r="P48" s="58">
        <v>45383</v>
      </c>
      <c r="Q48" s="6">
        <v>465.02</v>
      </c>
      <c r="R48" s="6">
        <v>4967.2299999999996</v>
      </c>
      <c r="S48" s="6">
        <v>15282.01</v>
      </c>
      <c r="T48" s="6">
        <v>37986.400000000001</v>
      </c>
      <c r="U48" s="58">
        <v>45383</v>
      </c>
      <c r="V48" s="61">
        <f t="shared" si="14"/>
        <v>74.806556955101911</v>
      </c>
      <c r="W48" s="61">
        <f t="shared" si="1"/>
        <v>113.01333709496137</v>
      </c>
      <c r="X48" s="61">
        <f t="shared" si="2"/>
        <v>104.15282007104361</v>
      </c>
      <c r="Y48" s="61">
        <f t="shared" si="3"/>
        <v>108.34204420511928</v>
      </c>
    </row>
    <row r="49" spans="12:25" x14ac:dyDescent="0.25">
      <c r="L49" s="50" t="s">
        <v>97</v>
      </c>
      <c r="M49" s="51">
        <f>-(G40-B40)</f>
        <v>2.127819195620873</v>
      </c>
      <c r="P49" s="58">
        <v>45413</v>
      </c>
      <c r="Q49" s="6">
        <v>483.43</v>
      </c>
      <c r="R49" s="6">
        <v>5277.51</v>
      </c>
      <c r="S49" s="6">
        <v>16735.02</v>
      </c>
      <c r="T49" s="6">
        <v>38686.32</v>
      </c>
      <c r="U49" s="58">
        <v>45413</v>
      </c>
      <c r="V49" s="61">
        <f t="shared" si="14"/>
        <v>77.768125733957504</v>
      </c>
      <c r="W49" s="61">
        <f t="shared" si="1"/>
        <v>120.07276020076172</v>
      </c>
      <c r="X49" s="61">
        <f t="shared" si="2"/>
        <v>114.05564627593596</v>
      </c>
      <c r="Y49" s="61">
        <f t="shared" si="3"/>
        <v>110.33830506637612</v>
      </c>
    </row>
    <row r="50" spans="12:25" x14ac:dyDescent="0.25">
      <c r="L50" s="54" t="s">
        <v>96</v>
      </c>
      <c r="M50" s="57">
        <f>((B40-G40)/(G40))</f>
        <v>9.558637098153841E-3</v>
      </c>
      <c r="P50" s="58">
        <v>45444</v>
      </c>
      <c r="Q50" s="6">
        <v>555.54</v>
      </c>
      <c r="R50" s="6">
        <v>5464.62</v>
      </c>
      <c r="S50" s="6">
        <v>17689.36</v>
      </c>
      <c r="T50" s="6">
        <v>39150.33</v>
      </c>
      <c r="U50" s="58">
        <v>45444</v>
      </c>
      <c r="V50" s="61">
        <f t="shared" si="14"/>
        <v>89.368273731962731</v>
      </c>
      <c r="W50" s="61">
        <f t="shared" si="1"/>
        <v>124.32984624345316</v>
      </c>
      <c r="X50" s="61">
        <f t="shared" si="2"/>
        <v>120.55984319156418</v>
      </c>
      <c r="Y50" s="61">
        <f t="shared" si="3"/>
        <v>111.66172060276855</v>
      </c>
    </row>
    <row r="51" spans="12:25" x14ac:dyDescent="0.25">
      <c r="P51" s="58">
        <v>45474</v>
      </c>
      <c r="Q51" s="6">
        <v>526.16999999999996</v>
      </c>
      <c r="R51" s="6">
        <v>5459.1</v>
      </c>
      <c r="S51" s="6">
        <v>17357.88</v>
      </c>
      <c r="T51" s="6">
        <v>40287.53</v>
      </c>
      <c r="U51" s="58">
        <v>45474</v>
      </c>
      <c r="V51" s="61">
        <f t="shared" si="14"/>
        <v>84.643598281936193</v>
      </c>
      <c r="W51" s="61">
        <f t="shared" si="1"/>
        <v>124.20425640348923</v>
      </c>
      <c r="X51" s="61">
        <f t="shared" si="2"/>
        <v>118.30067853998042</v>
      </c>
      <c r="Y51" s="61">
        <f t="shared" si="3"/>
        <v>114.90515964068902</v>
      </c>
    </row>
    <row r="52" spans="12:25" x14ac:dyDescent="0.25">
      <c r="P52" s="58">
        <v>45505</v>
      </c>
      <c r="Q52" s="6">
        <v>574.41</v>
      </c>
      <c r="R52" s="6">
        <v>5648.4</v>
      </c>
      <c r="S52" s="6">
        <v>17877.79</v>
      </c>
      <c r="T52" s="6">
        <v>41175.08</v>
      </c>
      <c r="U52" s="58">
        <v>45505</v>
      </c>
      <c r="V52" s="61">
        <f t="shared" si="14"/>
        <v>92.403841513440469</v>
      </c>
      <c r="W52" s="61">
        <f t="shared" si="1"/>
        <v>128.51116885007937</v>
      </c>
      <c r="X52" s="61">
        <f t="shared" si="2"/>
        <v>121.84406665994216</v>
      </c>
      <c r="Y52" s="61">
        <f t="shared" si="3"/>
        <v>117.43656512618523</v>
      </c>
    </row>
    <row r="53" spans="12:25" x14ac:dyDescent="0.25">
      <c r="P53" s="58">
        <v>45536</v>
      </c>
      <c r="Q53" s="6">
        <v>507.22</v>
      </c>
      <c r="R53" s="6">
        <v>5751.07</v>
      </c>
      <c r="S53" s="6">
        <v>18137.849999999999</v>
      </c>
      <c r="T53" s="6">
        <v>42313</v>
      </c>
      <c r="U53" s="58">
        <v>45536</v>
      </c>
      <c r="V53" s="61">
        <f t="shared" si="14"/>
        <v>81.595161108698093</v>
      </c>
      <c r="W53" s="61">
        <f t="shared" si="1"/>
        <v>130.84709436984389</v>
      </c>
      <c r="X53" s="61">
        <f t="shared" si="2"/>
        <v>123.61647633561148</v>
      </c>
      <c r="Y53" s="61">
        <f t="shared" si="3"/>
        <v>120.68205769568088</v>
      </c>
    </row>
    <row r="54" spans="12:25" x14ac:dyDescent="0.25">
      <c r="P54" s="58">
        <v>45566</v>
      </c>
      <c r="Q54" s="6">
        <v>482.8</v>
      </c>
      <c r="R54" s="6">
        <v>5728.8</v>
      </c>
      <c r="S54" s="6">
        <v>18518.61</v>
      </c>
      <c r="T54" s="6">
        <v>42052.19</v>
      </c>
      <c r="U54" s="58">
        <v>45566</v>
      </c>
      <c r="V54" s="61">
        <f t="shared" si="14"/>
        <v>77.666779273844583</v>
      </c>
      <c r="W54" s="61">
        <f t="shared" si="1"/>
        <v>130.34041217129362</v>
      </c>
      <c r="X54" s="61">
        <f t="shared" si="2"/>
        <v>126.21150328365371</v>
      </c>
      <c r="Y54" s="61">
        <f t="shared" si="3"/>
        <v>119.93819440384124</v>
      </c>
    </row>
    <row r="55" spans="12:25" x14ac:dyDescent="0.25">
      <c r="P55" s="58">
        <v>45597</v>
      </c>
      <c r="Q55" s="6">
        <v>515.92999999999995</v>
      </c>
      <c r="R55" s="6">
        <v>5969.34</v>
      </c>
      <c r="S55" s="6">
        <v>19003.650000000001</v>
      </c>
      <c r="T55" s="6">
        <v>44296.51</v>
      </c>
      <c r="U55" s="58">
        <v>45597</v>
      </c>
      <c r="V55" s="61">
        <f t="shared" si="14"/>
        <v>82.996316136608584</v>
      </c>
      <c r="W55" s="61">
        <f t="shared" si="1"/>
        <v>135.81312595841882</v>
      </c>
      <c r="X55" s="61">
        <f t="shared" si="2"/>
        <v>129.51723884116603</v>
      </c>
      <c r="Y55" s="61">
        <f t="shared" si="3"/>
        <v>126.33928049387433</v>
      </c>
    </row>
    <row r="56" spans="12:25" x14ac:dyDescent="0.25">
      <c r="P56" s="58">
        <v>45627</v>
      </c>
      <c r="Q56" s="6">
        <v>446.48</v>
      </c>
      <c r="R56" s="6">
        <v>5942.47</v>
      </c>
      <c r="S56" s="6">
        <v>19722.03</v>
      </c>
      <c r="T56" s="6">
        <v>42840.26</v>
      </c>
      <c r="U56" s="58">
        <v>45627</v>
      </c>
      <c r="V56" s="61">
        <f t="shared" si="14"/>
        <v>71.824075414635729</v>
      </c>
      <c r="W56" s="61">
        <f t="shared" si="1"/>
        <v>135.20178555989861</v>
      </c>
      <c r="X56" s="61">
        <f t="shared" si="2"/>
        <v>134.41327692009912</v>
      </c>
      <c r="Y56" s="61">
        <f t="shared" si="3"/>
        <v>122.18587027669912</v>
      </c>
    </row>
    <row r="57" spans="12:25" x14ac:dyDescent="0.25">
      <c r="P57" s="58">
        <v>45658</v>
      </c>
      <c r="Q57" s="6">
        <v>437.45</v>
      </c>
      <c r="R57" s="6">
        <v>6040.53</v>
      </c>
      <c r="S57" s="6">
        <v>19627.439999999999</v>
      </c>
      <c r="T57" s="6">
        <v>44424.25</v>
      </c>
      <c r="U57" s="58">
        <v>45658</v>
      </c>
      <c r="V57" s="61">
        <f t="shared" si="14"/>
        <v>70.371442819683736</v>
      </c>
      <c r="W57" s="61">
        <f t="shared" si="1"/>
        <v>137.43282536186709</v>
      </c>
      <c r="X57" s="61">
        <f t="shared" si="2"/>
        <v>133.76860941559414</v>
      </c>
      <c r="Y57" s="61">
        <f t="shared" si="3"/>
        <v>126.70361122083878</v>
      </c>
    </row>
    <row r="58" spans="12:25" x14ac:dyDescent="0.25">
      <c r="P58" s="58">
        <v>45689</v>
      </c>
      <c r="Q58" s="6">
        <v>438.56</v>
      </c>
      <c r="R58" s="6">
        <v>5954.5</v>
      </c>
      <c r="S58" s="6">
        <v>19524.009999999998</v>
      </c>
      <c r="T58" s="6">
        <v>43840.91</v>
      </c>
      <c r="U58" s="58">
        <v>45689</v>
      </c>
      <c r="V58" s="61">
        <f t="shared" si="14"/>
        <v>70.550005630358896</v>
      </c>
      <c r="W58" s="61">
        <f t="shared" si="1"/>
        <v>135.47548950460268</v>
      </c>
      <c r="X58" s="61">
        <f t="shared" si="2"/>
        <v>133.06369388550695</v>
      </c>
      <c r="Y58" s="61">
        <f t="shared" si="3"/>
        <v>125.03985134713098</v>
      </c>
    </row>
    <row r="59" spans="12:25" x14ac:dyDescent="0.25">
      <c r="P59" s="58">
        <v>45717</v>
      </c>
      <c r="Q59" s="6">
        <v>385.71</v>
      </c>
      <c r="R59" s="6">
        <v>5074.08</v>
      </c>
      <c r="S59" s="6">
        <v>15587.79</v>
      </c>
      <c r="T59" s="6">
        <v>38314.86</v>
      </c>
      <c r="U59" s="58">
        <v>45717</v>
      </c>
      <c r="V59" s="61">
        <f t="shared" si="14"/>
        <v>62.048163698663195</v>
      </c>
      <c r="W59" s="61">
        <f t="shared" si="1"/>
        <v>115.4443650660029</v>
      </c>
      <c r="X59" s="61">
        <f t="shared" si="2"/>
        <v>106.23682926363827</v>
      </c>
      <c r="Y59" s="61">
        <f t="shared" si="3"/>
        <v>109.27885390121087</v>
      </c>
    </row>
    <row r="60" spans="12:25" x14ac:dyDescent="0.25">
      <c r="P60" s="58">
        <v>45748</v>
      </c>
      <c r="Q60" s="6">
        <v>348.8</v>
      </c>
      <c r="R60" s="6">
        <v>5282.7</v>
      </c>
      <c r="S60" s="6">
        <v>16286.45</v>
      </c>
      <c r="T60" s="6">
        <v>39142.230000000003</v>
      </c>
      <c r="U60" s="58">
        <v>45748</v>
      </c>
      <c r="V60" s="61">
        <f t="shared" si="14"/>
        <v>56.110548075221601</v>
      </c>
      <c r="W60" s="61">
        <f t="shared" si="1"/>
        <v>120.19084195246697</v>
      </c>
      <c r="X60" s="61">
        <f t="shared" si="2"/>
        <v>110.99846790088792</v>
      </c>
      <c r="Y60" s="61">
        <f t="shared" si="3"/>
        <v>111.63861837254771</v>
      </c>
    </row>
    <row r="61" spans="12:25" x14ac:dyDescent="0.25">
      <c r="P61" s="58">
        <v>45778</v>
      </c>
      <c r="Q61" s="6">
        <v>415.09</v>
      </c>
      <c r="R61" s="6">
        <v>5802.82</v>
      </c>
      <c r="S61" s="6">
        <v>19113.77</v>
      </c>
      <c r="T61" s="6">
        <v>41603.07</v>
      </c>
      <c r="U61" s="58">
        <v>45778</v>
      </c>
      <c r="V61" s="61">
        <f t="shared" si="14"/>
        <v>66.774447822659781</v>
      </c>
      <c r="W61" s="61">
        <f t="shared" si="1"/>
        <v>132.024499119506</v>
      </c>
      <c r="X61" s="61">
        <f t="shared" si="2"/>
        <v>130.26774931369047</v>
      </c>
      <c r="Y61" s="61">
        <f t="shared" si="3"/>
        <v>118.65724704127454</v>
      </c>
    </row>
    <row r="62" spans="12:25" x14ac:dyDescent="0.25">
      <c r="P62" s="58">
        <v>45809</v>
      </c>
      <c r="Q62" s="6">
        <v>385.83</v>
      </c>
      <c r="R62" s="6">
        <v>6279.35</v>
      </c>
      <c r="S62" s="6">
        <v>19447.41</v>
      </c>
      <c r="T62" s="6">
        <v>42206.82</v>
      </c>
      <c r="U62" s="58">
        <v>45809</v>
      </c>
      <c r="V62" s="61">
        <f t="shared" si="14"/>
        <v>62.067467786303745</v>
      </c>
      <c r="W62" s="61">
        <f t="shared" si="1"/>
        <v>142.8664060829166</v>
      </c>
      <c r="X62" s="61">
        <f t="shared" si="2"/>
        <v>132.54163520229434</v>
      </c>
      <c r="Y62" s="61">
        <f t="shared" si="3"/>
        <v>120.37921883088454</v>
      </c>
    </row>
    <row r="63" spans="12:25" x14ac:dyDescent="0.25">
      <c r="P63" s="58">
        <v>45839</v>
      </c>
      <c r="Q63" s="6">
        <v>370.74</v>
      </c>
      <c r="R63" s="6">
        <v>6238.01</v>
      </c>
      <c r="S63" s="6">
        <v>20650.13</v>
      </c>
      <c r="T63" s="6">
        <v>44901.919999999998</v>
      </c>
      <c r="U63" s="58">
        <v>45839</v>
      </c>
      <c r="V63" s="61">
        <f t="shared" si="14"/>
        <v>59.639978765503599</v>
      </c>
      <c r="W63" s="61">
        <f t="shared" si="1"/>
        <v>141.92584739014302</v>
      </c>
      <c r="X63" s="61">
        <f t="shared" si="2"/>
        <v>140.73863806748324</v>
      </c>
      <c r="Y63" s="61">
        <f t="shared" si="3"/>
        <v>128.065986814616</v>
      </c>
    </row>
    <row r="64" spans="12:25" x14ac:dyDescent="0.25">
      <c r="P64" s="58">
        <v>45870</v>
      </c>
      <c r="Q64" s="6">
        <v>356.7</v>
      </c>
      <c r="R64" s="6">
        <v>6460.26</v>
      </c>
      <c r="S64" s="6">
        <v>21496.54</v>
      </c>
      <c r="T64" s="6">
        <v>45544.88</v>
      </c>
      <c r="U64" s="58">
        <v>45870</v>
      </c>
      <c r="V64" s="61">
        <f t="shared" si="14"/>
        <v>57.381400511558326</v>
      </c>
      <c r="W64" s="61">
        <f t="shared" si="1"/>
        <v>146.9824310734746</v>
      </c>
      <c r="X64" s="61">
        <f t="shared" si="2"/>
        <v>146.50725020923241</v>
      </c>
      <c r="Y64" s="61">
        <f t="shared" si="3"/>
        <v>129.89979051125803</v>
      </c>
    </row>
    <row r="65" spans="16:25" x14ac:dyDescent="0.25">
      <c r="P65" s="58">
        <v>45901</v>
      </c>
      <c r="Q65" s="6">
        <v>346.74</v>
      </c>
      <c r="R65" s="6">
        <v>6715.79</v>
      </c>
      <c r="S65" s="6">
        <v>22780.51</v>
      </c>
      <c r="T65" s="6">
        <v>46758.28</v>
      </c>
      <c r="U65" s="58">
        <v>45901</v>
      </c>
      <c r="V65" s="61">
        <f t="shared" si="14"/>
        <v>55.779161237392017</v>
      </c>
      <c r="W65" s="61">
        <f t="shared" si="1"/>
        <v>152.79619408180628</v>
      </c>
      <c r="X65" s="61">
        <f t="shared" si="2"/>
        <v>155.25800330955215</v>
      </c>
      <c r="Y65" s="61">
        <f t="shared" si="3"/>
        <v>133.36056164088578</v>
      </c>
    </row>
    <row r="66" spans="16:25" x14ac:dyDescent="0.25">
      <c r="P66" s="58">
        <v>45931</v>
      </c>
      <c r="Q66" s="6">
        <v>340.31</v>
      </c>
      <c r="R66" s="6">
        <v>6840.2</v>
      </c>
      <c r="S66" s="6">
        <v>23204.87</v>
      </c>
      <c r="T66" s="6">
        <v>47207.12</v>
      </c>
      <c r="U66" s="58">
        <v>45931</v>
      </c>
      <c r="V66" s="61">
        <f t="shared" si="14"/>
        <v>54.744783874652128</v>
      </c>
      <c r="W66" s="61">
        <f t="shared" si="1"/>
        <v>155.62674335534189</v>
      </c>
      <c r="X66" s="61">
        <f t="shared" si="2"/>
        <v>158.15018115300001</v>
      </c>
      <c r="Y66" s="61">
        <f t="shared" si="3"/>
        <v>134.64071040783992</v>
      </c>
    </row>
    <row r="67" spans="16:25" x14ac:dyDescent="0.25">
      <c r="P67" s="58">
        <v>45962</v>
      </c>
      <c r="Q67" s="6">
        <v>324.19</v>
      </c>
      <c r="R67" s="6">
        <v>6849.09</v>
      </c>
      <c r="S67" s="6">
        <v>23365.69</v>
      </c>
      <c r="T67" s="6">
        <v>46245.41</v>
      </c>
      <c r="U67" s="58">
        <v>45962</v>
      </c>
      <c r="V67" s="61">
        <f t="shared" si="14"/>
        <v>52.151601434937177</v>
      </c>
      <c r="W67" s="61">
        <f t="shared" si="1"/>
        <v>155.82900670267514</v>
      </c>
      <c r="X67" s="61">
        <f t="shared" si="2"/>
        <v>159.24623177224612</v>
      </c>
      <c r="Y67" s="61">
        <f t="shared" si="3"/>
        <v>131.89779117009942</v>
      </c>
    </row>
    <row r="68" spans="16:25" x14ac:dyDescent="0.25">
      <c r="P68" s="58">
        <v>45992</v>
      </c>
      <c r="Q68" s="6">
        <v>355.86</v>
      </c>
      <c r="R68" s="6">
        <v>6929.94</v>
      </c>
      <c r="S68" s="6">
        <v>23593.1</v>
      </c>
      <c r="T68" s="6">
        <v>48134.89</v>
      </c>
      <c r="U68" s="58">
        <v>45992</v>
      </c>
      <c r="V68" s="61">
        <f t="shared" si="14"/>
        <v>57.246271898074419</v>
      </c>
      <c r="W68" s="61">
        <f t="shared" si="1"/>
        <v>157.66848832606033</v>
      </c>
      <c r="X68" s="61">
        <f t="shared" si="2"/>
        <v>160.7961190457367</v>
      </c>
      <c r="Y68" s="61">
        <f t="shared" si="3"/>
        <v>137.28682844882783</v>
      </c>
    </row>
    <row r="69" spans="16:25" x14ac:dyDescent="0.25">
      <c r="P69" s="58">
        <v>46023</v>
      </c>
      <c r="Q69" s="6">
        <v>301.07</v>
      </c>
      <c r="R69" s="6">
        <v>6939.03</v>
      </c>
      <c r="S69" s="6">
        <v>23461.82</v>
      </c>
      <c r="T69" s="6">
        <v>49098.71</v>
      </c>
      <c r="U69" s="58">
        <v>46023</v>
      </c>
      <c r="V69" s="61">
        <f t="shared" si="14"/>
        <v>48.43234721618969</v>
      </c>
      <c r="W69" s="61">
        <f t="shared" si="1"/>
        <v>157.87530202991402</v>
      </c>
      <c r="X69" s="61">
        <f t="shared" si="2"/>
        <v>159.90139497351541</v>
      </c>
      <c r="Y69" s="61">
        <f t="shared" si="3"/>
        <v>140.03576567493451</v>
      </c>
    </row>
    <row r="70" spans="16:25" x14ac:dyDescent="0.25">
      <c r="P70" s="58">
        <v>46054</v>
      </c>
      <c r="Q70" s="6">
        <v>258.61</v>
      </c>
      <c r="R70" s="6">
        <v>6909.51</v>
      </c>
      <c r="S70" s="6">
        <v>22668.21</v>
      </c>
      <c r="T70" s="6">
        <v>48977.919999999998</v>
      </c>
      <c r="U70" s="58">
        <v>46054</v>
      </c>
      <c r="V70" s="61">
        <f t="shared" si="14"/>
        <v>41.601917539372295</v>
      </c>
      <c r="W70" s="61">
        <f t="shared" si="1"/>
        <v>157.20366940749807</v>
      </c>
      <c r="X70" s="61">
        <f t="shared" si="2"/>
        <v>154.49263529225743</v>
      </c>
      <c r="Y70" s="61">
        <f t="shared" si="3"/>
        <v>139.69125723192499</v>
      </c>
    </row>
    <row r="71" spans="16:25" x14ac:dyDescent="0.25">
      <c r="P71" s="58">
        <v>46082</v>
      </c>
      <c r="Q71" s="6">
        <v>348.15</v>
      </c>
      <c r="R71" s="6">
        <v>6368.85</v>
      </c>
      <c r="S71" s="6">
        <v>20948.36</v>
      </c>
      <c r="T71" s="6">
        <v>45577.47</v>
      </c>
      <c r="U71" s="58">
        <v>46082</v>
      </c>
      <c r="V71" s="61">
        <f t="shared" si="14"/>
        <v>56.005984267168571</v>
      </c>
      <c r="W71" s="61">
        <f t="shared" si="1"/>
        <v>144.90269062581055</v>
      </c>
      <c r="X71" s="61">
        <f t="shared" si="2"/>
        <v>142.77119108438268</v>
      </c>
      <c r="Y71" s="61">
        <f t="shared" si="3"/>
        <v>129.99274133630715</v>
      </c>
    </row>
    <row r="72" spans="16:25" x14ac:dyDescent="0.25">
      <c r="P72" s="58">
        <v>46113</v>
      </c>
      <c r="Q72" s="6">
        <v>250.71</v>
      </c>
      <c r="R72" s="6">
        <v>7123.06</v>
      </c>
      <c r="S72" s="6">
        <v>24468.48</v>
      </c>
      <c r="T72" s="6">
        <v>49447.43</v>
      </c>
      <c r="U72" s="58">
        <v>46113</v>
      </c>
      <c r="V72" s="61">
        <f t="shared" si="14"/>
        <v>40.33106510303557</v>
      </c>
      <c r="W72" s="61">
        <f t="shared" si="1"/>
        <v>162.06231258219083</v>
      </c>
      <c r="X72" s="61">
        <f t="shared" si="2"/>
        <v>166.76217296363035</v>
      </c>
      <c r="Y72" s="61">
        <f t="shared" si="3"/>
        <v>141.0303594678501</v>
      </c>
    </row>
    <row r="73" spans="16:25" x14ac:dyDescent="0.25">
      <c r="P73" s="58">
        <v>46143</v>
      </c>
      <c r="Q73" s="6">
        <v>259.20999999999998</v>
      </c>
      <c r="R73" s="6">
        <v>7473.47</v>
      </c>
      <c r="S73" s="6">
        <v>26343.97</v>
      </c>
      <c r="T73" s="6">
        <v>50579.7</v>
      </c>
      <c r="U73" s="58">
        <v>46143</v>
      </c>
      <c r="V73" s="61">
        <f t="shared" si="14"/>
        <v>41.698437977575082</v>
      </c>
      <c r="W73" s="61">
        <f t="shared" si="1"/>
        <v>170.03476472381612</v>
      </c>
      <c r="X73" s="61">
        <f t="shared" si="2"/>
        <v>179.54436408345308</v>
      </c>
      <c r="Y73" s="61">
        <f t="shared" si="3"/>
        <v>144.25973751873488</v>
      </c>
    </row>
    <row r="74" spans="16:25" x14ac:dyDescent="0.25">
      <c r="P74" s="58">
        <v>46174</v>
      </c>
      <c r="Q74" s="6">
        <v>202.73</v>
      </c>
      <c r="R74" s="6">
        <v>7425.29</v>
      </c>
      <c r="S74" s="6">
        <v>25883.49</v>
      </c>
      <c r="T74" s="6">
        <v>51200.15</v>
      </c>
      <c r="U74" s="58">
        <v>46174</v>
      </c>
      <c r="V74" s="61">
        <f t="shared" si="14"/>
        <v>32.6126473947525</v>
      </c>
      <c r="W74" s="61">
        <f t="shared" si="1"/>
        <v>168.93858383804371</v>
      </c>
      <c r="X74" s="61">
        <f t="shared" si="2"/>
        <v>176.40601444316923</v>
      </c>
      <c r="Y74" s="61">
        <f t="shared" si="3"/>
        <v>146.02933983238046</v>
      </c>
    </row>
    <row r="75" spans="16:25" x14ac:dyDescent="0.25">
      <c r="P75" s="58">
        <v>46204</v>
      </c>
      <c r="Q75" s="62">
        <v>218.07</v>
      </c>
      <c r="R75" s="6">
        <v>7483.24</v>
      </c>
      <c r="S75" s="6">
        <v>25832.67</v>
      </c>
      <c r="T75" s="6">
        <v>52900.07</v>
      </c>
      <c r="U75" s="58">
        <v>46204</v>
      </c>
      <c r="V75" s="61">
        <f t="shared" si="14"/>
        <v>35.080353264803819</v>
      </c>
      <c r="W75" s="61">
        <f t="shared" si="1"/>
        <v>170.25704963983927</v>
      </c>
      <c r="X75" s="61">
        <f t="shared" si="2"/>
        <v>176.0596564499464</v>
      </c>
      <c r="Y75" s="61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3478-B77B-4405-BA46-E1C5566A6317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0.21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0.1135</v>
      </c>
      <c r="C7" s="41"/>
      <c r="P7">
        <v>2026</v>
      </c>
      <c r="Q7" s="26">
        <f>D28</f>
        <v>5633490000</v>
      </c>
      <c r="R7" s="26"/>
      <c r="S7" t="s">
        <v>41</v>
      </c>
      <c r="T7" s="16">
        <f>B40</f>
        <v>142.31201521680836</v>
      </c>
    </row>
    <row r="8" spans="1:26" x14ac:dyDescent="0.25">
      <c r="A8" s="40" t="s">
        <v>4</v>
      </c>
      <c r="B8" s="32">
        <v>1.4999999999999999E-2</v>
      </c>
      <c r="C8" s="41"/>
      <c r="P8">
        <v>2027</v>
      </c>
      <c r="Q8" s="26">
        <f>E28</f>
        <v>6027834300</v>
      </c>
      <c r="R8" s="26"/>
      <c r="S8" t="s">
        <v>73</v>
      </c>
      <c r="T8" s="16">
        <v>76.69</v>
      </c>
    </row>
    <row r="9" spans="1:26" x14ac:dyDescent="0.25">
      <c r="A9" s="40" t="s">
        <v>5</v>
      </c>
      <c r="B9" s="33" t="s">
        <v>88</v>
      </c>
      <c r="C9" s="41"/>
      <c r="P9">
        <v>2028</v>
      </c>
      <c r="Q9" s="26">
        <f>F28</f>
        <v>6389504358</v>
      </c>
      <c r="R9" s="26"/>
      <c r="S9" t="s">
        <v>8</v>
      </c>
      <c r="T9" s="16">
        <f>B12</f>
        <v>219</v>
      </c>
    </row>
    <row r="10" spans="1:26" x14ac:dyDescent="0.25">
      <c r="A10" s="40" t="s">
        <v>6</v>
      </c>
      <c r="B10" s="34">
        <v>46209</v>
      </c>
      <c r="C10" s="41"/>
      <c r="P10">
        <v>2029</v>
      </c>
      <c r="Q10" s="26">
        <f>G28</f>
        <v>6900664706.6400003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7245697941.9720011</v>
      </c>
      <c r="R11" s="26"/>
    </row>
    <row r="12" spans="1:26" x14ac:dyDescent="0.25">
      <c r="A12" s="40" t="s">
        <v>8</v>
      </c>
      <c r="B12" s="35">
        <v>219</v>
      </c>
      <c r="C12" s="41" t="s">
        <v>81</v>
      </c>
      <c r="P12">
        <v>2031</v>
      </c>
      <c r="Q12" s="26">
        <f>I28</f>
        <v>7607982839.0706015</v>
      </c>
      <c r="R12" s="26"/>
    </row>
    <row r="13" spans="1:26" x14ac:dyDescent="0.25">
      <c r="A13" s="40" t="s">
        <v>9</v>
      </c>
      <c r="B13" s="36">
        <v>402000000</v>
      </c>
      <c r="C13" s="41"/>
    </row>
    <row r="14" spans="1:26" x14ac:dyDescent="0.25">
      <c r="A14" s="40" t="s">
        <v>10</v>
      </c>
      <c r="B14" s="35">
        <v>7080000000</v>
      </c>
      <c r="C14" s="41"/>
      <c r="P14" s="6" t="s">
        <v>16</v>
      </c>
      <c r="Q14" s="6" t="s">
        <v>94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95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5630000000</v>
      </c>
      <c r="C15" s="41"/>
      <c r="P15" s="58">
        <v>44378</v>
      </c>
      <c r="Q15" s="59">
        <v>621.63</v>
      </c>
      <c r="R15" s="6">
        <v>4395.26</v>
      </c>
      <c r="S15" s="6">
        <v>14672.68</v>
      </c>
      <c r="T15" s="6">
        <v>35061.550000000003</v>
      </c>
      <c r="U15" s="58">
        <v>44378</v>
      </c>
      <c r="V15" s="60">
        <f t="shared" ref="V15:V75" si="0">(Q15/$Q$15)*100</f>
        <v>100</v>
      </c>
      <c r="W15" s="60">
        <f>(R15/$R$15)*100</f>
        <v>100</v>
      </c>
      <c r="X15" s="60">
        <f>(S15/$S$15)*100</f>
        <v>100</v>
      </c>
      <c r="Y15" s="60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124</v>
      </c>
      <c r="C16" s="41"/>
      <c r="P16" s="58">
        <v>44409</v>
      </c>
      <c r="Q16" s="6">
        <v>666.59</v>
      </c>
      <c r="R16" s="6">
        <v>4509.37</v>
      </c>
      <c r="S16" s="6">
        <v>14714.66</v>
      </c>
      <c r="T16" s="6">
        <v>35120.080000000002</v>
      </c>
      <c r="U16" s="58">
        <v>44409</v>
      </c>
      <c r="V16" s="61">
        <f t="shared" si="0"/>
        <v>107.23259816932902</v>
      </c>
      <c r="W16" s="61">
        <f>(R16/$R$15)*100</f>
        <v>102.59620591273327</v>
      </c>
      <c r="X16" s="61">
        <f>(S16/$S$15)*100</f>
        <v>100.28610996764054</v>
      </c>
      <c r="Y16" s="61">
        <f>(T16/$T$15)*100</f>
        <v>100.16693500429959</v>
      </c>
      <c r="Z16" t="s">
        <v>74</v>
      </c>
    </row>
    <row r="17" spans="1:25" x14ac:dyDescent="0.25">
      <c r="A17" s="42" t="s">
        <v>79</v>
      </c>
      <c r="B17" s="43"/>
      <c r="C17" s="44"/>
      <c r="P17" s="58">
        <v>44440</v>
      </c>
      <c r="Q17" s="6">
        <v>577.47</v>
      </c>
      <c r="R17" s="6">
        <v>4455.4799999999996</v>
      </c>
      <c r="S17" s="6">
        <v>15047.7</v>
      </c>
      <c r="T17" s="6">
        <v>34326.46</v>
      </c>
      <c r="U17" s="58">
        <v>44440</v>
      </c>
      <c r="V17" s="61">
        <f t="shared" si="0"/>
        <v>92.896095748274703</v>
      </c>
      <c r="W17" s="61">
        <f>(R17/$R$15)*100</f>
        <v>101.37011234830247</v>
      </c>
      <c r="X17" s="61">
        <f>(S17/$S$15)*100</f>
        <v>102.55590662373881</v>
      </c>
      <c r="Y17" s="61">
        <f>(T17/$T$15)*100</f>
        <v>97.903429825549622</v>
      </c>
    </row>
    <row r="18" spans="1:25" x14ac:dyDescent="0.25">
      <c r="P18" s="58">
        <v>44470</v>
      </c>
      <c r="Q18" s="6">
        <v>650.36</v>
      </c>
      <c r="R18" s="6">
        <v>4544.8999999999996</v>
      </c>
      <c r="S18" s="6">
        <v>15498.39</v>
      </c>
      <c r="T18" s="6">
        <v>35677.019999999997</v>
      </c>
      <c r="U18" s="58">
        <v>44470</v>
      </c>
      <c r="V18" s="61">
        <f t="shared" si="0"/>
        <v>104.62172031594356</v>
      </c>
      <c r="W18" s="61">
        <f t="shared" ref="W18:W75" si="1">(R18/$R$15)*100</f>
        <v>103.40457674858823</v>
      </c>
      <c r="X18" s="61">
        <f t="shared" ref="X18:X75" si="2">(S18/$S$15)*100</f>
        <v>105.62753362030656</v>
      </c>
      <c r="Y18" s="61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8">
        <v>44501</v>
      </c>
      <c r="Q19" s="6">
        <v>662.1</v>
      </c>
      <c r="R19" s="6">
        <v>4594.62</v>
      </c>
      <c r="S19" s="6">
        <v>15085.47</v>
      </c>
      <c r="T19" s="6">
        <v>34889.339999999997</v>
      </c>
      <c r="U19" s="58">
        <v>44501</v>
      </c>
      <c r="V19" s="61">
        <f t="shared" si="0"/>
        <v>106.51030355677815</v>
      </c>
      <c r="W19" s="61">
        <f t="shared" si="1"/>
        <v>104.53579537956799</v>
      </c>
      <c r="X19" s="61">
        <f t="shared" si="2"/>
        <v>102.81332380996517</v>
      </c>
      <c r="Y19" s="61">
        <f t="shared" si="3"/>
        <v>99.508835176995873</v>
      </c>
    </row>
    <row r="20" spans="1:25" x14ac:dyDescent="0.25">
      <c r="A20" t="s">
        <v>16</v>
      </c>
      <c r="C20" s="7">
        <v>46209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78396980524.43309</v>
      </c>
      <c r="P20" s="58">
        <v>44531</v>
      </c>
      <c r="Q20" s="6">
        <v>567.05999999999995</v>
      </c>
      <c r="R20" s="6">
        <v>4766.18</v>
      </c>
      <c r="S20" s="6">
        <v>15653.37</v>
      </c>
      <c r="T20" s="6">
        <v>35950.559999999998</v>
      </c>
      <c r="U20" s="58">
        <v>44531</v>
      </c>
      <c r="V20" s="61">
        <f t="shared" si="0"/>
        <v>91.22146614545629</v>
      </c>
      <c r="W20" s="61">
        <f t="shared" si="1"/>
        <v>108.43909120279574</v>
      </c>
      <c r="X20" s="61">
        <f t="shared" si="2"/>
        <v>106.68378237649836</v>
      </c>
      <c r="Y20" s="61">
        <f t="shared" si="3"/>
        <v>102.53556959119035</v>
      </c>
    </row>
    <row r="21" spans="1:25" x14ac:dyDescent="0.25">
      <c r="A21" t="s">
        <v>18</v>
      </c>
      <c r="D21" s="5">
        <v>23770000000</v>
      </c>
      <c r="E21" s="5">
        <f>D21*1.07</f>
        <v>25433900000</v>
      </c>
      <c r="F21" s="5">
        <f>E21*1.06</f>
        <v>26959934000</v>
      </c>
      <c r="G21" s="5">
        <f>F21*1.08</f>
        <v>29116728720.000004</v>
      </c>
      <c r="H21" s="5">
        <f>G21*1.05</f>
        <v>30572565156.000004</v>
      </c>
      <c r="I21" s="5">
        <f>H21*1.05</f>
        <v>32101193413.800007</v>
      </c>
      <c r="L21" t="s">
        <v>19</v>
      </c>
      <c r="M21" s="13">
        <f>(I22+I25)*9</f>
        <v>95340544438.986008</v>
      </c>
      <c r="P21" s="58">
        <v>44562</v>
      </c>
      <c r="Q21" s="6">
        <v>499.91</v>
      </c>
      <c r="R21" s="6">
        <v>4500.53</v>
      </c>
      <c r="S21" s="6">
        <v>13770.57</v>
      </c>
      <c r="T21" s="6">
        <v>34725.47</v>
      </c>
      <c r="U21" s="58">
        <v>44562</v>
      </c>
      <c r="V21" s="61">
        <f t="shared" si="0"/>
        <v>80.419220436594117</v>
      </c>
      <c r="W21" s="61">
        <f t="shared" si="1"/>
        <v>102.39508015453009</v>
      </c>
      <c r="X21" s="61">
        <f t="shared" si="2"/>
        <v>93.851770773982665</v>
      </c>
      <c r="Y21" s="61">
        <f t="shared" si="3"/>
        <v>99.041457094737666</v>
      </c>
    </row>
    <row r="22" spans="1:25" x14ac:dyDescent="0.25">
      <c r="A22" t="s">
        <v>77</v>
      </c>
      <c r="B22" t="s">
        <v>98</v>
      </c>
      <c r="C22" s="25">
        <v>0.3</v>
      </c>
      <c r="D22" s="5">
        <f>D21*$C$22</f>
        <v>7131000000</v>
      </c>
      <c r="E22" s="5">
        <f t="shared" ref="E22:I22" si="4">E21*$C$22</f>
        <v>7630170000</v>
      </c>
      <c r="F22" s="5">
        <f t="shared" si="4"/>
        <v>8087980200</v>
      </c>
      <c r="G22" s="5">
        <f t="shared" si="4"/>
        <v>8735018616</v>
      </c>
      <c r="H22" s="5">
        <f t="shared" si="4"/>
        <v>9171769546.8000011</v>
      </c>
      <c r="I22" s="5">
        <f t="shared" si="4"/>
        <v>9630358024.1400013</v>
      </c>
      <c r="L22" t="s">
        <v>20</v>
      </c>
      <c r="M22" s="13">
        <f>(M20+M21)/2</f>
        <v>86868762481.709549</v>
      </c>
      <c r="P22" s="58">
        <v>44593</v>
      </c>
      <c r="Q22" s="6">
        <v>465.54</v>
      </c>
      <c r="R22" s="6">
        <v>4384.6499999999996</v>
      </c>
      <c r="S22" s="6">
        <v>13313.44</v>
      </c>
      <c r="T22" s="6">
        <v>34058.75</v>
      </c>
      <c r="U22" s="58">
        <v>44593</v>
      </c>
      <c r="V22" s="61">
        <f t="shared" si="0"/>
        <v>74.890208001544337</v>
      </c>
      <c r="W22" s="61">
        <f t="shared" si="1"/>
        <v>99.758603586590993</v>
      </c>
      <c r="X22" s="61">
        <f t="shared" si="2"/>
        <v>90.736252681854992</v>
      </c>
      <c r="Y22" s="61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1497510000</v>
      </c>
      <c r="E23" s="30">
        <f t="shared" ref="E23:I23" si="5">E22*$B$6</f>
        <v>1602335700</v>
      </c>
      <c r="F23" s="5">
        <f t="shared" si="5"/>
        <v>1698475842</v>
      </c>
      <c r="G23" s="30">
        <f t="shared" si="5"/>
        <v>1834353909.3599999</v>
      </c>
      <c r="H23" s="30">
        <f t="shared" si="5"/>
        <v>1926071604.8280001</v>
      </c>
      <c r="I23" s="5">
        <f t="shared" si="5"/>
        <v>2022375185.0694003</v>
      </c>
      <c r="P23" s="58">
        <v>44621</v>
      </c>
      <c r="Q23" s="6">
        <v>458.19</v>
      </c>
      <c r="R23" s="6">
        <v>4543.0600000000004</v>
      </c>
      <c r="S23" s="6">
        <v>14169.3</v>
      </c>
      <c r="T23" s="6">
        <v>34861.24</v>
      </c>
      <c r="U23" s="58">
        <v>44621</v>
      </c>
      <c r="V23" s="61">
        <f t="shared" si="0"/>
        <v>73.707832633560159</v>
      </c>
      <c r="W23" s="61">
        <f t="shared" si="1"/>
        <v>103.36271346860026</v>
      </c>
      <c r="X23" s="61">
        <f t="shared" si="2"/>
        <v>96.569270235567046</v>
      </c>
      <c r="Y23" s="61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5633490000</v>
      </c>
      <c r="E24" s="5">
        <f t="shared" ref="E24:I24" si="6">E22*(1-$B$6)</f>
        <v>6027834300</v>
      </c>
      <c r="F24" s="5">
        <f t="shared" si="6"/>
        <v>6389504358</v>
      </c>
      <c r="G24" s="5">
        <f t="shared" si="6"/>
        <v>6900664706.6400003</v>
      </c>
      <c r="H24" s="5">
        <f t="shared" si="6"/>
        <v>7245697941.9720011</v>
      </c>
      <c r="I24" s="5">
        <f t="shared" si="6"/>
        <v>7607982839.0706015</v>
      </c>
      <c r="P24" s="58">
        <v>44652</v>
      </c>
      <c r="Q24" s="6">
        <v>395.95</v>
      </c>
      <c r="R24" s="6">
        <v>4271.78</v>
      </c>
      <c r="S24" s="6">
        <v>12839.29</v>
      </c>
      <c r="T24" s="6">
        <v>33811.4</v>
      </c>
      <c r="U24" s="58">
        <v>44652</v>
      </c>
      <c r="V24" s="61">
        <f t="shared" si="0"/>
        <v>63.695445843990797</v>
      </c>
      <c r="W24" s="61">
        <f t="shared" si="1"/>
        <v>97.190609884284413</v>
      </c>
      <c r="X24" s="61">
        <f t="shared" si="2"/>
        <v>87.504736694318979</v>
      </c>
      <c r="Y24" s="61">
        <f t="shared" si="3"/>
        <v>96.434413196222067</v>
      </c>
    </row>
    <row r="25" spans="1:25" x14ac:dyDescent="0.25">
      <c r="A25" s="4" t="s">
        <v>25</v>
      </c>
      <c r="B25" s="8" t="s">
        <v>86</v>
      </c>
      <c r="C25" s="25">
        <v>0.03</v>
      </c>
      <c r="D25" s="12">
        <f>D21*$C$25</f>
        <v>713100000</v>
      </c>
      <c r="E25" s="12">
        <f t="shared" ref="E25:I25" si="7">E21*$C$25</f>
        <v>763017000</v>
      </c>
      <c r="F25" s="12">
        <f t="shared" si="7"/>
        <v>808798020</v>
      </c>
      <c r="G25" s="12">
        <f t="shared" si="7"/>
        <v>873501861.60000002</v>
      </c>
      <c r="H25" s="12">
        <f t="shared" si="7"/>
        <v>917176954.68000007</v>
      </c>
      <c r="I25" s="12">
        <f t="shared" si="7"/>
        <v>963035802.41400015</v>
      </c>
      <c r="P25" s="58">
        <v>44682</v>
      </c>
      <c r="Q25" s="6">
        <v>429.76</v>
      </c>
      <c r="R25" s="6">
        <v>4158.24</v>
      </c>
      <c r="S25" s="6">
        <v>11354.62</v>
      </c>
      <c r="T25" s="6">
        <v>33212.959999999999</v>
      </c>
      <c r="U25" s="58">
        <v>44682</v>
      </c>
      <c r="V25" s="61">
        <f t="shared" si="0"/>
        <v>69.134372536717976</v>
      </c>
      <c r="W25" s="61">
        <f t="shared" si="1"/>
        <v>94.607372487634393</v>
      </c>
      <c r="X25" s="61">
        <f t="shared" si="2"/>
        <v>77.386135320882076</v>
      </c>
      <c r="Y25" s="61">
        <f t="shared" si="3"/>
        <v>94.727586201979079</v>
      </c>
    </row>
    <row r="26" spans="1:25" x14ac:dyDescent="0.25">
      <c r="A26" t="s">
        <v>26</v>
      </c>
      <c r="B26" t="s">
        <v>92</v>
      </c>
      <c r="C26" s="25">
        <v>0.02</v>
      </c>
      <c r="D26" s="10">
        <f>D21*$C$26</f>
        <v>475400000</v>
      </c>
      <c r="E26" s="10">
        <f t="shared" ref="E26:I26" si="8">E21*$C$26</f>
        <v>508678000</v>
      </c>
      <c r="F26" s="10">
        <f t="shared" si="8"/>
        <v>539198680</v>
      </c>
      <c r="G26" s="10">
        <f t="shared" si="8"/>
        <v>582334574.4000001</v>
      </c>
      <c r="H26" s="10">
        <f t="shared" si="8"/>
        <v>611451303.12000012</v>
      </c>
      <c r="I26" s="10">
        <f t="shared" si="8"/>
        <v>642023868.27600014</v>
      </c>
      <c r="P26" s="58">
        <v>44713</v>
      </c>
      <c r="Q26" s="6">
        <v>368.48</v>
      </c>
      <c r="R26" s="6">
        <v>3911.74</v>
      </c>
      <c r="S26" s="6">
        <v>11127.85</v>
      </c>
      <c r="T26" s="6">
        <v>31097.26</v>
      </c>
      <c r="U26" s="58">
        <v>44713</v>
      </c>
      <c r="V26" s="61">
        <f t="shared" si="0"/>
        <v>59.276418448273091</v>
      </c>
      <c r="W26" s="61">
        <f t="shared" si="1"/>
        <v>88.999058076200271</v>
      </c>
      <c r="X26" s="61">
        <f t="shared" si="2"/>
        <v>75.840609895397435</v>
      </c>
      <c r="Y26" s="61">
        <f t="shared" si="3"/>
        <v>88.693340710835642</v>
      </c>
    </row>
    <row r="27" spans="1:25" x14ac:dyDescent="0.25">
      <c r="A27" t="s">
        <v>27</v>
      </c>
      <c r="B27" t="s">
        <v>90</v>
      </c>
      <c r="C27" s="25">
        <v>0.01</v>
      </c>
      <c r="D27" s="10">
        <f>D21*$C$27</f>
        <v>237700000</v>
      </c>
      <c r="E27" s="10">
        <f t="shared" ref="E27:I27" si="9">E21*$C$27</f>
        <v>254339000</v>
      </c>
      <c r="F27" s="10">
        <f t="shared" si="9"/>
        <v>269599340</v>
      </c>
      <c r="G27" s="10">
        <f t="shared" si="9"/>
        <v>291167287.20000005</v>
      </c>
      <c r="H27" s="10">
        <f t="shared" si="9"/>
        <v>305725651.56000006</v>
      </c>
      <c r="I27" s="10">
        <f t="shared" si="9"/>
        <v>321011934.13800007</v>
      </c>
      <c r="P27" s="58">
        <v>44743</v>
      </c>
      <c r="Q27" s="61">
        <v>410.12</v>
      </c>
      <c r="R27" s="6">
        <v>4130.29</v>
      </c>
      <c r="S27" s="6">
        <v>12390.69</v>
      </c>
      <c r="T27" s="6">
        <v>32845.129999999997</v>
      </c>
      <c r="U27" s="58">
        <v>44743</v>
      </c>
      <c r="V27" s="61">
        <f t="shared" si="0"/>
        <v>65.974936859546673</v>
      </c>
      <c r="W27" s="61">
        <f t="shared" si="1"/>
        <v>93.971460163903842</v>
      </c>
      <c r="X27" s="61">
        <f t="shared" si="2"/>
        <v>84.447353857645638</v>
      </c>
      <c r="Y27" s="61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5633490000</v>
      </c>
      <c r="E28" s="12">
        <f t="shared" ref="E28:I28" si="10">E24+E25-E26-E27</f>
        <v>6027834300</v>
      </c>
      <c r="F28" s="12">
        <f t="shared" si="10"/>
        <v>6389504358</v>
      </c>
      <c r="G28" s="12">
        <f t="shared" si="10"/>
        <v>6900664706.6400003</v>
      </c>
      <c r="H28" s="12">
        <f t="shared" si="10"/>
        <v>7245697941.9720011</v>
      </c>
      <c r="I28" s="12">
        <f t="shared" si="10"/>
        <v>7607982839.0706015</v>
      </c>
      <c r="P28" s="58">
        <v>44774</v>
      </c>
      <c r="Q28" s="6">
        <v>368.14</v>
      </c>
      <c r="R28" s="6">
        <v>3924.26</v>
      </c>
      <c r="S28" s="6">
        <v>12141.71</v>
      </c>
      <c r="T28" s="6">
        <v>31318.44</v>
      </c>
      <c r="U28" s="58">
        <v>44774</v>
      </c>
      <c r="V28" s="61">
        <f t="shared" si="0"/>
        <v>59.221723533291502</v>
      </c>
      <c r="W28" s="61">
        <f t="shared" si="1"/>
        <v>89.28391039437939</v>
      </c>
      <c r="X28" s="61">
        <f t="shared" si="2"/>
        <v>82.750458675579367</v>
      </c>
      <c r="Y28" s="61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8">
        <v>44805</v>
      </c>
      <c r="Q29" s="6">
        <v>275.2</v>
      </c>
      <c r="R29" s="6">
        <v>3585.62</v>
      </c>
      <c r="S29" s="6">
        <v>10867.93</v>
      </c>
      <c r="T29" s="6">
        <v>30822.42</v>
      </c>
      <c r="U29" s="58">
        <v>44805</v>
      </c>
      <c r="V29" s="61">
        <f t="shared" si="0"/>
        <v>44.270707655679416</v>
      </c>
      <c r="W29" s="61">
        <f t="shared" si="1"/>
        <v>81.579246733981606</v>
      </c>
      <c r="X29" s="61">
        <f t="shared" si="2"/>
        <v>74.069154373979401</v>
      </c>
      <c r="Y29" s="61">
        <f t="shared" si="3"/>
        <v>87.90946207455174</v>
      </c>
    </row>
    <row r="30" spans="1:25" x14ac:dyDescent="0.25">
      <c r="A30" t="s">
        <v>36</v>
      </c>
      <c r="C30" s="13">
        <f>-G39</f>
        <v>-89488000000</v>
      </c>
      <c r="D30" s="5">
        <f>D28</f>
        <v>5633490000</v>
      </c>
      <c r="E30" s="5">
        <f t="shared" ref="E30:I30" si="11">E28</f>
        <v>6027834300</v>
      </c>
      <c r="F30" s="5">
        <f t="shared" si="11"/>
        <v>6389504358</v>
      </c>
      <c r="G30" s="5">
        <f t="shared" si="11"/>
        <v>6900664706.6400003</v>
      </c>
      <c r="H30" s="5">
        <f t="shared" si="11"/>
        <v>7245697941.9720011</v>
      </c>
      <c r="I30" s="5">
        <f t="shared" si="11"/>
        <v>7607982839.0706015</v>
      </c>
      <c r="J30" s="13">
        <f>I28+M22</f>
        <v>94476745320.780151</v>
      </c>
      <c r="K30" t="s">
        <v>38</v>
      </c>
      <c r="P30" s="58">
        <v>44835</v>
      </c>
      <c r="Q30" s="6">
        <v>285.75</v>
      </c>
      <c r="R30" s="6">
        <v>3901.06</v>
      </c>
      <c r="S30" s="6">
        <v>11102.45</v>
      </c>
      <c r="T30" s="6">
        <v>32861.800000000003</v>
      </c>
      <c r="U30" s="58">
        <v>44835</v>
      </c>
      <c r="V30" s="61">
        <f t="shared" si="0"/>
        <v>45.967858694078473</v>
      </c>
      <c r="W30" s="61">
        <f t="shared" si="1"/>
        <v>88.756069038009116</v>
      </c>
      <c r="X30" s="61">
        <f t="shared" si="2"/>
        <v>75.667499052661142</v>
      </c>
      <c r="Y30" s="61">
        <f t="shared" si="3"/>
        <v>93.726033218725362</v>
      </c>
    </row>
    <row r="31" spans="1:25" x14ac:dyDescent="0.25">
      <c r="A31" t="s">
        <v>37</v>
      </c>
      <c r="D31" s="6">
        <f>1/(1+$B$7)^D29</f>
        <v>0.94766510504748036</v>
      </c>
      <c r="E31" s="6">
        <f t="shared" ref="E31:I31" si="12">1/(1+$B$7)^E29</f>
        <v>0.85106879662997792</v>
      </c>
      <c r="F31" s="6">
        <f t="shared" si="12"/>
        <v>0.76431863190837712</v>
      </c>
      <c r="G31" s="6">
        <f t="shared" si="12"/>
        <v>0.68641098509957543</v>
      </c>
      <c r="H31" s="6">
        <f t="shared" si="12"/>
        <v>0.61644453084829409</v>
      </c>
      <c r="I31" s="6">
        <f t="shared" si="12"/>
        <v>0.58418297108229322</v>
      </c>
      <c r="J31" t="s">
        <v>39</v>
      </c>
      <c r="P31" s="58">
        <v>44866</v>
      </c>
      <c r="Q31" s="6">
        <v>341.53</v>
      </c>
      <c r="R31" s="6">
        <v>4026.12</v>
      </c>
      <c r="S31" s="6">
        <v>11226.36</v>
      </c>
      <c r="T31" s="6">
        <v>34429.879999999997</v>
      </c>
      <c r="U31" s="58">
        <v>44866</v>
      </c>
      <c r="V31" s="61">
        <f t="shared" si="0"/>
        <v>54.941042098997798</v>
      </c>
      <c r="W31" s="61">
        <f t="shared" si="1"/>
        <v>91.601406970236113</v>
      </c>
      <c r="X31" s="61">
        <f t="shared" si="2"/>
        <v>76.511993718938882</v>
      </c>
      <c r="Y31" s="61">
        <f t="shared" si="3"/>
        <v>98.198396819307746</v>
      </c>
    </row>
    <row r="32" spans="1:25" x14ac:dyDescent="0.25">
      <c r="A32" t="s">
        <v>40</v>
      </c>
      <c r="C32" s="13">
        <f>-G39</f>
        <v>-89488000000</v>
      </c>
      <c r="D32" s="5">
        <f>D30*D31</f>
        <v>5338661892.6339302</v>
      </c>
      <c r="E32" s="5">
        <f t="shared" ref="E32:I32" si="13">E30*E31</f>
        <v>5130101683.9859056</v>
      </c>
      <c r="F32" s="5">
        <f t="shared" si="13"/>
        <v>4883617229.4791737</v>
      </c>
      <c r="G32" s="5">
        <f t="shared" si="13"/>
        <v>4736692059.1266356</v>
      </c>
      <c r="H32" s="5">
        <f t="shared" si="13"/>
        <v>4466570868.5073805</v>
      </c>
      <c r="I32" s="5">
        <f t="shared" si="13"/>
        <v>4444454018.8713646</v>
      </c>
      <c r="J32" s="14">
        <f>M22</f>
        <v>86868762481.709549</v>
      </c>
      <c r="P32" s="58">
        <v>44896</v>
      </c>
      <c r="Q32" s="6">
        <v>338.45</v>
      </c>
      <c r="R32" s="6">
        <v>3839.5</v>
      </c>
      <c r="S32" s="6">
        <v>10466.48</v>
      </c>
      <c r="T32" s="6">
        <v>33203.93</v>
      </c>
      <c r="U32" s="58">
        <v>44896</v>
      </c>
      <c r="V32" s="61">
        <f t="shared" si="0"/>
        <v>54.445570516223476</v>
      </c>
      <c r="W32" s="61">
        <f t="shared" si="1"/>
        <v>87.355469301019724</v>
      </c>
      <c r="X32" s="61">
        <f t="shared" si="2"/>
        <v>71.333117058369695</v>
      </c>
      <c r="Y32" s="61">
        <f t="shared" si="3"/>
        <v>94.701831493473605</v>
      </c>
    </row>
    <row r="33" spans="1:25" x14ac:dyDescent="0.25">
      <c r="A33" t="s">
        <v>56</v>
      </c>
      <c r="C33" s="29">
        <v>-89488</v>
      </c>
      <c r="D33" s="46">
        <v>5339</v>
      </c>
      <c r="E33" s="24">
        <v>5130</v>
      </c>
      <c r="F33" s="24">
        <v>4884</v>
      </c>
      <c r="G33" s="24">
        <v>4737</v>
      </c>
      <c r="H33" s="24">
        <v>4467</v>
      </c>
      <c r="I33" s="24">
        <v>4444</v>
      </c>
      <c r="J33" s="24">
        <v>86869</v>
      </c>
      <c r="P33" s="58">
        <v>44927</v>
      </c>
      <c r="Q33" s="6">
        <v>370.71</v>
      </c>
      <c r="R33" s="6">
        <v>4070.56</v>
      </c>
      <c r="S33" s="6">
        <v>11140.43</v>
      </c>
      <c r="T33" s="6">
        <v>33375.49</v>
      </c>
      <c r="U33" s="58">
        <v>44927</v>
      </c>
      <c r="V33" s="61">
        <f t="shared" si="0"/>
        <v>59.635152743593459</v>
      </c>
      <c r="W33" s="61">
        <f t="shared" si="1"/>
        <v>92.61249618907641</v>
      </c>
      <c r="X33" s="61">
        <f t="shared" si="2"/>
        <v>75.92634747026446</v>
      </c>
      <c r="Y33" s="61">
        <f t="shared" si="3"/>
        <v>95.19114243380568</v>
      </c>
    </row>
    <row r="34" spans="1:25" x14ac:dyDescent="0.25">
      <c r="P34" s="58">
        <v>44958</v>
      </c>
      <c r="Q34" s="6">
        <v>344.04</v>
      </c>
      <c r="R34" s="6">
        <v>4045.64</v>
      </c>
      <c r="S34" s="6">
        <v>11689.01</v>
      </c>
      <c r="T34" s="6">
        <v>32816.92</v>
      </c>
      <c r="U34" s="58">
        <v>44958</v>
      </c>
      <c r="V34" s="61">
        <f t="shared" si="0"/>
        <v>55.344819265479472</v>
      </c>
      <c r="W34" s="61">
        <f t="shared" si="1"/>
        <v>92.045521766630415</v>
      </c>
      <c r="X34" s="61">
        <f t="shared" si="2"/>
        <v>79.665132750117905</v>
      </c>
      <c r="Y34" s="61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8">
        <v>44986</v>
      </c>
      <c r="Q35" s="6">
        <v>385.37</v>
      </c>
      <c r="R35" s="6">
        <v>3970.99</v>
      </c>
      <c r="S35" s="6">
        <v>11823.96</v>
      </c>
      <c r="T35" s="6">
        <v>33274.15</v>
      </c>
      <c r="U35" s="58">
        <v>44986</v>
      </c>
      <c r="V35" s="61">
        <f t="shared" si="0"/>
        <v>61.993468783681614</v>
      </c>
      <c r="W35" s="61">
        <f t="shared" si="1"/>
        <v>90.347101195378642</v>
      </c>
      <c r="X35" s="61">
        <f t="shared" si="2"/>
        <v>80.584869294498347</v>
      </c>
      <c r="Y35" s="61">
        <f t="shared" si="3"/>
        <v>94.902107864598108</v>
      </c>
    </row>
    <row r="36" spans="1:25" x14ac:dyDescent="0.25">
      <c r="A36" s="13" t="s">
        <v>42</v>
      </c>
      <c r="B36" s="17">
        <f>SUM(D32:I32)</f>
        <v>29000097752.604389</v>
      </c>
      <c r="C36" t="s">
        <v>45</v>
      </c>
      <c r="F36" t="s">
        <v>33</v>
      </c>
      <c r="G36" s="15">
        <f>B13*B12</f>
        <v>88038000000</v>
      </c>
      <c r="H36" t="s">
        <v>34</v>
      </c>
      <c r="L36" s="3" t="s">
        <v>51</v>
      </c>
      <c r="P36" s="58">
        <v>45017</v>
      </c>
      <c r="Q36" s="6">
        <v>377.56</v>
      </c>
      <c r="R36" s="6">
        <v>4133.5200000000004</v>
      </c>
      <c r="S36" s="6">
        <v>12072.46</v>
      </c>
      <c r="T36" s="6">
        <v>33808.959999999999</v>
      </c>
      <c r="U36" s="58">
        <v>45017</v>
      </c>
      <c r="V36" s="61">
        <f t="shared" si="0"/>
        <v>60.737094413075297</v>
      </c>
      <c r="W36" s="61">
        <f t="shared" si="1"/>
        <v>94.044948421708852</v>
      </c>
      <c r="X36" s="61">
        <f t="shared" si="2"/>
        <v>82.278493090560133</v>
      </c>
      <c r="Y36" s="61">
        <f t="shared" si="3"/>
        <v>96.427454005883931</v>
      </c>
    </row>
    <row r="37" spans="1:25" x14ac:dyDescent="0.25">
      <c r="A37" t="s">
        <v>11</v>
      </c>
      <c r="B37" s="19">
        <f>B15</f>
        <v>5630000000</v>
      </c>
      <c r="F37" t="s">
        <v>10</v>
      </c>
      <c r="G37" s="14">
        <f>B14</f>
        <v>7080000000</v>
      </c>
      <c r="L37" t="s">
        <v>52</v>
      </c>
      <c r="M37" s="21">
        <f>(B40/B12)-1</f>
        <v>-0.35017344649859194</v>
      </c>
      <c r="P37" s="58">
        <v>45047</v>
      </c>
      <c r="Q37" s="6">
        <v>415.39</v>
      </c>
      <c r="R37" s="6">
        <v>4282.37</v>
      </c>
      <c r="S37" s="6">
        <v>13240.77</v>
      </c>
      <c r="T37" s="6">
        <v>33093.339999999997</v>
      </c>
      <c r="U37" s="58">
        <v>45047</v>
      </c>
      <c r="V37" s="61">
        <f t="shared" si="0"/>
        <v>66.822708041761175</v>
      </c>
      <c r="W37" s="61">
        <f t="shared" si="1"/>
        <v>97.431551262041367</v>
      </c>
      <c r="X37" s="61">
        <f t="shared" si="2"/>
        <v>90.24097847155393</v>
      </c>
      <c r="Y37" s="61">
        <f t="shared" si="3"/>
        <v>94.386414747779241</v>
      </c>
    </row>
    <row r="38" spans="1:25" x14ac:dyDescent="0.25">
      <c r="A38" t="s">
        <v>10</v>
      </c>
      <c r="B38" s="19">
        <f>B14</f>
        <v>7080000000</v>
      </c>
      <c r="C38" s="3"/>
      <c r="F38" t="s">
        <v>11</v>
      </c>
      <c r="G38" s="14">
        <f>B15</f>
        <v>5630000000</v>
      </c>
      <c r="L38" t="s">
        <v>53</v>
      </c>
      <c r="M38" s="23">
        <f>IRR(C33:J33)</f>
        <v>4.3822093576293852E-2</v>
      </c>
      <c r="N38" t="s">
        <v>57</v>
      </c>
      <c r="P38" s="58">
        <v>45078</v>
      </c>
      <c r="Q38" s="6">
        <v>488.99</v>
      </c>
      <c r="R38" s="6">
        <v>4450.38</v>
      </c>
      <c r="S38" s="6">
        <v>13492.52</v>
      </c>
      <c r="T38" s="6">
        <v>33727.43</v>
      </c>
      <c r="U38" s="58">
        <v>45078</v>
      </c>
      <c r="V38" s="61">
        <f t="shared" si="0"/>
        <v>78.662548461303345</v>
      </c>
      <c r="W38" s="61">
        <f t="shared" si="1"/>
        <v>101.25407825703144</v>
      </c>
      <c r="X38" s="61">
        <f t="shared" si="2"/>
        <v>91.956752277020968</v>
      </c>
      <c r="Y38" s="61">
        <f t="shared" si="3"/>
        <v>96.194920076265873</v>
      </c>
    </row>
    <row r="39" spans="1:25" x14ac:dyDescent="0.25">
      <c r="A39" t="s">
        <v>44</v>
      </c>
      <c r="B39" s="17">
        <f>(((B36+B37)-B38)+(M22))/2</f>
        <v>57209430117.156967</v>
      </c>
      <c r="C39" t="s">
        <v>75</v>
      </c>
      <c r="F39" t="s">
        <v>30</v>
      </c>
      <c r="G39" s="13">
        <f>G36+G37-G38</f>
        <v>89488000000</v>
      </c>
      <c r="H39" t="s">
        <v>32</v>
      </c>
      <c r="P39" s="58">
        <v>45108</v>
      </c>
      <c r="Q39" s="6">
        <v>528.87</v>
      </c>
      <c r="R39" s="6">
        <v>4582.2299999999996</v>
      </c>
      <c r="S39" s="6">
        <v>14032.81</v>
      </c>
      <c r="T39" s="6">
        <v>35065.620000000003</v>
      </c>
      <c r="U39" s="58">
        <v>45108</v>
      </c>
      <c r="V39" s="61">
        <f t="shared" si="0"/>
        <v>85.077940253848752</v>
      </c>
      <c r="W39" s="61">
        <f t="shared" si="1"/>
        <v>104.25390079312713</v>
      </c>
      <c r="X39" s="61">
        <f t="shared" si="2"/>
        <v>95.639037994422281</v>
      </c>
      <c r="Y39" s="61">
        <f t="shared" si="3"/>
        <v>100.01160815765418</v>
      </c>
    </row>
    <row r="40" spans="1:25" x14ac:dyDescent="0.25">
      <c r="A40" t="s">
        <v>72</v>
      </c>
      <c r="B40" s="20">
        <f>B39/B13</f>
        <v>142.31201521680836</v>
      </c>
      <c r="C40" t="s">
        <v>76</v>
      </c>
      <c r="F40" t="s">
        <v>48</v>
      </c>
      <c r="G40" s="16">
        <f>G39/B13</f>
        <v>222.60696517412936</v>
      </c>
      <c r="H40" t="s">
        <v>49</v>
      </c>
      <c r="L40" s="48" t="s">
        <v>84</v>
      </c>
      <c r="M40" s="49"/>
      <c r="P40" s="58">
        <v>45139</v>
      </c>
      <c r="Q40" s="6">
        <v>525.05999999999995</v>
      </c>
      <c r="R40" s="6">
        <v>4515.7700000000004</v>
      </c>
      <c r="S40" s="6">
        <v>13590.65</v>
      </c>
      <c r="T40" s="6">
        <v>34837.71</v>
      </c>
      <c r="U40" s="58">
        <v>45139</v>
      </c>
      <c r="V40" s="61">
        <f t="shared" si="0"/>
        <v>84.465035471261032</v>
      </c>
      <c r="W40" s="61">
        <f t="shared" si="1"/>
        <v>102.74181732138715</v>
      </c>
      <c r="X40" s="61">
        <f t="shared" si="2"/>
        <v>92.625546253308869</v>
      </c>
      <c r="Y40" s="61">
        <f t="shared" si="3"/>
        <v>99.361579850291832</v>
      </c>
    </row>
    <row r="41" spans="1:25" x14ac:dyDescent="0.25">
      <c r="A41" t="s">
        <v>46</v>
      </c>
      <c r="B41" s="22">
        <f>(B40/B12)-1</f>
        <v>-0.35017344649859194</v>
      </c>
      <c r="C41" t="s">
        <v>47</v>
      </c>
      <c r="F41" t="s">
        <v>46</v>
      </c>
      <c r="G41" s="21">
        <f>(G40/B12)-1</f>
        <v>1.647016061246287E-2</v>
      </c>
      <c r="H41" t="s">
        <v>50</v>
      </c>
      <c r="L41" s="50" t="s">
        <v>41</v>
      </c>
      <c r="M41" s="51">
        <f>B40</f>
        <v>142.31201521680836</v>
      </c>
      <c r="P41" s="58">
        <v>45170</v>
      </c>
      <c r="Q41" s="6">
        <v>512.9</v>
      </c>
      <c r="R41" s="6">
        <v>4320.0600000000004</v>
      </c>
      <c r="S41" s="6">
        <v>13211.81</v>
      </c>
      <c r="T41" s="6">
        <v>33507.5</v>
      </c>
      <c r="U41" s="58">
        <v>45170</v>
      </c>
      <c r="V41" s="61">
        <f t="shared" si="0"/>
        <v>82.508887923684497</v>
      </c>
      <c r="W41" s="61">
        <f t="shared" si="1"/>
        <v>98.289065948317059</v>
      </c>
      <c r="X41" s="61">
        <f t="shared" si="2"/>
        <v>90.04360484928452</v>
      </c>
      <c r="Y41" s="61">
        <f t="shared" si="3"/>
        <v>95.567651743861859</v>
      </c>
    </row>
    <row r="42" spans="1:25" x14ac:dyDescent="0.25">
      <c r="L42" s="50" t="s">
        <v>8</v>
      </c>
      <c r="M42" s="55">
        <f>B12</f>
        <v>219</v>
      </c>
      <c r="P42" s="58">
        <v>45200</v>
      </c>
      <c r="Q42" s="6">
        <v>508.12</v>
      </c>
      <c r="R42" s="6">
        <v>4117.37</v>
      </c>
      <c r="S42" s="6">
        <v>12643.01</v>
      </c>
      <c r="T42" s="6">
        <v>34061.32</v>
      </c>
      <c r="U42" s="58">
        <v>45200</v>
      </c>
      <c r="V42" s="61">
        <f t="shared" si="0"/>
        <v>81.739941766002289</v>
      </c>
      <c r="W42" s="61">
        <f t="shared" si="1"/>
        <v>93.677507132683829</v>
      </c>
      <c r="X42" s="61">
        <f t="shared" si="2"/>
        <v>86.16701243399298</v>
      </c>
      <c r="Y42" s="61">
        <f t="shared" si="3"/>
        <v>97.147216822986991</v>
      </c>
    </row>
    <row r="43" spans="1:25" x14ac:dyDescent="0.25">
      <c r="L43" s="50" t="s">
        <v>97</v>
      </c>
      <c r="M43" s="51">
        <f>(B40-B12)</f>
        <v>-76.687984783191638</v>
      </c>
      <c r="P43" s="58">
        <v>45231</v>
      </c>
      <c r="Q43" s="6">
        <v>612.47</v>
      </c>
      <c r="R43" s="6">
        <v>4559.34</v>
      </c>
      <c r="S43" s="6">
        <v>14250.85</v>
      </c>
      <c r="T43" s="6">
        <v>36245.5</v>
      </c>
      <c r="U43" s="58">
        <v>45231</v>
      </c>
      <c r="V43" s="61">
        <f t="shared" si="0"/>
        <v>98.526454643437418</v>
      </c>
      <c r="W43" s="61">
        <f t="shared" si="1"/>
        <v>103.73311248936355</v>
      </c>
      <c r="X43" s="61">
        <f t="shared" si="2"/>
        <v>97.125065086950713</v>
      </c>
      <c r="Y43" s="61">
        <f t="shared" si="3"/>
        <v>103.37677598394821</v>
      </c>
    </row>
    <row r="44" spans="1:25" x14ac:dyDescent="0.25">
      <c r="L44" s="50" t="s">
        <v>96</v>
      </c>
      <c r="M44" s="56">
        <f>((B40-B12)/(B12))</f>
        <v>-0.35017344649859194</v>
      </c>
      <c r="P44" s="58">
        <v>45261</v>
      </c>
      <c r="Q44" s="6">
        <v>596.6</v>
      </c>
      <c r="R44" s="6">
        <v>4769.83</v>
      </c>
      <c r="S44" s="6">
        <v>14992.97</v>
      </c>
      <c r="T44" s="6">
        <v>37689.54</v>
      </c>
      <c r="U44" s="58">
        <v>45261</v>
      </c>
      <c r="V44" s="61">
        <f t="shared" si="0"/>
        <v>95.973489052973633</v>
      </c>
      <c r="W44" s="61">
        <f t="shared" si="1"/>
        <v>108.52213520929364</v>
      </c>
      <c r="X44" s="61">
        <f t="shared" si="2"/>
        <v>102.18290046535465</v>
      </c>
      <c r="Y44" s="61">
        <f t="shared" si="3"/>
        <v>107.4953617281609</v>
      </c>
    </row>
    <row r="45" spans="1:25" x14ac:dyDescent="0.25">
      <c r="L45" s="50"/>
      <c r="M45" s="52"/>
      <c r="P45" s="58">
        <v>45292</v>
      </c>
      <c r="Q45" s="6">
        <v>613.92999999999995</v>
      </c>
      <c r="R45" s="6">
        <v>4958.6099999999997</v>
      </c>
      <c r="S45" s="6">
        <v>15628.95</v>
      </c>
      <c r="T45" s="6">
        <v>38109.43</v>
      </c>
      <c r="U45" s="58">
        <v>45292</v>
      </c>
      <c r="V45" s="61">
        <f t="shared" si="0"/>
        <v>98.7613210430642</v>
      </c>
      <c r="W45" s="61">
        <f t="shared" si="1"/>
        <v>112.8172167289307</v>
      </c>
      <c r="X45" s="61">
        <f t="shared" si="2"/>
        <v>106.51735061352119</v>
      </c>
      <c r="Y45" s="61">
        <f t="shared" si="3"/>
        <v>108.69294141302936</v>
      </c>
    </row>
    <row r="46" spans="1:25" x14ac:dyDescent="0.25">
      <c r="L46" s="53" t="s">
        <v>54</v>
      </c>
      <c r="M46" s="52"/>
      <c r="P46" s="58">
        <v>45323</v>
      </c>
      <c r="Q46" s="6">
        <v>570.92999999999995</v>
      </c>
      <c r="R46" s="6">
        <v>5137.08</v>
      </c>
      <c r="S46" s="6">
        <v>16274.94</v>
      </c>
      <c r="T46" s="6">
        <v>39087.379999999997</v>
      </c>
      <c r="U46" s="58">
        <v>45323</v>
      </c>
      <c r="V46" s="61">
        <f t="shared" si="0"/>
        <v>91.844022971864277</v>
      </c>
      <c r="W46" s="61">
        <f t="shared" si="1"/>
        <v>116.87772736993942</v>
      </c>
      <c r="X46" s="61">
        <f t="shared" si="2"/>
        <v>110.92002279065582</v>
      </c>
      <c r="Y46" s="61">
        <f t="shared" si="3"/>
        <v>111.48217919629906</v>
      </c>
    </row>
    <row r="47" spans="1:25" x14ac:dyDescent="0.25">
      <c r="L47" s="50" t="s">
        <v>41</v>
      </c>
      <c r="M47" s="51">
        <f>B40</f>
        <v>142.31201521680836</v>
      </c>
      <c r="P47" s="58">
        <v>45352</v>
      </c>
      <c r="Q47" s="6">
        <v>504.6</v>
      </c>
      <c r="R47" s="6">
        <v>5234.18</v>
      </c>
      <c r="S47" s="6">
        <v>16428.82</v>
      </c>
      <c r="T47" s="6">
        <v>39807.370000000003</v>
      </c>
      <c r="U47" s="58">
        <v>45352</v>
      </c>
      <c r="V47" s="61">
        <f t="shared" si="0"/>
        <v>81.173688528545924</v>
      </c>
      <c r="W47" s="61">
        <f t="shared" si="1"/>
        <v>119.08692546060983</v>
      </c>
      <c r="X47" s="61">
        <f t="shared" si="2"/>
        <v>111.96877462058737</v>
      </c>
      <c r="Y47" s="61">
        <f t="shared" si="3"/>
        <v>113.53568225021426</v>
      </c>
    </row>
    <row r="48" spans="1:25" x14ac:dyDescent="0.25">
      <c r="L48" s="50" t="s">
        <v>31</v>
      </c>
      <c r="M48" s="51">
        <f>G40</f>
        <v>222.60696517412936</v>
      </c>
      <c r="P48" s="58">
        <v>45383</v>
      </c>
      <c r="Q48" s="6">
        <v>465.02</v>
      </c>
      <c r="R48" s="6">
        <v>4967.2299999999996</v>
      </c>
      <c r="S48" s="6">
        <v>15282.01</v>
      </c>
      <c r="T48" s="6">
        <v>37986.400000000001</v>
      </c>
      <c r="U48" s="58">
        <v>45383</v>
      </c>
      <c r="V48" s="61">
        <f t="shared" si="0"/>
        <v>74.806556955101911</v>
      </c>
      <c r="W48" s="61">
        <f t="shared" si="1"/>
        <v>113.01333709496137</v>
      </c>
      <c r="X48" s="61">
        <f t="shared" si="2"/>
        <v>104.15282007104361</v>
      </c>
      <c r="Y48" s="61">
        <f t="shared" si="3"/>
        <v>108.34204420511928</v>
      </c>
    </row>
    <row r="49" spans="12:25" x14ac:dyDescent="0.25">
      <c r="L49" s="50" t="s">
        <v>97</v>
      </c>
      <c r="M49" s="51">
        <f>-(G40-B40)</f>
        <v>-80.294949957320995</v>
      </c>
      <c r="P49" s="58">
        <v>45413</v>
      </c>
      <c r="Q49" s="6">
        <v>483.43</v>
      </c>
      <c r="R49" s="6">
        <v>5277.51</v>
      </c>
      <c r="S49" s="6">
        <v>16735.02</v>
      </c>
      <c r="T49" s="6">
        <v>38686.32</v>
      </c>
      <c r="U49" s="58">
        <v>45413</v>
      </c>
      <c r="V49" s="61">
        <f t="shared" si="0"/>
        <v>77.768125733957504</v>
      </c>
      <c r="W49" s="61">
        <f t="shared" si="1"/>
        <v>120.07276020076172</v>
      </c>
      <c r="X49" s="61">
        <f t="shared" si="2"/>
        <v>114.05564627593596</v>
      </c>
      <c r="Y49" s="61">
        <f t="shared" si="3"/>
        <v>110.33830506637612</v>
      </c>
    </row>
    <row r="50" spans="12:25" x14ac:dyDescent="0.25">
      <c r="L50" s="54" t="s">
        <v>96</v>
      </c>
      <c r="M50" s="57">
        <f>((B40-G40)/(G40))</f>
        <v>-0.36070277448197569</v>
      </c>
      <c r="P50" s="58">
        <v>45444</v>
      </c>
      <c r="Q50" s="6">
        <v>555.54</v>
      </c>
      <c r="R50" s="6">
        <v>5464.62</v>
      </c>
      <c r="S50" s="6">
        <v>17689.36</v>
      </c>
      <c r="T50" s="6">
        <v>39150.33</v>
      </c>
      <c r="U50" s="58">
        <v>45444</v>
      </c>
      <c r="V50" s="61">
        <f t="shared" si="0"/>
        <v>89.368273731962731</v>
      </c>
      <c r="W50" s="61">
        <f t="shared" si="1"/>
        <v>124.32984624345316</v>
      </c>
      <c r="X50" s="61">
        <f t="shared" si="2"/>
        <v>120.55984319156418</v>
      </c>
      <c r="Y50" s="61">
        <f t="shared" si="3"/>
        <v>111.66172060276855</v>
      </c>
    </row>
    <row r="51" spans="12:25" x14ac:dyDescent="0.25">
      <c r="P51" s="58">
        <v>45474</v>
      </c>
      <c r="Q51" s="6">
        <v>526.16999999999996</v>
      </c>
      <c r="R51" s="6">
        <v>5459.1</v>
      </c>
      <c r="S51" s="6">
        <v>17357.88</v>
      </c>
      <c r="T51" s="6">
        <v>40287.53</v>
      </c>
      <c r="U51" s="58">
        <v>45474</v>
      </c>
      <c r="V51" s="61">
        <f t="shared" si="0"/>
        <v>84.643598281936193</v>
      </c>
      <c r="W51" s="61">
        <f t="shared" si="1"/>
        <v>124.20425640348923</v>
      </c>
      <c r="X51" s="61">
        <f t="shared" si="2"/>
        <v>118.30067853998042</v>
      </c>
      <c r="Y51" s="61">
        <f t="shared" si="3"/>
        <v>114.90515964068902</v>
      </c>
    </row>
    <row r="52" spans="12:25" x14ac:dyDescent="0.25">
      <c r="P52" s="58">
        <v>45505</v>
      </c>
      <c r="Q52" s="6">
        <v>574.41</v>
      </c>
      <c r="R52" s="6">
        <v>5648.4</v>
      </c>
      <c r="S52" s="6">
        <v>17877.79</v>
      </c>
      <c r="T52" s="6">
        <v>41175.08</v>
      </c>
      <c r="U52" s="58">
        <v>45505</v>
      </c>
      <c r="V52" s="61">
        <f t="shared" si="0"/>
        <v>92.403841513440469</v>
      </c>
      <c r="W52" s="61">
        <f t="shared" si="1"/>
        <v>128.51116885007937</v>
      </c>
      <c r="X52" s="61">
        <f t="shared" si="2"/>
        <v>121.84406665994216</v>
      </c>
      <c r="Y52" s="61">
        <f t="shared" si="3"/>
        <v>117.43656512618523</v>
      </c>
    </row>
    <row r="53" spans="12:25" x14ac:dyDescent="0.25">
      <c r="P53" s="58">
        <v>45536</v>
      </c>
      <c r="Q53" s="6">
        <v>507.22</v>
      </c>
      <c r="R53" s="6">
        <v>5751.07</v>
      </c>
      <c r="S53" s="6">
        <v>18137.849999999999</v>
      </c>
      <c r="T53" s="6">
        <v>42313</v>
      </c>
      <c r="U53" s="58">
        <v>45536</v>
      </c>
      <c r="V53" s="61">
        <f t="shared" si="0"/>
        <v>81.595161108698093</v>
      </c>
      <c r="W53" s="61">
        <f t="shared" si="1"/>
        <v>130.84709436984389</v>
      </c>
      <c r="X53" s="61">
        <f t="shared" si="2"/>
        <v>123.61647633561148</v>
      </c>
      <c r="Y53" s="61">
        <f t="shared" si="3"/>
        <v>120.68205769568088</v>
      </c>
    </row>
    <row r="54" spans="12:25" x14ac:dyDescent="0.25">
      <c r="P54" s="58">
        <v>45566</v>
      </c>
      <c r="Q54" s="6">
        <v>482.8</v>
      </c>
      <c r="R54" s="6">
        <v>5728.8</v>
      </c>
      <c r="S54" s="6">
        <v>18518.61</v>
      </c>
      <c r="T54" s="6">
        <v>42052.19</v>
      </c>
      <c r="U54" s="58">
        <v>45566</v>
      </c>
      <c r="V54" s="61">
        <f t="shared" si="0"/>
        <v>77.666779273844583</v>
      </c>
      <c r="W54" s="61">
        <f t="shared" si="1"/>
        <v>130.34041217129362</v>
      </c>
      <c r="X54" s="61">
        <f t="shared" si="2"/>
        <v>126.21150328365371</v>
      </c>
      <c r="Y54" s="61">
        <f t="shared" si="3"/>
        <v>119.93819440384124</v>
      </c>
    </row>
    <row r="55" spans="12:25" x14ac:dyDescent="0.25">
      <c r="P55" s="58">
        <v>45597</v>
      </c>
      <c r="Q55" s="6">
        <v>515.92999999999995</v>
      </c>
      <c r="R55" s="6">
        <v>5969.34</v>
      </c>
      <c r="S55" s="6">
        <v>19003.650000000001</v>
      </c>
      <c r="T55" s="6">
        <v>44296.51</v>
      </c>
      <c r="U55" s="58">
        <v>45597</v>
      </c>
      <c r="V55" s="61">
        <f t="shared" si="0"/>
        <v>82.996316136608584</v>
      </c>
      <c r="W55" s="61">
        <f t="shared" si="1"/>
        <v>135.81312595841882</v>
      </c>
      <c r="X55" s="61">
        <f t="shared" si="2"/>
        <v>129.51723884116603</v>
      </c>
      <c r="Y55" s="61">
        <f t="shared" si="3"/>
        <v>126.33928049387433</v>
      </c>
    </row>
    <row r="56" spans="12:25" x14ac:dyDescent="0.25">
      <c r="P56" s="58">
        <v>45627</v>
      </c>
      <c r="Q56" s="6">
        <v>446.48</v>
      </c>
      <c r="R56" s="6">
        <v>5942.47</v>
      </c>
      <c r="S56" s="6">
        <v>19722.03</v>
      </c>
      <c r="T56" s="6">
        <v>42840.26</v>
      </c>
      <c r="U56" s="58">
        <v>45627</v>
      </c>
      <c r="V56" s="61">
        <f t="shared" si="0"/>
        <v>71.824075414635729</v>
      </c>
      <c r="W56" s="61">
        <f t="shared" si="1"/>
        <v>135.20178555989861</v>
      </c>
      <c r="X56" s="61">
        <f t="shared" si="2"/>
        <v>134.41327692009912</v>
      </c>
      <c r="Y56" s="61">
        <f t="shared" si="3"/>
        <v>122.18587027669912</v>
      </c>
    </row>
    <row r="57" spans="12:25" x14ac:dyDescent="0.25">
      <c r="P57" s="58">
        <v>45658</v>
      </c>
      <c r="Q57" s="6">
        <v>437.45</v>
      </c>
      <c r="R57" s="6">
        <v>6040.53</v>
      </c>
      <c r="S57" s="6">
        <v>19627.439999999999</v>
      </c>
      <c r="T57" s="6">
        <v>44424.25</v>
      </c>
      <c r="U57" s="58">
        <v>45658</v>
      </c>
      <c r="V57" s="61">
        <f t="shared" si="0"/>
        <v>70.371442819683736</v>
      </c>
      <c r="W57" s="61">
        <f t="shared" si="1"/>
        <v>137.43282536186709</v>
      </c>
      <c r="X57" s="61">
        <f t="shared" si="2"/>
        <v>133.76860941559414</v>
      </c>
      <c r="Y57" s="61">
        <f t="shared" si="3"/>
        <v>126.70361122083878</v>
      </c>
    </row>
    <row r="58" spans="12:25" x14ac:dyDescent="0.25">
      <c r="P58" s="58">
        <v>45689</v>
      </c>
      <c r="Q58" s="6">
        <v>438.56</v>
      </c>
      <c r="R58" s="6">
        <v>5954.5</v>
      </c>
      <c r="S58" s="6">
        <v>19524.009999999998</v>
      </c>
      <c r="T58" s="6">
        <v>43840.91</v>
      </c>
      <c r="U58" s="58">
        <v>45689</v>
      </c>
      <c r="V58" s="61">
        <f t="shared" si="0"/>
        <v>70.550005630358896</v>
      </c>
      <c r="W58" s="61">
        <f t="shared" si="1"/>
        <v>135.47548950460268</v>
      </c>
      <c r="X58" s="61">
        <f t="shared" si="2"/>
        <v>133.06369388550695</v>
      </c>
      <c r="Y58" s="61">
        <f t="shared" si="3"/>
        <v>125.03985134713098</v>
      </c>
    </row>
    <row r="59" spans="12:25" x14ac:dyDescent="0.25">
      <c r="P59" s="58">
        <v>45717</v>
      </c>
      <c r="Q59" s="6">
        <v>385.71</v>
      </c>
      <c r="R59" s="6">
        <v>5074.08</v>
      </c>
      <c r="S59" s="6">
        <v>15587.79</v>
      </c>
      <c r="T59" s="6">
        <v>38314.86</v>
      </c>
      <c r="U59" s="58">
        <v>45717</v>
      </c>
      <c r="V59" s="61">
        <f t="shared" si="0"/>
        <v>62.048163698663195</v>
      </c>
      <c r="W59" s="61">
        <f t="shared" si="1"/>
        <v>115.4443650660029</v>
      </c>
      <c r="X59" s="61">
        <f t="shared" si="2"/>
        <v>106.23682926363827</v>
      </c>
      <c r="Y59" s="61">
        <f t="shared" si="3"/>
        <v>109.27885390121087</v>
      </c>
    </row>
    <row r="60" spans="12:25" x14ac:dyDescent="0.25">
      <c r="P60" s="58">
        <v>45748</v>
      </c>
      <c r="Q60" s="6">
        <v>348.8</v>
      </c>
      <c r="R60" s="6">
        <v>5282.7</v>
      </c>
      <c r="S60" s="6">
        <v>16286.45</v>
      </c>
      <c r="T60" s="6">
        <v>39142.230000000003</v>
      </c>
      <c r="U60" s="58">
        <v>45748</v>
      </c>
      <c r="V60" s="61">
        <f t="shared" si="0"/>
        <v>56.110548075221601</v>
      </c>
      <c r="W60" s="61">
        <f t="shared" si="1"/>
        <v>120.19084195246697</v>
      </c>
      <c r="X60" s="61">
        <f t="shared" si="2"/>
        <v>110.99846790088792</v>
      </c>
      <c r="Y60" s="61">
        <f t="shared" si="3"/>
        <v>111.63861837254771</v>
      </c>
    </row>
    <row r="61" spans="12:25" x14ac:dyDescent="0.25">
      <c r="P61" s="58">
        <v>45778</v>
      </c>
      <c r="Q61" s="6">
        <v>415.09</v>
      </c>
      <c r="R61" s="6">
        <v>5802.82</v>
      </c>
      <c r="S61" s="6">
        <v>19113.77</v>
      </c>
      <c r="T61" s="6">
        <v>41603.07</v>
      </c>
      <c r="U61" s="58">
        <v>45778</v>
      </c>
      <c r="V61" s="61">
        <f t="shared" si="0"/>
        <v>66.774447822659781</v>
      </c>
      <c r="W61" s="61">
        <f t="shared" si="1"/>
        <v>132.024499119506</v>
      </c>
      <c r="X61" s="61">
        <f t="shared" si="2"/>
        <v>130.26774931369047</v>
      </c>
      <c r="Y61" s="61">
        <f t="shared" si="3"/>
        <v>118.65724704127454</v>
      </c>
    </row>
    <row r="62" spans="12:25" x14ac:dyDescent="0.25">
      <c r="P62" s="58">
        <v>45809</v>
      </c>
      <c r="Q62" s="6">
        <v>385.83</v>
      </c>
      <c r="R62" s="6">
        <v>6279.35</v>
      </c>
      <c r="S62" s="6">
        <v>19447.41</v>
      </c>
      <c r="T62" s="6">
        <v>42206.82</v>
      </c>
      <c r="U62" s="58">
        <v>45809</v>
      </c>
      <c r="V62" s="61">
        <f t="shared" si="0"/>
        <v>62.067467786303745</v>
      </c>
      <c r="W62" s="61">
        <f t="shared" si="1"/>
        <v>142.8664060829166</v>
      </c>
      <c r="X62" s="61">
        <f t="shared" si="2"/>
        <v>132.54163520229434</v>
      </c>
      <c r="Y62" s="61">
        <f t="shared" si="3"/>
        <v>120.37921883088454</v>
      </c>
    </row>
    <row r="63" spans="12:25" x14ac:dyDescent="0.25">
      <c r="P63" s="58">
        <v>45839</v>
      </c>
      <c r="Q63" s="6">
        <v>370.74</v>
      </c>
      <c r="R63" s="6">
        <v>6238.01</v>
      </c>
      <c r="S63" s="6">
        <v>20650.13</v>
      </c>
      <c r="T63" s="6">
        <v>44901.919999999998</v>
      </c>
      <c r="U63" s="58">
        <v>45839</v>
      </c>
      <c r="V63" s="61">
        <f t="shared" si="0"/>
        <v>59.639978765503599</v>
      </c>
      <c r="W63" s="61">
        <f t="shared" si="1"/>
        <v>141.92584739014302</v>
      </c>
      <c r="X63" s="61">
        <f t="shared" si="2"/>
        <v>140.73863806748324</v>
      </c>
      <c r="Y63" s="61">
        <f t="shared" si="3"/>
        <v>128.065986814616</v>
      </c>
    </row>
    <row r="64" spans="12:25" x14ac:dyDescent="0.25">
      <c r="P64" s="58">
        <v>45870</v>
      </c>
      <c r="Q64" s="6">
        <v>356.7</v>
      </c>
      <c r="R64" s="6">
        <v>6460.26</v>
      </c>
      <c r="S64" s="6">
        <v>21496.54</v>
      </c>
      <c r="T64" s="6">
        <v>45544.88</v>
      </c>
      <c r="U64" s="58">
        <v>45870</v>
      </c>
      <c r="V64" s="61">
        <f t="shared" si="0"/>
        <v>57.381400511558326</v>
      </c>
      <c r="W64" s="61">
        <f t="shared" si="1"/>
        <v>146.9824310734746</v>
      </c>
      <c r="X64" s="61">
        <f t="shared" si="2"/>
        <v>146.50725020923241</v>
      </c>
      <c r="Y64" s="61">
        <f t="shared" si="3"/>
        <v>129.89979051125803</v>
      </c>
    </row>
    <row r="65" spans="16:25" x14ac:dyDescent="0.25">
      <c r="P65" s="58">
        <v>45901</v>
      </c>
      <c r="Q65" s="6">
        <v>346.74</v>
      </c>
      <c r="R65" s="6">
        <v>6715.79</v>
      </c>
      <c r="S65" s="6">
        <v>22780.51</v>
      </c>
      <c r="T65" s="6">
        <v>46758.28</v>
      </c>
      <c r="U65" s="58">
        <v>45901</v>
      </c>
      <c r="V65" s="61">
        <f t="shared" si="0"/>
        <v>55.779161237392017</v>
      </c>
      <c r="W65" s="61">
        <f t="shared" si="1"/>
        <v>152.79619408180628</v>
      </c>
      <c r="X65" s="61">
        <f t="shared" si="2"/>
        <v>155.25800330955215</v>
      </c>
      <c r="Y65" s="61">
        <f t="shared" si="3"/>
        <v>133.36056164088578</v>
      </c>
    </row>
    <row r="66" spans="16:25" x14ac:dyDescent="0.25">
      <c r="P66" s="58">
        <v>45931</v>
      </c>
      <c r="Q66" s="6">
        <v>340.31</v>
      </c>
      <c r="R66" s="6">
        <v>6840.2</v>
      </c>
      <c r="S66" s="6">
        <v>23204.87</v>
      </c>
      <c r="T66" s="6">
        <v>47207.12</v>
      </c>
      <c r="U66" s="58">
        <v>45931</v>
      </c>
      <c r="V66" s="61">
        <f t="shared" si="0"/>
        <v>54.744783874652128</v>
      </c>
      <c r="W66" s="61">
        <f t="shared" si="1"/>
        <v>155.62674335534189</v>
      </c>
      <c r="X66" s="61">
        <f t="shared" si="2"/>
        <v>158.15018115300001</v>
      </c>
      <c r="Y66" s="61">
        <f t="shared" si="3"/>
        <v>134.64071040783992</v>
      </c>
    </row>
    <row r="67" spans="16:25" x14ac:dyDescent="0.25">
      <c r="P67" s="58">
        <v>45962</v>
      </c>
      <c r="Q67" s="6">
        <v>324.19</v>
      </c>
      <c r="R67" s="6">
        <v>6849.09</v>
      </c>
      <c r="S67" s="6">
        <v>23365.69</v>
      </c>
      <c r="T67" s="6">
        <v>46245.41</v>
      </c>
      <c r="U67" s="58">
        <v>45962</v>
      </c>
      <c r="V67" s="61">
        <f t="shared" si="0"/>
        <v>52.151601434937177</v>
      </c>
      <c r="W67" s="61">
        <f t="shared" si="1"/>
        <v>155.82900670267514</v>
      </c>
      <c r="X67" s="61">
        <f t="shared" si="2"/>
        <v>159.24623177224612</v>
      </c>
      <c r="Y67" s="61">
        <f t="shared" si="3"/>
        <v>131.89779117009942</v>
      </c>
    </row>
    <row r="68" spans="16:25" x14ac:dyDescent="0.25">
      <c r="P68" s="58">
        <v>45992</v>
      </c>
      <c r="Q68" s="6">
        <v>355.86</v>
      </c>
      <c r="R68" s="6">
        <v>6929.94</v>
      </c>
      <c r="S68" s="6">
        <v>23593.1</v>
      </c>
      <c r="T68" s="6">
        <v>48134.89</v>
      </c>
      <c r="U68" s="58">
        <v>45992</v>
      </c>
      <c r="V68" s="61">
        <f t="shared" si="0"/>
        <v>57.246271898074419</v>
      </c>
      <c r="W68" s="61">
        <f t="shared" si="1"/>
        <v>157.66848832606033</v>
      </c>
      <c r="X68" s="61">
        <f t="shared" si="2"/>
        <v>160.7961190457367</v>
      </c>
      <c r="Y68" s="61">
        <f t="shared" si="3"/>
        <v>137.28682844882783</v>
      </c>
    </row>
    <row r="69" spans="16:25" x14ac:dyDescent="0.25">
      <c r="P69" s="58">
        <v>46023</v>
      </c>
      <c r="Q69" s="6">
        <v>301.07</v>
      </c>
      <c r="R69" s="6">
        <v>6939.03</v>
      </c>
      <c r="S69" s="6">
        <v>23461.82</v>
      </c>
      <c r="T69" s="6">
        <v>49098.71</v>
      </c>
      <c r="U69" s="58">
        <v>46023</v>
      </c>
      <c r="V69" s="61">
        <f t="shared" si="0"/>
        <v>48.43234721618969</v>
      </c>
      <c r="W69" s="61">
        <f t="shared" si="1"/>
        <v>157.87530202991402</v>
      </c>
      <c r="X69" s="61">
        <f t="shared" si="2"/>
        <v>159.90139497351541</v>
      </c>
      <c r="Y69" s="61">
        <f t="shared" si="3"/>
        <v>140.03576567493451</v>
      </c>
    </row>
    <row r="70" spans="16:25" x14ac:dyDescent="0.25">
      <c r="P70" s="58">
        <v>46054</v>
      </c>
      <c r="Q70" s="6">
        <v>258.61</v>
      </c>
      <c r="R70" s="6">
        <v>6909.51</v>
      </c>
      <c r="S70" s="6">
        <v>22668.21</v>
      </c>
      <c r="T70" s="6">
        <v>48977.919999999998</v>
      </c>
      <c r="U70" s="58">
        <v>46054</v>
      </c>
      <c r="V70" s="61">
        <f t="shared" si="0"/>
        <v>41.601917539372295</v>
      </c>
      <c r="W70" s="61">
        <f t="shared" si="1"/>
        <v>157.20366940749807</v>
      </c>
      <c r="X70" s="61">
        <f t="shared" si="2"/>
        <v>154.49263529225743</v>
      </c>
      <c r="Y70" s="61">
        <f t="shared" si="3"/>
        <v>139.69125723192499</v>
      </c>
    </row>
    <row r="71" spans="16:25" x14ac:dyDescent="0.25">
      <c r="P71" s="58">
        <v>46082</v>
      </c>
      <c r="Q71" s="6">
        <v>348.15</v>
      </c>
      <c r="R71" s="6">
        <v>6368.85</v>
      </c>
      <c r="S71" s="6">
        <v>20948.36</v>
      </c>
      <c r="T71" s="6">
        <v>45577.47</v>
      </c>
      <c r="U71" s="58">
        <v>46082</v>
      </c>
      <c r="V71" s="61">
        <f t="shared" si="0"/>
        <v>56.005984267168571</v>
      </c>
      <c r="W71" s="61">
        <f t="shared" si="1"/>
        <v>144.90269062581055</v>
      </c>
      <c r="X71" s="61">
        <f t="shared" si="2"/>
        <v>142.77119108438268</v>
      </c>
      <c r="Y71" s="61">
        <f t="shared" si="3"/>
        <v>129.99274133630715</v>
      </c>
    </row>
    <row r="72" spans="16:25" x14ac:dyDescent="0.25">
      <c r="P72" s="58">
        <v>46113</v>
      </c>
      <c r="Q72" s="6">
        <v>250.71</v>
      </c>
      <c r="R72" s="6">
        <v>7123.06</v>
      </c>
      <c r="S72" s="6">
        <v>24468.48</v>
      </c>
      <c r="T72" s="6">
        <v>49447.43</v>
      </c>
      <c r="U72" s="58">
        <v>46113</v>
      </c>
      <c r="V72" s="61">
        <f t="shared" si="0"/>
        <v>40.33106510303557</v>
      </c>
      <c r="W72" s="61">
        <f t="shared" si="1"/>
        <v>162.06231258219083</v>
      </c>
      <c r="X72" s="61">
        <f t="shared" si="2"/>
        <v>166.76217296363035</v>
      </c>
      <c r="Y72" s="61">
        <f t="shared" si="3"/>
        <v>141.0303594678501</v>
      </c>
    </row>
    <row r="73" spans="16:25" x14ac:dyDescent="0.25">
      <c r="P73" s="58">
        <v>46143</v>
      </c>
      <c r="Q73" s="6">
        <v>259.20999999999998</v>
      </c>
      <c r="R73" s="6">
        <v>7473.47</v>
      </c>
      <c r="S73" s="6">
        <v>26343.97</v>
      </c>
      <c r="T73" s="6">
        <v>50579.7</v>
      </c>
      <c r="U73" s="58">
        <v>46143</v>
      </c>
      <c r="V73" s="61">
        <f t="shared" si="0"/>
        <v>41.698437977575082</v>
      </c>
      <c r="W73" s="61">
        <f t="shared" si="1"/>
        <v>170.03476472381612</v>
      </c>
      <c r="X73" s="61">
        <f t="shared" si="2"/>
        <v>179.54436408345308</v>
      </c>
      <c r="Y73" s="61">
        <f t="shared" si="3"/>
        <v>144.25973751873488</v>
      </c>
    </row>
    <row r="74" spans="16:25" x14ac:dyDescent="0.25">
      <c r="P74" s="58">
        <v>46174</v>
      </c>
      <c r="Q74" s="6">
        <v>202.73</v>
      </c>
      <c r="R74" s="6">
        <v>7425.29</v>
      </c>
      <c r="S74" s="6">
        <v>25883.49</v>
      </c>
      <c r="T74" s="6">
        <v>51200.15</v>
      </c>
      <c r="U74" s="58">
        <v>46174</v>
      </c>
      <c r="V74" s="61">
        <f t="shared" si="0"/>
        <v>32.6126473947525</v>
      </c>
      <c r="W74" s="61">
        <f t="shared" si="1"/>
        <v>168.93858383804371</v>
      </c>
      <c r="X74" s="61">
        <f t="shared" si="2"/>
        <v>176.40601444316923</v>
      </c>
      <c r="Y74" s="61">
        <f t="shared" si="3"/>
        <v>146.02933983238046</v>
      </c>
    </row>
    <row r="75" spans="16:25" x14ac:dyDescent="0.25">
      <c r="P75" s="58">
        <v>46204</v>
      </c>
      <c r="Q75" s="62">
        <v>218.07</v>
      </c>
      <c r="R75" s="6">
        <v>7483.24</v>
      </c>
      <c r="S75" s="6">
        <v>25832.67</v>
      </c>
      <c r="T75" s="6">
        <v>52900.07</v>
      </c>
      <c r="U75" s="58">
        <v>46204</v>
      </c>
      <c r="V75" s="61">
        <f t="shared" si="0"/>
        <v>35.080353264803819</v>
      </c>
      <c r="W75" s="61">
        <f t="shared" si="1"/>
        <v>170.25704963983927</v>
      </c>
      <c r="X75" s="61">
        <f t="shared" si="2"/>
        <v>176.0596564499464</v>
      </c>
      <c r="Y75" s="61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6594-B726-4AC7-9C15-A7395B654FD6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0.17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9.35E-2</v>
      </c>
      <c r="C7" s="41"/>
      <c r="P7">
        <v>2026</v>
      </c>
      <c r="Q7" s="26">
        <f>D28</f>
        <v>9080140000</v>
      </c>
      <c r="R7" s="26"/>
      <c r="S7" t="s">
        <v>41</v>
      </c>
      <c r="T7" s="16">
        <f>B40</f>
        <v>350.45585191814121</v>
      </c>
    </row>
    <row r="8" spans="1:26" x14ac:dyDescent="0.25">
      <c r="A8" s="40" t="s">
        <v>4</v>
      </c>
      <c r="B8" s="32">
        <v>3.5000000000000003E-2</v>
      </c>
      <c r="C8" s="41"/>
      <c r="P8">
        <v>2027</v>
      </c>
      <c r="Q8" s="26">
        <f>E28</f>
        <v>10442161000</v>
      </c>
      <c r="R8" s="26"/>
      <c r="S8" t="s">
        <v>55</v>
      </c>
      <c r="T8" s="16">
        <v>131.46</v>
      </c>
    </row>
    <row r="9" spans="1:26" x14ac:dyDescent="0.25">
      <c r="A9" s="40" t="s">
        <v>5</v>
      </c>
      <c r="B9" s="33" t="s">
        <v>99</v>
      </c>
      <c r="C9" s="41"/>
      <c r="P9">
        <v>2028</v>
      </c>
      <c r="Q9" s="26">
        <f>F28</f>
        <v>11590798710</v>
      </c>
      <c r="R9" s="26"/>
      <c r="S9" t="s">
        <v>8</v>
      </c>
      <c r="T9" s="16">
        <f>B12</f>
        <v>219</v>
      </c>
    </row>
    <row r="10" spans="1:26" x14ac:dyDescent="0.25">
      <c r="A10" s="40" t="s">
        <v>6</v>
      </c>
      <c r="B10" s="34">
        <v>46209</v>
      </c>
      <c r="C10" s="41"/>
      <c r="P10">
        <v>2029</v>
      </c>
      <c r="Q10" s="26">
        <f>G28</f>
        <v>12981694555.200001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14020230119.616005</v>
      </c>
      <c r="R11" s="26"/>
    </row>
    <row r="12" spans="1:26" x14ac:dyDescent="0.25">
      <c r="A12" s="40" t="s">
        <v>8</v>
      </c>
      <c r="B12" s="35">
        <v>219</v>
      </c>
      <c r="C12" s="41" t="s">
        <v>81</v>
      </c>
      <c r="P12">
        <v>2031</v>
      </c>
      <c r="Q12" s="26">
        <f>I28</f>
        <v>14861443926.792965</v>
      </c>
      <c r="R12" s="26"/>
    </row>
    <row r="13" spans="1:26" x14ac:dyDescent="0.25">
      <c r="A13" s="40" t="s">
        <v>9</v>
      </c>
      <c r="B13" s="36">
        <v>402000000</v>
      </c>
      <c r="C13" s="41"/>
    </row>
    <row r="14" spans="1:26" x14ac:dyDescent="0.25">
      <c r="A14" s="40" t="s">
        <v>10</v>
      </c>
      <c r="B14" s="35">
        <v>7080000000</v>
      </c>
      <c r="C14" s="41"/>
      <c r="P14" s="6" t="s">
        <v>16</v>
      </c>
      <c r="Q14" s="6" t="s">
        <v>94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95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5630000000</v>
      </c>
      <c r="C15" s="41"/>
      <c r="P15" s="58">
        <v>44378</v>
      </c>
      <c r="Q15" s="59">
        <v>621.63</v>
      </c>
      <c r="R15" s="6">
        <v>4395.26</v>
      </c>
      <c r="S15" s="6">
        <v>14672.68</v>
      </c>
      <c r="T15" s="6">
        <v>35061.550000000003</v>
      </c>
      <c r="U15" s="58">
        <v>44378</v>
      </c>
      <c r="V15" s="60">
        <f t="shared" ref="V15:V75" si="0">(Q15/$Q$15)*100</f>
        <v>100</v>
      </c>
      <c r="W15" s="60">
        <f>(R15/$R$15)*100</f>
        <v>100</v>
      </c>
      <c r="X15" s="60">
        <f>(S15/$S$15)*100</f>
        <v>100</v>
      </c>
      <c r="Y15" s="60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125</v>
      </c>
      <c r="C16" s="41"/>
      <c r="P16" s="58">
        <v>44409</v>
      </c>
      <c r="Q16" s="6">
        <v>666.59</v>
      </c>
      <c r="R16" s="6">
        <v>4509.37</v>
      </c>
      <c r="S16" s="6">
        <v>14714.66</v>
      </c>
      <c r="T16" s="6">
        <v>35120.080000000002</v>
      </c>
      <c r="U16" s="58">
        <v>44409</v>
      </c>
      <c r="V16" s="61">
        <f t="shared" si="0"/>
        <v>107.23259816932902</v>
      </c>
      <c r="W16" s="61">
        <f>(R16/$R$15)*100</f>
        <v>102.59620591273327</v>
      </c>
      <c r="X16" s="61">
        <f>(S16/$S$15)*100</f>
        <v>100.28610996764054</v>
      </c>
      <c r="Y16" s="61">
        <f>(T16/$T$15)*100</f>
        <v>100.16693500429959</v>
      </c>
      <c r="Z16" t="s">
        <v>74</v>
      </c>
    </row>
    <row r="17" spans="1:25" x14ac:dyDescent="0.25">
      <c r="A17" s="42" t="s">
        <v>80</v>
      </c>
      <c r="B17" s="43"/>
      <c r="C17" s="44"/>
      <c r="P17" s="58">
        <v>44440</v>
      </c>
      <c r="Q17" s="6">
        <v>577.47</v>
      </c>
      <c r="R17" s="6">
        <v>4455.4799999999996</v>
      </c>
      <c r="S17" s="6">
        <v>15047.7</v>
      </c>
      <c r="T17" s="6">
        <v>34326.46</v>
      </c>
      <c r="U17" s="58">
        <v>44440</v>
      </c>
      <c r="V17" s="61">
        <f t="shared" si="0"/>
        <v>92.896095748274703</v>
      </c>
      <c r="W17" s="61">
        <f>(R17/$R$15)*100</f>
        <v>101.37011234830247</v>
      </c>
      <c r="X17" s="61">
        <f>(S17/$S$15)*100</f>
        <v>102.55590662373881</v>
      </c>
      <c r="Y17" s="61">
        <f>(T17/$T$15)*100</f>
        <v>97.903429825549622</v>
      </c>
    </row>
    <row r="18" spans="1:25" x14ac:dyDescent="0.25">
      <c r="P18" s="58">
        <v>44470</v>
      </c>
      <c r="Q18" s="6">
        <v>650.36</v>
      </c>
      <c r="R18" s="6">
        <v>4544.8999999999996</v>
      </c>
      <c r="S18" s="6">
        <v>15498.39</v>
      </c>
      <c r="T18" s="6">
        <v>35677.019999999997</v>
      </c>
      <c r="U18" s="58">
        <v>44470</v>
      </c>
      <c r="V18" s="61">
        <f t="shared" si="0"/>
        <v>104.62172031594356</v>
      </c>
      <c r="W18" s="61">
        <f t="shared" ref="W18:W75" si="1">(R18/$R$15)*100</f>
        <v>103.40457674858823</v>
      </c>
      <c r="X18" s="61">
        <f t="shared" ref="X18:X75" si="2">(S18/$S$15)*100</f>
        <v>105.62753362030656</v>
      </c>
      <c r="Y18" s="61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8">
        <v>44501</v>
      </c>
      <c r="Q19" s="6">
        <v>662.1</v>
      </c>
      <c r="R19" s="6">
        <v>4594.62</v>
      </c>
      <c r="S19" s="6">
        <v>15085.47</v>
      </c>
      <c r="T19" s="6">
        <v>34889.339999999997</v>
      </c>
      <c r="U19" s="58">
        <v>44501</v>
      </c>
      <c r="V19" s="61">
        <f t="shared" si="0"/>
        <v>106.51030355677815</v>
      </c>
      <c r="W19" s="61">
        <f t="shared" si="1"/>
        <v>104.53579537956799</v>
      </c>
      <c r="X19" s="61">
        <f t="shared" si="2"/>
        <v>102.81332380996517</v>
      </c>
      <c r="Y19" s="61">
        <f t="shared" si="3"/>
        <v>99.508835176995873</v>
      </c>
    </row>
    <row r="20" spans="1:25" x14ac:dyDescent="0.25">
      <c r="A20" t="s">
        <v>16</v>
      </c>
      <c r="C20" s="7">
        <v>46209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262933238704.79858</v>
      </c>
      <c r="P20" s="58">
        <v>44531</v>
      </c>
      <c r="Q20" s="6">
        <v>567.05999999999995</v>
      </c>
      <c r="R20" s="6">
        <v>4766.18</v>
      </c>
      <c r="S20" s="6">
        <v>15653.37</v>
      </c>
      <c r="T20" s="6">
        <v>35950.559999999998</v>
      </c>
      <c r="U20" s="58">
        <v>44531</v>
      </c>
      <c r="V20" s="61">
        <f t="shared" si="0"/>
        <v>91.22146614545629</v>
      </c>
      <c r="W20" s="61">
        <f t="shared" si="1"/>
        <v>108.43909120279574</v>
      </c>
      <c r="X20" s="61">
        <f t="shared" si="2"/>
        <v>106.68378237649836</v>
      </c>
      <c r="Y20" s="61">
        <f t="shared" si="3"/>
        <v>102.53556959119035</v>
      </c>
    </row>
    <row r="21" spans="1:25" x14ac:dyDescent="0.25">
      <c r="A21" t="s">
        <v>18</v>
      </c>
      <c r="D21" s="5">
        <v>23770000000</v>
      </c>
      <c r="E21" s="5">
        <f>D21*1.15</f>
        <v>27335499999.999996</v>
      </c>
      <c r="F21" s="5">
        <f>E21*1.11</f>
        <v>30342405000</v>
      </c>
      <c r="G21" s="5">
        <f>F21*1.12</f>
        <v>33983493600.000004</v>
      </c>
      <c r="H21" s="5">
        <f>G21*1.08</f>
        <v>36702173088.000008</v>
      </c>
      <c r="I21" s="5">
        <f>H21*1.06</f>
        <v>38904303473.280006</v>
      </c>
      <c r="L21" t="s">
        <v>19</v>
      </c>
      <c r="M21" s="13">
        <f>(I22+I25)*11</f>
        <v>192576302192.73605</v>
      </c>
      <c r="P21" s="58">
        <v>44562</v>
      </c>
      <c r="Q21" s="6">
        <v>499.91</v>
      </c>
      <c r="R21" s="6">
        <v>4500.53</v>
      </c>
      <c r="S21" s="6">
        <v>13770.57</v>
      </c>
      <c r="T21" s="6">
        <v>34725.47</v>
      </c>
      <c r="U21" s="58">
        <v>44562</v>
      </c>
      <c r="V21" s="61">
        <f t="shared" si="0"/>
        <v>80.419220436594117</v>
      </c>
      <c r="W21" s="61">
        <f t="shared" si="1"/>
        <v>102.39508015453009</v>
      </c>
      <c r="X21" s="61">
        <f t="shared" si="2"/>
        <v>93.851770773982665</v>
      </c>
      <c r="Y21" s="61">
        <f t="shared" si="3"/>
        <v>99.041457094737666</v>
      </c>
    </row>
    <row r="22" spans="1:25" x14ac:dyDescent="0.25">
      <c r="A22" t="s">
        <v>77</v>
      </c>
      <c r="B22" t="s">
        <v>121</v>
      </c>
      <c r="C22" s="25">
        <v>0.4</v>
      </c>
      <c r="D22" s="5">
        <f>D21*$C$22</f>
        <v>9508000000</v>
      </c>
      <c r="E22" s="5">
        <f t="shared" ref="E22:I22" si="4">E21*$C$22</f>
        <v>10934200000</v>
      </c>
      <c r="F22" s="5">
        <f t="shared" si="4"/>
        <v>12136962000</v>
      </c>
      <c r="G22" s="5">
        <f t="shared" si="4"/>
        <v>13593397440.000002</v>
      </c>
      <c r="H22" s="5">
        <f t="shared" si="4"/>
        <v>14680869235.200005</v>
      </c>
      <c r="I22" s="5">
        <f t="shared" si="4"/>
        <v>15561721389.312004</v>
      </c>
      <c r="L22" t="s">
        <v>20</v>
      </c>
      <c r="M22" s="13">
        <f>(M20+M21)/2</f>
        <v>227754770448.76733</v>
      </c>
      <c r="P22" s="58">
        <v>44593</v>
      </c>
      <c r="Q22" s="6">
        <v>465.54</v>
      </c>
      <c r="R22" s="6">
        <v>4384.6499999999996</v>
      </c>
      <c r="S22" s="6">
        <v>13313.44</v>
      </c>
      <c r="T22" s="6">
        <v>34058.75</v>
      </c>
      <c r="U22" s="58">
        <v>44593</v>
      </c>
      <c r="V22" s="61">
        <f t="shared" si="0"/>
        <v>74.890208001544337</v>
      </c>
      <c r="W22" s="61">
        <f t="shared" si="1"/>
        <v>99.758603586590993</v>
      </c>
      <c r="X22" s="61">
        <f t="shared" si="2"/>
        <v>90.736252681854992</v>
      </c>
      <c r="Y22" s="61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1616360000</v>
      </c>
      <c r="E23" s="30">
        <f t="shared" ref="E23:I23" si="5">E22*$B$6</f>
        <v>1858814000.0000002</v>
      </c>
      <c r="F23" s="5">
        <f t="shared" si="5"/>
        <v>2063283540.0000002</v>
      </c>
      <c r="G23" s="30">
        <f t="shared" si="5"/>
        <v>2310877564.8000007</v>
      </c>
      <c r="H23" s="30">
        <f t="shared" si="5"/>
        <v>2495747769.9840012</v>
      </c>
      <c r="I23" s="5">
        <f t="shared" si="5"/>
        <v>2645492636.1830411</v>
      </c>
      <c r="P23" s="58">
        <v>44621</v>
      </c>
      <c r="Q23" s="6">
        <v>458.19</v>
      </c>
      <c r="R23" s="6">
        <v>4543.0600000000004</v>
      </c>
      <c r="S23" s="6">
        <v>14169.3</v>
      </c>
      <c r="T23" s="6">
        <v>34861.24</v>
      </c>
      <c r="U23" s="58">
        <v>44621</v>
      </c>
      <c r="V23" s="61">
        <f t="shared" si="0"/>
        <v>73.707832633560159</v>
      </c>
      <c r="W23" s="61">
        <f t="shared" si="1"/>
        <v>103.36271346860026</v>
      </c>
      <c r="X23" s="61">
        <f t="shared" si="2"/>
        <v>96.569270235567046</v>
      </c>
      <c r="Y23" s="61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7891640000</v>
      </c>
      <c r="E24" s="5">
        <f t="shared" ref="E24:I24" si="6">E22*(1-$B$6)</f>
        <v>9075386000</v>
      </c>
      <c r="F24" s="5">
        <f t="shared" si="6"/>
        <v>10073678460</v>
      </c>
      <c r="G24" s="5">
        <f t="shared" si="6"/>
        <v>11282519875.200001</v>
      </c>
      <c r="H24" s="5">
        <f t="shared" si="6"/>
        <v>12185121465.216003</v>
      </c>
      <c r="I24" s="5">
        <f t="shared" si="6"/>
        <v>12916228753.128963</v>
      </c>
      <c r="P24" s="58">
        <v>44652</v>
      </c>
      <c r="Q24" s="6">
        <v>395.95</v>
      </c>
      <c r="R24" s="6">
        <v>4271.78</v>
      </c>
      <c r="S24" s="6">
        <v>12839.29</v>
      </c>
      <c r="T24" s="6">
        <v>33811.4</v>
      </c>
      <c r="U24" s="58">
        <v>44652</v>
      </c>
      <c r="V24" s="61">
        <f t="shared" si="0"/>
        <v>63.695445843990797</v>
      </c>
      <c r="W24" s="61">
        <f t="shared" si="1"/>
        <v>97.190609884284413</v>
      </c>
      <c r="X24" s="61">
        <f t="shared" si="2"/>
        <v>87.504736694318979</v>
      </c>
      <c r="Y24" s="61">
        <f t="shared" si="3"/>
        <v>96.434413196222067</v>
      </c>
    </row>
    <row r="25" spans="1:25" x14ac:dyDescent="0.25">
      <c r="A25" s="4" t="s">
        <v>25</v>
      </c>
      <c r="B25" s="8" t="s">
        <v>82</v>
      </c>
      <c r="C25" s="25">
        <v>0.05</v>
      </c>
      <c r="D25" s="12">
        <f>D21*$C$25</f>
        <v>1188500000</v>
      </c>
      <c r="E25" s="12">
        <f t="shared" ref="E25:I25" si="7">E21*$C$25</f>
        <v>1366775000</v>
      </c>
      <c r="F25" s="12">
        <f t="shared" si="7"/>
        <v>1517120250</v>
      </c>
      <c r="G25" s="12">
        <f t="shared" si="7"/>
        <v>1699174680.0000002</v>
      </c>
      <c r="H25" s="12">
        <f t="shared" si="7"/>
        <v>1835108654.4000006</v>
      </c>
      <c r="I25" s="12">
        <f t="shared" si="7"/>
        <v>1945215173.6640005</v>
      </c>
      <c r="P25" s="58">
        <v>44682</v>
      </c>
      <c r="Q25" s="6">
        <v>429.76</v>
      </c>
      <c r="R25" s="6">
        <v>4158.24</v>
      </c>
      <c r="S25" s="6">
        <v>11354.62</v>
      </c>
      <c r="T25" s="6">
        <v>33212.959999999999</v>
      </c>
      <c r="U25" s="58">
        <v>44682</v>
      </c>
      <c r="V25" s="61">
        <f t="shared" si="0"/>
        <v>69.134372536717976</v>
      </c>
      <c r="W25" s="61">
        <f t="shared" si="1"/>
        <v>94.607372487634393</v>
      </c>
      <c r="X25" s="61">
        <f t="shared" si="2"/>
        <v>77.386135320882076</v>
      </c>
      <c r="Y25" s="61">
        <f t="shared" si="3"/>
        <v>94.727586201979079</v>
      </c>
    </row>
    <row r="26" spans="1:25" x14ac:dyDescent="0.25">
      <c r="A26" t="s">
        <v>26</v>
      </c>
      <c r="B26" t="s">
        <v>91</v>
      </c>
      <c r="C26" s="45">
        <v>0</v>
      </c>
      <c r="D26" s="10">
        <f>D21*$C$26</f>
        <v>0</v>
      </c>
      <c r="E26" s="10">
        <f t="shared" ref="E26:I26" si="8">E21*$C$26</f>
        <v>0</v>
      </c>
      <c r="F26" s="10">
        <f t="shared" si="8"/>
        <v>0</v>
      </c>
      <c r="G26" s="10">
        <f t="shared" si="8"/>
        <v>0</v>
      </c>
      <c r="H26" s="10">
        <f t="shared" si="8"/>
        <v>0</v>
      </c>
      <c r="I26" s="10">
        <f t="shared" si="8"/>
        <v>0</v>
      </c>
      <c r="P26" s="58">
        <v>44713</v>
      </c>
      <c r="Q26" s="6">
        <v>368.48</v>
      </c>
      <c r="R26" s="6">
        <v>3911.74</v>
      </c>
      <c r="S26" s="6">
        <v>11127.85</v>
      </c>
      <c r="T26" s="6">
        <v>31097.26</v>
      </c>
      <c r="U26" s="58">
        <v>44713</v>
      </c>
      <c r="V26" s="61">
        <f t="shared" si="0"/>
        <v>59.276418448273091</v>
      </c>
      <c r="W26" s="61">
        <f t="shared" si="1"/>
        <v>88.999058076200271</v>
      </c>
      <c r="X26" s="61">
        <f t="shared" si="2"/>
        <v>75.840609895397435</v>
      </c>
      <c r="Y26" s="61">
        <f t="shared" si="3"/>
        <v>88.693340710835642</v>
      </c>
    </row>
    <row r="27" spans="1:25" x14ac:dyDescent="0.25">
      <c r="A27" t="s">
        <v>27</v>
      </c>
      <c r="B27" t="s">
        <v>91</v>
      </c>
      <c r="C27" s="45">
        <v>0</v>
      </c>
      <c r="D27" s="10">
        <f>D21*$C$27</f>
        <v>0</v>
      </c>
      <c r="E27" s="10">
        <f t="shared" ref="E27:I27" si="9">E21*$C$27</f>
        <v>0</v>
      </c>
      <c r="F27" s="10">
        <f t="shared" si="9"/>
        <v>0</v>
      </c>
      <c r="G27" s="10">
        <f t="shared" si="9"/>
        <v>0</v>
      </c>
      <c r="H27" s="10">
        <f t="shared" si="9"/>
        <v>0</v>
      </c>
      <c r="I27" s="10">
        <f t="shared" si="9"/>
        <v>0</v>
      </c>
      <c r="P27" s="58">
        <v>44743</v>
      </c>
      <c r="Q27" s="61">
        <v>410.12</v>
      </c>
      <c r="R27" s="6">
        <v>4130.29</v>
      </c>
      <c r="S27" s="6">
        <v>12390.69</v>
      </c>
      <c r="T27" s="6">
        <v>32845.129999999997</v>
      </c>
      <c r="U27" s="58">
        <v>44743</v>
      </c>
      <c r="V27" s="61">
        <f t="shared" si="0"/>
        <v>65.974936859546673</v>
      </c>
      <c r="W27" s="61">
        <f t="shared" si="1"/>
        <v>93.971460163903842</v>
      </c>
      <c r="X27" s="61">
        <f t="shared" si="2"/>
        <v>84.447353857645638</v>
      </c>
      <c r="Y27" s="61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9080140000</v>
      </c>
      <c r="E28" s="12">
        <f t="shared" ref="E28:I28" si="10">E24+E25-E26-E27</f>
        <v>10442161000</v>
      </c>
      <c r="F28" s="12">
        <f t="shared" si="10"/>
        <v>11590798710</v>
      </c>
      <c r="G28" s="12">
        <f t="shared" si="10"/>
        <v>12981694555.200001</v>
      </c>
      <c r="H28" s="12">
        <f t="shared" si="10"/>
        <v>14020230119.616005</v>
      </c>
      <c r="I28" s="12">
        <f t="shared" si="10"/>
        <v>14861443926.792965</v>
      </c>
      <c r="P28" s="58">
        <v>44774</v>
      </c>
      <c r="Q28" s="6">
        <v>368.14</v>
      </c>
      <c r="R28" s="6">
        <v>3924.26</v>
      </c>
      <c r="S28" s="6">
        <v>12141.71</v>
      </c>
      <c r="T28" s="6">
        <v>31318.44</v>
      </c>
      <c r="U28" s="58">
        <v>44774</v>
      </c>
      <c r="V28" s="61">
        <f t="shared" si="0"/>
        <v>59.221723533291502</v>
      </c>
      <c r="W28" s="61">
        <f t="shared" si="1"/>
        <v>89.28391039437939</v>
      </c>
      <c r="X28" s="61">
        <f t="shared" si="2"/>
        <v>82.750458675579367</v>
      </c>
      <c r="Y28" s="61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8">
        <v>44805</v>
      </c>
      <c r="Q29" s="6">
        <v>275.2</v>
      </c>
      <c r="R29" s="6">
        <v>3585.62</v>
      </c>
      <c r="S29" s="6">
        <v>10867.93</v>
      </c>
      <c r="T29" s="6">
        <v>30822.42</v>
      </c>
      <c r="U29" s="58">
        <v>44805</v>
      </c>
      <c r="V29" s="61">
        <f t="shared" si="0"/>
        <v>44.270707655679416</v>
      </c>
      <c r="W29" s="61">
        <f t="shared" si="1"/>
        <v>81.579246733981606</v>
      </c>
      <c r="X29" s="61">
        <f t="shared" si="2"/>
        <v>74.069154373979401</v>
      </c>
      <c r="Y29" s="61">
        <f t="shared" si="3"/>
        <v>87.90946207455174</v>
      </c>
    </row>
    <row r="30" spans="1:25" x14ac:dyDescent="0.25">
      <c r="A30" t="s">
        <v>36</v>
      </c>
      <c r="C30" s="13">
        <f>-G39</f>
        <v>-89488000000</v>
      </c>
      <c r="D30" s="5">
        <f>D28</f>
        <v>9080140000</v>
      </c>
      <c r="E30" s="5">
        <f t="shared" ref="E30:I30" si="11">E28</f>
        <v>10442161000</v>
      </c>
      <c r="F30" s="5">
        <f t="shared" si="11"/>
        <v>11590798710</v>
      </c>
      <c r="G30" s="5">
        <f t="shared" si="11"/>
        <v>12981694555.200001</v>
      </c>
      <c r="H30" s="5">
        <f t="shared" si="11"/>
        <v>14020230119.616005</v>
      </c>
      <c r="I30" s="5">
        <f t="shared" si="11"/>
        <v>14861443926.792965</v>
      </c>
      <c r="J30" s="13">
        <f>I28+M22</f>
        <v>242616214375.5603</v>
      </c>
      <c r="K30" t="s">
        <v>38</v>
      </c>
      <c r="P30" s="58">
        <v>44835</v>
      </c>
      <c r="Q30" s="6">
        <v>285.75</v>
      </c>
      <c r="R30" s="6">
        <v>3901.06</v>
      </c>
      <c r="S30" s="6">
        <v>11102.45</v>
      </c>
      <c r="T30" s="6">
        <v>32861.800000000003</v>
      </c>
      <c r="U30" s="58">
        <v>44835</v>
      </c>
      <c r="V30" s="61">
        <f t="shared" si="0"/>
        <v>45.967858694078473</v>
      </c>
      <c r="W30" s="61">
        <f t="shared" si="1"/>
        <v>88.756069038009116</v>
      </c>
      <c r="X30" s="61">
        <f t="shared" si="2"/>
        <v>75.667499052661142</v>
      </c>
      <c r="Y30" s="61">
        <f t="shared" si="3"/>
        <v>93.726033218725362</v>
      </c>
    </row>
    <row r="31" spans="1:25" x14ac:dyDescent="0.25">
      <c r="A31" t="s">
        <v>37</v>
      </c>
      <c r="D31" s="6">
        <f>1/(1+$B$7)^D29</f>
        <v>0.95629218424874496</v>
      </c>
      <c r="E31" s="6">
        <f t="shared" ref="E31:I31" si="12">1/(1+$B$7)^E29</f>
        <v>0.87452417398147697</v>
      </c>
      <c r="F31" s="6">
        <f t="shared" si="12"/>
        <v>0.79974775855644908</v>
      </c>
      <c r="G31" s="6">
        <f t="shared" si="12"/>
        <v>0.73136511985043362</v>
      </c>
      <c r="H31" s="6">
        <f t="shared" si="12"/>
        <v>0.66882955633327257</v>
      </c>
      <c r="I31" s="6">
        <f t="shared" si="12"/>
        <v>0.63959647731606417</v>
      </c>
      <c r="J31" t="s">
        <v>39</v>
      </c>
      <c r="P31" s="58">
        <v>44866</v>
      </c>
      <c r="Q31" s="6">
        <v>341.53</v>
      </c>
      <c r="R31" s="6">
        <v>4026.12</v>
      </c>
      <c r="S31" s="6">
        <v>11226.36</v>
      </c>
      <c r="T31" s="6">
        <v>34429.879999999997</v>
      </c>
      <c r="U31" s="58">
        <v>44866</v>
      </c>
      <c r="V31" s="61">
        <f t="shared" si="0"/>
        <v>54.941042098997798</v>
      </c>
      <c r="W31" s="61">
        <f t="shared" si="1"/>
        <v>91.601406970236113</v>
      </c>
      <c r="X31" s="61">
        <f t="shared" si="2"/>
        <v>76.511993718938882</v>
      </c>
      <c r="Y31" s="61">
        <f t="shared" si="3"/>
        <v>98.198396819307746</v>
      </c>
    </row>
    <row r="32" spans="1:25" x14ac:dyDescent="0.25">
      <c r="A32" t="s">
        <v>40</v>
      </c>
      <c r="C32" s="13">
        <f>-G39</f>
        <v>-89488000000</v>
      </c>
      <c r="D32" s="5">
        <f>D30*D31</f>
        <v>8683266913.8843994</v>
      </c>
      <c r="E32" s="5">
        <f t="shared" ref="E32:I32" si="13">E30*E31</f>
        <v>9131922223.1065941</v>
      </c>
      <c r="F32" s="5">
        <f t="shared" si="13"/>
        <v>9269715288.2014809</v>
      </c>
      <c r="G32" s="5">
        <f t="shared" si="13"/>
        <v>9494358594.2255707</v>
      </c>
      <c r="H32" s="5">
        <f t="shared" si="13"/>
        <v>9377144290.5931568</v>
      </c>
      <c r="I32" s="5">
        <f t="shared" si="13"/>
        <v>9505327183.4069958</v>
      </c>
      <c r="J32" s="14">
        <f>M22</f>
        <v>227754770448.76733</v>
      </c>
      <c r="P32" s="58">
        <v>44896</v>
      </c>
      <c r="Q32" s="6">
        <v>338.45</v>
      </c>
      <c r="R32" s="6">
        <v>3839.5</v>
      </c>
      <c r="S32" s="6">
        <v>10466.48</v>
      </c>
      <c r="T32" s="6">
        <v>33203.93</v>
      </c>
      <c r="U32" s="58">
        <v>44896</v>
      </c>
      <c r="V32" s="61">
        <f t="shared" si="0"/>
        <v>54.445570516223476</v>
      </c>
      <c r="W32" s="61">
        <f t="shared" si="1"/>
        <v>87.355469301019724</v>
      </c>
      <c r="X32" s="61">
        <f t="shared" si="2"/>
        <v>71.333117058369695</v>
      </c>
      <c r="Y32" s="61">
        <f t="shared" si="3"/>
        <v>94.701831493473605</v>
      </c>
    </row>
    <row r="33" spans="1:25" x14ac:dyDescent="0.25">
      <c r="A33" t="s">
        <v>56</v>
      </c>
      <c r="C33" s="29">
        <v>-89488</v>
      </c>
      <c r="D33" s="46">
        <v>8683</v>
      </c>
      <c r="E33" s="24">
        <v>9132</v>
      </c>
      <c r="F33" s="24">
        <v>9270</v>
      </c>
      <c r="G33" s="24">
        <v>9494</v>
      </c>
      <c r="H33" s="24">
        <v>9377</v>
      </c>
      <c r="I33" s="24">
        <v>9505</v>
      </c>
      <c r="J33" s="24">
        <v>227755</v>
      </c>
      <c r="P33" s="58">
        <v>44927</v>
      </c>
      <c r="Q33" s="6">
        <v>370.71</v>
      </c>
      <c r="R33" s="6">
        <v>4070.56</v>
      </c>
      <c r="S33" s="6">
        <v>11140.43</v>
      </c>
      <c r="T33" s="6">
        <v>33375.49</v>
      </c>
      <c r="U33" s="58">
        <v>44927</v>
      </c>
      <c r="V33" s="61">
        <f t="shared" si="0"/>
        <v>59.635152743593459</v>
      </c>
      <c r="W33" s="61">
        <f t="shared" si="1"/>
        <v>92.61249618907641</v>
      </c>
      <c r="X33" s="61">
        <f t="shared" si="2"/>
        <v>75.92634747026446</v>
      </c>
      <c r="Y33" s="61">
        <f t="shared" si="3"/>
        <v>95.19114243380568</v>
      </c>
    </row>
    <row r="34" spans="1:25" x14ac:dyDescent="0.25">
      <c r="P34" s="58">
        <v>44958</v>
      </c>
      <c r="Q34" s="6">
        <v>344.04</v>
      </c>
      <c r="R34" s="6">
        <v>4045.64</v>
      </c>
      <c r="S34" s="6">
        <v>11689.01</v>
      </c>
      <c r="T34" s="6">
        <v>32816.92</v>
      </c>
      <c r="U34" s="58">
        <v>44958</v>
      </c>
      <c r="V34" s="61">
        <f t="shared" si="0"/>
        <v>55.344819265479472</v>
      </c>
      <c r="W34" s="61">
        <f t="shared" si="1"/>
        <v>92.045521766630415</v>
      </c>
      <c r="X34" s="61">
        <f t="shared" si="2"/>
        <v>79.665132750117905</v>
      </c>
      <c r="Y34" s="61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8">
        <v>44986</v>
      </c>
      <c r="Q35" s="6">
        <v>385.37</v>
      </c>
      <c r="R35" s="6">
        <v>3970.99</v>
      </c>
      <c r="S35" s="6">
        <v>11823.96</v>
      </c>
      <c r="T35" s="6">
        <v>33274.15</v>
      </c>
      <c r="U35" s="58">
        <v>44986</v>
      </c>
      <c r="V35" s="61">
        <f t="shared" si="0"/>
        <v>61.993468783681614</v>
      </c>
      <c r="W35" s="61">
        <f t="shared" si="1"/>
        <v>90.347101195378642</v>
      </c>
      <c r="X35" s="61">
        <f t="shared" si="2"/>
        <v>80.584869294498347</v>
      </c>
      <c r="Y35" s="61">
        <f t="shared" si="3"/>
        <v>94.902107864598108</v>
      </c>
    </row>
    <row r="36" spans="1:25" x14ac:dyDescent="0.25">
      <c r="A36" s="13" t="s">
        <v>42</v>
      </c>
      <c r="B36" s="17">
        <f>SUM(D32:I32)</f>
        <v>55461734493.418198</v>
      </c>
      <c r="C36" t="s">
        <v>45</v>
      </c>
      <c r="F36" t="s">
        <v>33</v>
      </c>
      <c r="G36" s="15">
        <f>B13*B12</f>
        <v>88038000000</v>
      </c>
      <c r="H36" t="s">
        <v>34</v>
      </c>
      <c r="L36" s="3" t="s">
        <v>51</v>
      </c>
      <c r="P36" s="58">
        <v>45017</v>
      </c>
      <c r="Q36" s="6">
        <v>377.56</v>
      </c>
      <c r="R36" s="6">
        <v>4133.5200000000004</v>
      </c>
      <c r="S36" s="6">
        <v>12072.46</v>
      </c>
      <c r="T36" s="6">
        <v>33808.959999999999</v>
      </c>
      <c r="U36" s="58">
        <v>45017</v>
      </c>
      <c r="V36" s="61">
        <f t="shared" si="0"/>
        <v>60.737094413075297</v>
      </c>
      <c r="W36" s="61">
        <f t="shared" si="1"/>
        <v>94.044948421708852</v>
      </c>
      <c r="X36" s="61">
        <f t="shared" si="2"/>
        <v>82.278493090560133</v>
      </c>
      <c r="Y36" s="61">
        <f t="shared" si="3"/>
        <v>96.427454005883931</v>
      </c>
    </row>
    <row r="37" spans="1:25" x14ac:dyDescent="0.25">
      <c r="A37" t="s">
        <v>11</v>
      </c>
      <c r="B37" s="19">
        <f>B15</f>
        <v>5630000000</v>
      </c>
      <c r="F37" t="s">
        <v>10</v>
      </c>
      <c r="G37" s="14">
        <f>B14</f>
        <v>7080000000</v>
      </c>
      <c r="L37" t="s">
        <v>52</v>
      </c>
      <c r="M37" s="21">
        <f>(B40/B12)-1</f>
        <v>0.60025503158968596</v>
      </c>
      <c r="P37" s="58">
        <v>45047</v>
      </c>
      <c r="Q37" s="6">
        <v>415.39</v>
      </c>
      <c r="R37" s="6">
        <v>4282.37</v>
      </c>
      <c r="S37" s="6">
        <v>13240.77</v>
      </c>
      <c r="T37" s="6">
        <v>33093.339999999997</v>
      </c>
      <c r="U37" s="58">
        <v>45047</v>
      </c>
      <c r="V37" s="61">
        <f t="shared" si="0"/>
        <v>66.822708041761175</v>
      </c>
      <c r="W37" s="61">
        <f t="shared" si="1"/>
        <v>97.431551262041367</v>
      </c>
      <c r="X37" s="61">
        <f t="shared" si="2"/>
        <v>90.24097847155393</v>
      </c>
      <c r="Y37" s="61">
        <f t="shared" si="3"/>
        <v>94.386414747779241</v>
      </c>
    </row>
    <row r="38" spans="1:25" x14ac:dyDescent="0.25">
      <c r="A38" t="s">
        <v>10</v>
      </c>
      <c r="B38" s="19">
        <f>B14</f>
        <v>7080000000</v>
      </c>
      <c r="C38" s="3"/>
      <c r="F38" t="s">
        <v>11</v>
      </c>
      <c r="G38" s="14">
        <f>B15</f>
        <v>5630000000</v>
      </c>
      <c r="L38" t="s">
        <v>53</v>
      </c>
      <c r="M38" s="23">
        <f>IRR(C33:J33)</f>
        <v>0.21048993532867777</v>
      </c>
      <c r="N38" t="s">
        <v>57</v>
      </c>
      <c r="P38" s="58">
        <v>45078</v>
      </c>
      <c r="Q38" s="6">
        <v>488.99</v>
      </c>
      <c r="R38" s="6">
        <v>4450.38</v>
      </c>
      <c r="S38" s="6">
        <v>13492.52</v>
      </c>
      <c r="T38" s="6">
        <v>33727.43</v>
      </c>
      <c r="U38" s="58">
        <v>45078</v>
      </c>
      <c r="V38" s="61">
        <f t="shared" si="0"/>
        <v>78.662548461303345</v>
      </c>
      <c r="W38" s="61">
        <f t="shared" si="1"/>
        <v>101.25407825703144</v>
      </c>
      <c r="X38" s="61">
        <f t="shared" si="2"/>
        <v>91.956752277020968</v>
      </c>
      <c r="Y38" s="61">
        <f t="shared" si="3"/>
        <v>96.194920076265873</v>
      </c>
    </row>
    <row r="39" spans="1:25" x14ac:dyDescent="0.25">
      <c r="A39" t="s">
        <v>44</v>
      </c>
      <c r="B39" s="17">
        <f>(((B36+B37)-B38)+(M22))/2</f>
        <v>140883252471.09277</v>
      </c>
      <c r="C39" t="s">
        <v>75</v>
      </c>
      <c r="F39" t="s">
        <v>30</v>
      </c>
      <c r="G39" s="13">
        <f>G36+G37-G38</f>
        <v>89488000000</v>
      </c>
      <c r="H39" t="s">
        <v>32</v>
      </c>
      <c r="P39" s="58">
        <v>45108</v>
      </c>
      <c r="Q39" s="6">
        <v>528.87</v>
      </c>
      <c r="R39" s="6">
        <v>4582.2299999999996</v>
      </c>
      <c r="S39" s="6">
        <v>14032.81</v>
      </c>
      <c r="T39" s="6">
        <v>35065.620000000003</v>
      </c>
      <c r="U39" s="58">
        <v>45108</v>
      </c>
      <c r="V39" s="61">
        <f t="shared" si="0"/>
        <v>85.077940253848752</v>
      </c>
      <c r="W39" s="61">
        <f t="shared" si="1"/>
        <v>104.25390079312713</v>
      </c>
      <c r="X39" s="61">
        <f t="shared" si="2"/>
        <v>95.639037994422281</v>
      </c>
      <c r="Y39" s="61">
        <f t="shared" si="3"/>
        <v>100.01160815765418</v>
      </c>
    </row>
    <row r="40" spans="1:25" x14ac:dyDescent="0.25">
      <c r="A40" t="s">
        <v>72</v>
      </c>
      <c r="B40" s="20">
        <f>B39/B13</f>
        <v>350.45585191814121</v>
      </c>
      <c r="C40" t="s">
        <v>76</v>
      </c>
      <c r="F40" t="s">
        <v>48</v>
      </c>
      <c r="G40" s="16">
        <f>G39/B13</f>
        <v>222.60696517412936</v>
      </c>
      <c r="H40" t="s">
        <v>49</v>
      </c>
      <c r="L40" s="48" t="s">
        <v>84</v>
      </c>
      <c r="M40" s="49"/>
      <c r="P40" s="58">
        <v>45139</v>
      </c>
      <c r="Q40" s="6">
        <v>525.05999999999995</v>
      </c>
      <c r="R40" s="6">
        <v>4515.7700000000004</v>
      </c>
      <c r="S40" s="6">
        <v>13590.65</v>
      </c>
      <c r="T40" s="6">
        <v>34837.71</v>
      </c>
      <c r="U40" s="58">
        <v>45139</v>
      </c>
      <c r="V40" s="61">
        <f t="shared" si="0"/>
        <v>84.465035471261032</v>
      </c>
      <c r="W40" s="61">
        <f t="shared" si="1"/>
        <v>102.74181732138715</v>
      </c>
      <c r="X40" s="61">
        <f t="shared" si="2"/>
        <v>92.625546253308869</v>
      </c>
      <c r="Y40" s="61">
        <f t="shared" si="3"/>
        <v>99.361579850291832</v>
      </c>
    </row>
    <row r="41" spans="1:25" x14ac:dyDescent="0.25">
      <c r="A41" t="s">
        <v>46</v>
      </c>
      <c r="B41" s="22">
        <f>(B40/B12)-1</f>
        <v>0.60025503158968596</v>
      </c>
      <c r="C41" t="s">
        <v>47</v>
      </c>
      <c r="F41" t="s">
        <v>46</v>
      </c>
      <c r="G41" s="21">
        <f>(G40/B12)-1</f>
        <v>1.647016061246287E-2</v>
      </c>
      <c r="H41" t="s">
        <v>50</v>
      </c>
      <c r="L41" s="50" t="s">
        <v>41</v>
      </c>
      <c r="M41" s="51">
        <f>B40</f>
        <v>350.45585191814121</v>
      </c>
      <c r="P41" s="58">
        <v>45170</v>
      </c>
      <c r="Q41" s="6">
        <v>512.9</v>
      </c>
      <c r="R41" s="6">
        <v>4320.0600000000004</v>
      </c>
      <c r="S41" s="6">
        <v>13211.81</v>
      </c>
      <c r="T41" s="6">
        <v>33507.5</v>
      </c>
      <c r="U41" s="58">
        <v>45170</v>
      </c>
      <c r="V41" s="61">
        <f t="shared" si="0"/>
        <v>82.508887923684497</v>
      </c>
      <c r="W41" s="61">
        <f t="shared" si="1"/>
        <v>98.289065948317059</v>
      </c>
      <c r="X41" s="61">
        <f t="shared" si="2"/>
        <v>90.04360484928452</v>
      </c>
      <c r="Y41" s="61">
        <f t="shared" si="3"/>
        <v>95.567651743861859</v>
      </c>
    </row>
    <row r="42" spans="1:25" x14ac:dyDescent="0.25">
      <c r="L42" s="50" t="s">
        <v>8</v>
      </c>
      <c r="M42" s="55">
        <f>B12</f>
        <v>219</v>
      </c>
      <c r="P42" s="58">
        <v>45200</v>
      </c>
      <c r="Q42" s="6">
        <v>508.12</v>
      </c>
      <c r="R42" s="6">
        <v>4117.37</v>
      </c>
      <c r="S42" s="6">
        <v>12643.01</v>
      </c>
      <c r="T42" s="6">
        <v>34061.32</v>
      </c>
      <c r="U42" s="58">
        <v>45200</v>
      </c>
      <c r="V42" s="61">
        <f t="shared" si="0"/>
        <v>81.739941766002289</v>
      </c>
      <c r="W42" s="61">
        <f t="shared" si="1"/>
        <v>93.677507132683829</v>
      </c>
      <c r="X42" s="61">
        <f t="shared" si="2"/>
        <v>86.16701243399298</v>
      </c>
      <c r="Y42" s="61">
        <f t="shared" si="3"/>
        <v>97.147216822986991</v>
      </c>
    </row>
    <row r="43" spans="1:25" x14ac:dyDescent="0.25">
      <c r="L43" s="50" t="s">
        <v>97</v>
      </c>
      <c r="M43" s="51">
        <f>(B40-B12)</f>
        <v>131.45585191814121</v>
      </c>
      <c r="P43" s="58">
        <v>45231</v>
      </c>
      <c r="Q43" s="6">
        <v>612.47</v>
      </c>
      <c r="R43" s="6">
        <v>4559.34</v>
      </c>
      <c r="S43" s="6">
        <v>14250.85</v>
      </c>
      <c r="T43" s="6">
        <v>36245.5</v>
      </c>
      <c r="U43" s="58">
        <v>45231</v>
      </c>
      <c r="V43" s="61">
        <f t="shared" si="0"/>
        <v>98.526454643437418</v>
      </c>
      <c r="W43" s="61">
        <f t="shared" si="1"/>
        <v>103.73311248936355</v>
      </c>
      <c r="X43" s="61">
        <f t="shared" si="2"/>
        <v>97.125065086950713</v>
      </c>
      <c r="Y43" s="61">
        <f t="shared" si="3"/>
        <v>103.37677598394821</v>
      </c>
    </row>
    <row r="44" spans="1:25" x14ac:dyDescent="0.25">
      <c r="L44" s="50" t="s">
        <v>96</v>
      </c>
      <c r="M44" s="56">
        <f>((B40-B12)/(B12))</f>
        <v>0.60025503158968585</v>
      </c>
      <c r="P44" s="58">
        <v>45261</v>
      </c>
      <c r="Q44" s="6">
        <v>596.6</v>
      </c>
      <c r="R44" s="6">
        <v>4769.83</v>
      </c>
      <c r="S44" s="6">
        <v>14992.97</v>
      </c>
      <c r="T44" s="6">
        <v>37689.54</v>
      </c>
      <c r="U44" s="58">
        <v>45261</v>
      </c>
      <c r="V44" s="61">
        <f t="shared" si="0"/>
        <v>95.973489052973633</v>
      </c>
      <c r="W44" s="61">
        <f t="shared" si="1"/>
        <v>108.52213520929364</v>
      </c>
      <c r="X44" s="61">
        <f t="shared" si="2"/>
        <v>102.18290046535465</v>
      </c>
      <c r="Y44" s="61">
        <f t="shared" si="3"/>
        <v>107.4953617281609</v>
      </c>
    </row>
    <row r="45" spans="1:25" x14ac:dyDescent="0.25">
      <c r="L45" s="50"/>
      <c r="M45" s="52"/>
      <c r="P45" s="58">
        <v>45292</v>
      </c>
      <c r="Q45" s="6">
        <v>613.92999999999995</v>
      </c>
      <c r="R45" s="6">
        <v>4958.6099999999997</v>
      </c>
      <c r="S45" s="6">
        <v>15628.95</v>
      </c>
      <c r="T45" s="6">
        <v>38109.43</v>
      </c>
      <c r="U45" s="58">
        <v>45292</v>
      </c>
      <c r="V45" s="61">
        <f t="shared" si="0"/>
        <v>98.7613210430642</v>
      </c>
      <c r="W45" s="61">
        <f t="shared" si="1"/>
        <v>112.8172167289307</v>
      </c>
      <c r="X45" s="61">
        <f t="shared" si="2"/>
        <v>106.51735061352119</v>
      </c>
      <c r="Y45" s="61">
        <f t="shared" si="3"/>
        <v>108.69294141302936</v>
      </c>
    </row>
    <row r="46" spans="1:25" x14ac:dyDescent="0.25">
      <c r="L46" s="53" t="s">
        <v>54</v>
      </c>
      <c r="M46" s="52"/>
      <c r="P46" s="58">
        <v>45323</v>
      </c>
      <c r="Q46" s="6">
        <v>570.92999999999995</v>
      </c>
      <c r="R46" s="6">
        <v>5137.08</v>
      </c>
      <c r="S46" s="6">
        <v>16274.94</v>
      </c>
      <c r="T46" s="6">
        <v>39087.379999999997</v>
      </c>
      <c r="U46" s="58">
        <v>45323</v>
      </c>
      <c r="V46" s="61">
        <f t="shared" si="0"/>
        <v>91.844022971864277</v>
      </c>
      <c r="W46" s="61">
        <f t="shared" si="1"/>
        <v>116.87772736993942</v>
      </c>
      <c r="X46" s="61">
        <f t="shared" si="2"/>
        <v>110.92002279065582</v>
      </c>
      <c r="Y46" s="61">
        <f t="shared" si="3"/>
        <v>111.48217919629906</v>
      </c>
    </row>
    <row r="47" spans="1:25" x14ac:dyDescent="0.25">
      <c r="L47" s="50" t="s">
        <v>41</v>
      </c>
      <c r="M47" s="51">
        <f>B40</f>
        <v>350.45585191814121</v>
      </c>
      <c r="P47" s="58">
        <v>45352</v>
      </c>
      <c r="Q47" s="6">
        <v>504.6</v>
      </c>
      <c r="R47" s="6">
        <v>5234.18</v>
      </c>
      <c r="S47" s="6">
        <v>16428.82</v>
      </c>
      <c r="T47" s="6">
        <v>39807.370000000003</v>
      </c>
      <c r="U47" s="58">
        <v>45352</v>
      </c>
      <c r="V47" s="61">
        <f t="shared" si="0"/>
        <v>81.173688528545924</v>
      </c>
      <c r="W47" s="61">
        <f t="shared" si="1"/>
        <v>119.08692546060983</v>
      </c>
      <c r="X47" s="61">
        <f t="shared" si="2"/>
        <v>111.96877462058737</v>
      </c>
      <c r="Y47" s="61">
        <f t="shared" si="3"/>
        <v>113.53568225021426</v>
      </c>
    </row>
    <row r="48" spans="1:25" x14ac:dyDescent="0.25">
      <c r="L48" s="50" t="s">
        <v>31</v>
      </c>
      <c r="M48" s="51">
        <f>G40</f>
        <v>222.60696517412936</v>
      </c>
      <c r="P48" s="58">
        <v>45383</v>
      </c>
      <c r="Q48" s="6">
        <v>465.02</v>
      </c>
      <c r="R48" s="6">
        <v>4967.2299999999996</v>
      </c>
      <c r="S48" s="6">
        <v>15282.01</v>
      </c>
      <c r="T48" s="6">
        <v>37986.400000000001</v>
      </c>
      <c r="U48" s="58">
        <v>45383</v>
      </c>
      <c r="V48" s="61">
        <f t="shared" si="0"/>
        <v>74.806556955101911</v>
      </c>
      <c r="W48" s="61">
        <f t="shared" si="1"/>
        <v>113.01333709496137</v>
      </c>
      <c r="X48" s="61">
        <f t="shared" si="2"/>
        <v>104.15282007104361</v>
      </c>
      <c r="Y48" s="61">
        <f t="shared" si="3"/>
        <v>108.34204420511928</v>
      </c>
    </row>
    <row r="49" spans="12:25" x14ac:dyDescent="0.25">
      <c r="L49" s="50" t="s">
        <v>97</v>
      </c>
      <c r="M49" s="51">
        <f>-(G40-B40)</f>
        <v>127.84888674401185</v>
      </c>
      <c r="P49" s="58">
        <v>45413</v>
      </c>
      <c r="Q49" s="6">
        <v>483.43</v>
      </c>
      <c r="R49" s="6">
        <v>5277.51</v>
      </c>
      <c r="S49" s="6">
        <v>16735.02</v>
      </c>
      <c r="T49" s="6">
        <v>38686.32</v>
      </c>
      <c r="U49" s="58">
        <v>45413</v>
      </c>
      <c r="V49" s="61">
        <f t="shared" si="0"/>
        <v>77.768125733957504</v>
      </c>
      <c r="W49" s="61">
        <f t="shared" si="1"/>
        <v>120.07276020076172</v>
      </c>
      <c r="X49" s="61">
        <f t="shared" si="2"/>
        <v>114.05564627593596</v>
      </c>
      <c r="Y49" s="61">
        <f t="shared" si="3"/>
        <v>110.33830506637612</v>
      </c>
    </row>
    <row r="50" spans="12:25" x14ac:dyDescent="0.25">
      <c r="L50" s="54" t="s">
        <v>96</v>
      </c>
      <c r="M50" s="57">
        <f>((B40-G40)/(G40))</f>
        <v>0.57432563551641291</v>
      </c>
      <c r="P50" s="58">
        <v>45444</v>
      </c>
      <c r="Q50" s="6">
        <v>555.54</v>
      </c>
      <c r="R50" s="6">
        <v>5464.62</v>
      </c>
      <c r="S50" s="6">
        <v>17689.36</v>
      </c>
      <c r="T50" s="6">
        <v>39150.33</v>
      </c>
      <c r="U50" s="58">
        <v>45444</v>
      </c>
      <c r="V50" s="61">
        <f t="shared" si="0"/>
        <v>89.368273731962731</v>
      </c>
      <c r="W50" s="61">
        <f t="shared" si="1"/>
        <v>124.32984624345316</v>
      </c>
      <c r="X50" s="61">
        <f t="shared" si="2"/>
        <v>120.55984319156418</v>
      </c>
      <c r="Y50" s="61">
        <f t="shared" si="3"/>
        <v>111.66172060276855</v>
      </c>
    </row>
    <row r="51" spans="12:25" x14ac:dyDescent="0.25">
      <c r="P51" s="58">
        <v>45474</v>
      </c>
      <c r="Q51" s="6">
        <v>526.16999999999996</v>
      </c>
      <c r="R51" s="6">
        <v>5459.1</v>
      </c>
      <c r="S51" s="6">
        <v>17357.88</v>
      </c>
      <c r="T51" s="6">
        <v>40287.53</v>
      </c>
      <c r="U51" s="58">
        <v>45474</v>
      </c>
      <c r="V51" s="61">
        <f t="shared" si="0"/>
        <v>84.643598281936193</v>
      </c>
      <c r="W51" s="61">
        <f t="shared" si="1"/>
        <v>124.20425640348923</v>
      </c>
      <c r="X51" s="61">
        <f t="shared" si="2"/>
        <v>118.30067853998042</v>
      </c>
      <c r="Y51" s="61">
        <f t="shared" si="3"/>
        <v>114.90515964068902</v>
      </c>
    </row>
    <row r="52" spans="12:25" x14ac:dyDescent="0.25">
      <c r="P52" s="58">
        <v>45505</v>
      </c>
      <c r="Q52" s="6">
        <v>574.41</v>
      </c>
      <c r="R52" s="6">
        <v>5648.4</v>
      </c>
      <c r="S52" s="6">
        <v>17877.79</v>
      </c>
      <c r="T52" s="6">
        <v>41175.08</v>
      </c>
      <c r="U52" s="58">
        <v>45505</v>
      </c>
      <c r="V52" s="61">
        <f t="shared" si="0"/>
        <v>92.403841513440469</v>
      </c>
      <c r="W52" s="61">
        <f t="shared" si="1"/>
        <v>128.51116885007937</v>
      </c>
      <c r="X52" s="61">
        <f t="shared" si="2"/>
        <v>121.84406665994216</v>
      </c>
      <c r="Y52" s="61">
        <f t="shared" si="3"/>
        <v>117.43656512618523</v>
      </c>
    </row>
    <row r="53" spans="12:25" x14ac:dyDescent="0.25">
      <c r="P53" s="58">
        <v>45536</v>
      </c>
      <c r="Q53" s="6">
        <v>507.22</v>
      </c>
      <c r="R53" s="6">
        <v>5751.07</v>
      </c>
      <c r="S53" s="6">
        <v>18137.849999999999</v>
      </c>
      <c r="T53" s="6">
        <v>42313</v>
      </c>
      <c r="U53" s="58">
        <v>45536</v>
      </c>
      <c r="V53" s="61">
        <f t="shared" si="0"/>
        <v>81.595161108698093</v>
      </c>
      <c r="W53" s="61">
        <f t="shared" si="1"/>
        <v>130.84709436984389</v>
      </c>
      <c r="X53" s="61">
        <f t="shared" si="2"/>
        <v>123.61647633561148</v>
      </c>
      <c r="Y53" s="61">
        <f t="shared" si="3"/>
        <v>120.68205769568088</v>
      </c>
    </row>
    <row r="54" spans="12:25" x14ac:dyDescent="0.25">
      <c r="P54" s="58">
        <v>45566</v>
      </c>
      <c r="Q54" s="6">
        <v>482.8</v>
      </c>
      <c r="R54" s="6">
        <v>5728.8</v>
      </c>
      <c r="S54" s="6">
        <v>18518.61</v>
      </c>
      <c r="T54" s="6">
        <v>42052.19</v>
      </c>
      <c r="U54" s="58">
        <v>45566</v>
      </c>
      <c r="V54" s="61">
        <f t="shared" si="0"/>
        <v>77.666779273844583</v>
      </c>
      <c r="W54" s="61">
        <f t="shared" si="1"/>
        <v>130.34041217129362</v>
      </c>
      <c r="X54" s="61">
        <f t="shared" si="2"/>
        <v>126.21150328365371</v>
      </c>
      <c r="Y54" s="61">
        <f t="shared" si="3"/>
        <v>119.93819440384124</v>
      </c>
    </row>
    <row r="55" spans="12:25" x14ac:dyDescent="0.25">
      <c r="P55" s="58">
        <v>45597</v>
      </c>
      <c r="Q55" s="6">
        <v>515.92999999999995</v>
      </c>
      <c r="R55" s="6">
        <v>5969.34</v>
      </c>
      <c r="S55" s="6">
        <v>19003.650000000001</v>
      </c>
      <c r="T55" s="6">
        <v>44296.51</v>
      </c>
      <c r="U55" s="58">
        <v>45597</v>
      </c>
      <c r="V55" s="61">
        <f t="shared" si="0"/>
        <v>82.996316136608584</v>
      </c>
      <c r="W55" s="61">
        <f t="shared" si="1"/>
        <v>135.81312595841882</v>
      </c>
      <c r="X55" s="61">
        <f t="shared" si="2"/>
        <v>129.51723884116603</v>
      </c>
      <c r="Y55" s="61">
        <f t="shared" si="3"/>
        <v>126.33928049387433</v>
      </c>
    </row>
    <row r="56" spans="12:25" x14ac:dyDescent="0.25">
      <c r="P56" s="58">
        <v>45627</v>
      </c>
      <c r="Q56" s="6">
        <v>446.48</v>
      </c>
      <c r="R56" s="6">
        <v>5942.47</v>
      </c>
      <c r="S56" s="6">
        <v>19722.03</v>
      </c>
      <c r="T56" s="6">
        <v>42840.26</v>
      </c>
      <c r="U56" s="58">
        <v>45627</v>
      </c>
      <c r="V56" s="61">
        <f t="shared" si="0"/>
        <v>71.824075414635729</v>
      </c>
      <c r="W56" s="61">
        <f t="shared" si="1"/>
        <v>135.20178555989861</v>
      </c>
      <c r="X56" s="61">
        <f t="shared" si="2"/>
        <v>134.41327692009912</v>
      </c>
      <c r="Y56" s="61">
        <f t="shared" si="3"/>
        <v>122.18587027669912</v>
      </c>
    </row>
    <row r="57" spans="12:25" x14ac:dyDescent="0.25">
      <c r="P57" s="58">
        <v>45658</v>
      </c>
      <c r="Q57" s="6">
        <v>437.45</v>
      </c>
      <c r="R57" s="6">
        <v>6040.53</v>
      </c>
      <c r="S57" s="6">
        <v>19627.439999999999</v>
      </c>
      <c r="T57" s="6">
        <v>44424.25</v>
      </c>
      <c r="U57" s="58">
        <v>45658</v>
      </c>
      <c r="V57" s="61">
        <f t="shared" si="0"/>
        <v>70.371442819683736</v>
      </c>
      <c r="W57" s="61">
        <f t="shared" si="1"/>
        <v>137.43282536186709</v>
      </c>
      <c r="X57" s="61">
        <f t="shared" si="2"/>
        <v>133.76860941559414</v>
      </c>
      <c r="Y57" s="61">
        <f t="shared" si="3"/>
        <v>126.70361122083878</v>
      </c>
    </row>
    <row r="58" spans="12:25" x14ac:dyDescent="0.25">
      <c r="P58" s="58">
        <v>45689</v>
      </c>
      <c r="Q58" s="6">
        <v>438.56</v>
      </c>
      <c r="R58" s="6">
        <v>5954.5</v>
      </c>
      <c r="S58" s="6">
        <v>19524.009999999998</v>
      </c>
      <c r="T58" s="6">
        <v>43840.91</v>
      </c>
      <c r="U58" s="58">
        <v>45689</v>
      </c>
      <c r="V58" s="61">
        <f t="shared" si="0"/>
        <v>70.550005630358896</v>
      </c>
      <c r="W58" s="61">
        <f t="shared" si="1"/>
        <v>135.47548950460268</v>
      </c>
      <c r="X58" s="61">
        <f t="shared" si="2"/>
        <v>133.06369388550695</v>
      </c>
      <c r="Y58" s="61">
        <f t="shared" si="3"/>
        <v>125.03985134713098</v>
      </c>
    </row>
    <row r="59" spans="12:25" x14ac:dyDescent="0.25">
      <c r="P59" s="58">
        <v>45717</v>
      </c>
      <c r="Q59" s="6">
        <v>385.71</v>
      </c>
      <c r="R59" s="6">
        <v>5074.08</v>
      </c>
      <c r="S59" s="6">
        <v>15587.79</v>
      </c>
      <c r="T59" s="6">
        <v>38314.86</v>
      </c>
      <c r="U59" s="58">
        <v>45717</v>
      </c>
      <c r="V59" s="61">
        <f t="shared" si="0"/>
        <v>62.048163698663195</v>
      </c>
      <c r="W59" s="61">
        <f t="shared" si="1"/>
        <v>115.4443650660029</v>
      </c>
      <c r="X59" s="61">
        <f t="shared" si="2"/>
        <v>106.23682926363827</v>
      </c>
      <c r="Y59" s="61">
        <f t="shared" si="3"/>
        <v>109.27885390121087</v>
      </c>
    </row>
    <row r="60" spans="12:25" x14ac:dyDescent="0.25">
      <c r="P60" s="58">
        <v>45748</v>
      </c>
      <c r="Q60" s="6">
        <v>348.8</v>
      </c>
      <c r="R60" s="6">
        <v>5282.7</v>
      </c>
      <c r="S60" s="6">
        <v>16286.45</v>
      </c>
      <c r="T60" s="6">
        <v>39142.230000000003</v>
      </c>
      <c r="U60" s="58">
        <v>45748</v>
      </c>
      <c r="V60" s="61">
        <f t="shared" si="0"/>
        <v>56.110548075221601</v>
      </c>
      <c r="W60" s="61">
        <f t="shared" si="1"/>
        <v>120.19084195246697</v>
      </c>
      <c r="X60" s="61">
        <f t="shared" si="2"/>
        <v>110.99846790088792</v>
      </c>
      <c r="Y60" s="61">
        <f t="shared" si="3"/>
        <v>111.63861837254771</v>
      </c>
    </row>
    <row r="61" spans="12:25" x14ac:dyDescent="0.25">
      <c r="P61" s="58">
        <v>45778</v>
      </c>
      <c r="Q61" s="6">
        <v>415.09</v>
      </c>
      <c r="R61" s="6">
        <v>5802.82</v>
      </c>
      <c r="S61" s="6">
        <v>19113.77</v>
      </c>
      <c r="T61" s="6">
        <v>41603.07</v>
      </c>
      <c r="U61" s="58">
        <v>45778</v>
      </c>
      <c r="V61" s="61">
        <f t="shared" si="0"/>
        <v>66.774447822659781</v>
      </c>
      <c r="W61" s="61">
        <f t="shared" si="1"/>
        <v>132.024499119506</v>
      </c>
      <c r="X61" s="61">
        <f t="shared" si="2"/>
        <v>130.26774931369047</v>
      </c>
      <c r="Y61" s="61">
        <f t="shared" si="3"/>
        <v>118.65724704127454</v>
      </c>
    </row>
    <row r="62" spans="12:25" x14ac:dyDescent="0.25">
      <c r="P62" s="58">
        <v>45809</v>
      </c>
      <c r="Q62" s="6">
        <v>385.83</v>
      </c>
      <c r="R62" s="6">
        <v>6279.35</v>
      </c>
      <c r="S62" s="6">
        <v>19447.41</v>
      </c>
      <c r="T62" s="6">
        <v>42206.82</v>
      </c>
      <c r="U62" s="58">
        <v>45809</v>
      </c>
      <c r="V62" s="61">
        <f t="shared" si="0"/>
        <v>62.067467786303745</v>
      </c>
      <c r="W62" s="61">
        <f t="shared" si="1"/>
        <v>142.8664060829166</v>
      </c>
      <c r="X62" s="61">
        <f t="shared" si="2"/>
        <v>132.54163520229434</v>
      </c>
      <c r="Y62" s="61">
        <f t="shared" si="3"/>
        <v>120.37921883088454</v>
      </c>
    </row>
    <row r="63" spans="12:25" x14ac:dyDescent="0.25">
      <c r="P63" s="58">
        <v>45839</v>
      </c>
      <c r="Q63" s="6">
        <v>370.74</v>
      </c>
      <c r="R63" s="6">
        <v>6238.01</v>
      </c>
      <c r="S63" s="6">
        <v>20650.13</v>
      </c>
      <c r="T63" s="6">
        <v>44901.919999999998</v>
      </c>
      <c r="U63" s="58">
        <v>45839</v>
      </c>
      <c r="V63" s="61">
        <f t="shared" si="0"/>
        <v>59.639978765503599</v>
      </c>
      <c r="W63" s="61">
        <f t="shared" si="1"/>
        <v>141.92584739014302</v>
      </c>
      <c r="X63" s="61">
        <f t="shared" si="2"/>
        <v>140.73863806748324</v>
      </c>
      <c r="Y63" s="61">
        <f t="shared" si="3"/>
        <v>128.065986814616</v>
      </c>
    </row>
    <row r="64" spans="12:25" x14ac:dyDescent="0.25">
      <c r="P64" s="58">
        <v>45870</v>
      </c>
      <c r="Q64" s="6">
        <v>356.7</v>
      </c>
      <c r="R64" s="6">
        <v>6460.26</v>
      </c>
      <c r="S64" s="6">
        <v>21496.54</v>
      </c>
      <c r="T64" s="6">
        <v>45544.88</v>
      </c>
      <c r="U64" s="58">
        <v>45870</v>
      </c>
      <c r="V64" s="61">
        <f t="shared" si="0"/>
        <v>57.381400511558326</v>
      </c>
      <c r="W64" s="61">
        <f t="shared" si="1"/>
        <v>146.9824310734746</v>
      </c>
      <c r="X64" s="61">
        <f t="shared" si="2"/>
        <v>146.50725020923241</v>
      </c>
      <c r="Y64" s="61">
        <f t="shared" si="3"/>
        <v>129.89979051125803</v>
      </c>
    </row>
    <row r="65" spans="16:25" x14ac:dyDescent="0.25">
      <c r="P65" s="58">
        <v>45901</v>
      </c>
      <c r="Q65" s="6">
        <v>346.74</v>
      </c>
      <c r="R65" s="6">
        <v>6715.79</v>
      </c>
      <c r="S65" s="6">
        <v>22780.51</v>
      </c>
      <c r="T65" s="6">
        <v>46758.28</v>
      </c>
      <c r="U65" s="58">
        <v>45901</v>
      </c>
      <c r="V65" s="61">
        <f t="shared" si="0"/>
        <v>55.779161237392017</v>
      </c>
      <c r="W65" s="61">
        <f t="shared" si="1"/>
        <v>152.79619408180628</v>
      </c>
      <c r="X65" s="61">
        <f t="shared" si="2"/>
        <v>155.25800330955215</v>
      </c>
      <c r="Y65" s="61">
        <f t="shared" si="3"/>
        <v>133.36056164088578</v>
      </c>
    </row>
    <row r="66" spans="16:25" x14ac:dyDescent="0.25">
      <c r="P66" s="58">
        <v>45931</v>
      </c>
      <c r="Q66" s="6">
        <v>340.31</v>
      </c>
      <c r="R66" s="6">
        <v>6840.2</v>
      </c>
      <c r="S66" s="6">
        <v>23204.87</v>
      </c>
      <c r="T66" s="6">
        <v>47207.12</v>
      </c>
      <c r="U66" s="58">
        <v>45931</v>
      </c>
      <c r="V66" s="61">
        <f t="shared" si="0"/>
        <v>54.744783874652128</v>
      </c>
      <c r="W66" s="61">
        <f t="shared" si="1"/>
        <v>155.62674335534189</v>
      </c>
      <c r="X66" s="61">
        <f t="shared" si="2"/>
        <v>158.15018115300001</v>
      </c>
      <c r="Y66" s="61">
        <f t="shared" si="3"/>
        <v>134.64071040783992</v>
      </c>
    </row>
    <row r="67" spans="16:25" x14ac:dyDescent="0.25">
      <c r="P67" s="58">
        <v>45962</v>
      </c>
      <c r="Q67" s="6">
        <v>324.19</v>
      </c>
      <c r="R67" s="6">
        <v>6849.09</v>
      </c>
      <c r="S67" s="6">
        <v>23365.69</v>
      </c>
      <c r="T67" s="6">
        <v>46245.41</v>
      </c>
      <c r="U67" s="58">
        <v>45962</v>
      </c>
      <c r="V67" s="61">
        <f t="shared" si="0"/>
        <v>52.151601434937177</v>
      </c>
      <c r="W67" s="61">
        <f t="shared" si="1"/>
        <v>155.82900670267514</v>
      </c>
      <c r="X67" s="61">
        <f t="shared" si="2"/>
        <v>159.24623177224612</v>
      </c>
      <c r="Y67" s="61">
        <f t="shared" si="3"/>
        <v>131.89779117009942</v>
      </c>
    </row>
    <row r="68" spans="16:25" x14ac:dyDescent="0.25">
      <c r="P68" s="58">
        <v>45992</v>
      </c>
      <c r="Q68" s="6">
        <v>355.86</v>
      </c>
      <c r="R68" s="6">
        <v>6929.94</v>
      </c>
      <c r="S68" s="6">
        <v>23593.1</v>
      </c>
      <c r="T68" s="6">
        <v>48134.89</v>
      </c>
      <c r="U68" s="58">
        <v>45992</v>
      </c>
      <c r="V68" s="61">
        <f t="shared" si="0"/>
        <v>57.246271898074419</v>
      </c>
      <c r="W68" s="61">
        <f t="shared" si="1"/>
        <v>157.66848832606033</v>
      </c>
      <c r="X68" s="61">
        <f t="shared" si="2"/>
        <v>160.7961190457367</v>
      </c>
      <c r="Y68" s="61">
        <f t="shared" si="3"/>
        <v>137.28682844882783</v>
      </c>
    </row>
    <row r="69" spans="16:25" x14ac:dyDescent="0.25">
      <c r="P69" s="58">
        <v>46023</v>
      </c>
      <c r="Q69" s="6">
        <v>301.07</v>
      </c>
      <c r="R69" s="6">
        <v>6939.03</v>
      </c>
      <c r="S69" s="6">
        <v>23461.82</v>
      </c>
      <c r="T69" s="6">
        <v>49098.71</v>
      </c>
      <c r="U69" s="58">
        <v>46023</v>
      </c>
      <c r="V69" s="61">
        <f t="shared" si="0"/>
        <v>48.43234721618969</v>
      </c>
      <c r="W69" s="61">
        <f t="shared" si="1"/>
        <v>157.87530202991402</v>
      </c>
      <c r="X69" s="61">
        <f t="shared" si="2"/>
        <v>159.90139497351541</v>
      </c>
      <c r="Y69" s="61">
        <f t="shared" si="3"/>
        <v>140.03576567493451</v>
      </c>
    </row>
    <row r="70" spans="16:25" x14ac:dyDescent="0.25">
      <c r="P70" s="58">
        <v>46054</v>
      </c>
      <c r="Q70" s="6">
        <v>258.61</v>
      </c>
      <c r="R70" s="6">
        <v>6909.51</v>
      </c>
      <c r="S70" s="6">
        <v>22668.21</v>
      </c>
      <c r="T70" s="6">
        <v>48977.919999999998</v>
      </c>
      <c r="U70" s="58">
        <v>46054</v>
      </c>
      <c r="V70" s="61">
        <f t="shared" si="0"/>
        <v>41.601917539372295</v>
      </c>
      <c r="W70" s="61">
        <f t="shared" si="1"/>
        <v>157.20366940749807</v>
      </c>
      <c r="X70" s="61">
        <f t="shared" si="2"/>
        <v>154.49263529225743</v>
      </c>
      <c r="Y70" s="61">
        <f t="shared" si="3"/>
        <v>139.69125723192499</v>
      </c>
    </row>
    <row r="71" spans="16:25" x14ac:dyDescent="0.25">
      <c r="P71" s="58">
        <v>46082</v>
      </c>
      <c r="Q71" s="6">
        <v>348.15</v>
      </c>
      <c r="R71" s="6">
        <v>6368.85</v>
      </c>
      <c r="S71" s="6">
        <v>20948.36</v>
      </c>
      <c r="T71" s="6">
        <v>45577.47</v>
      </c>
      <c r="U71" s="58">
        <v>46082</v>
      </c>
      <c r="V71" s="61">
        <f t="shared" si="0"/>
        <v>56.005984267168571</v>
      </c>
      <c r="W71" s="61">
        <f t="shared" si="1"/>
        <v>144.90269062581055</v>
      </c>
      <c r="X71" s="61">
        <f t="shared" si="2"/>
        <v>142.77119108438268</v>
      </c>
      <c r="Y71" s="61">
        <f t="shared" si="3"/>
        <v>129.99274133630715</v>
      </c>
    </row>
    <row r="72" spans="16:25" x14ac:dyDescent="0.25">
      <c r="P72" s="58">
        <v>46113</v>
      </c>
      <c r="Q72" s="6">
        <v>250.71</v>
      </c>
      <c r="R72" s="6">
        <v>7123.06</v>
      </c>
      <c r="S72" s="6">
        <v>24468.48</v>
      </c>
      <c r="T72" s="6">
        <v>49447.43</v>
      </c>
      <c r="U72" s="58">
        <v>46113</v>
      </c>
      <c r="V72" s="61">
        <f t="shared" si="0"/>
        <v>40.33106510303557</v>
      </c>
      <c r="W72" s="61">
        <f t="shared" si="1"/>
        <v>162.06231258219083</v>
      </c>
      <c r="X72" s="61">
        <f t="shared" si="2"/>
        <v>166.76217296363035</v>
      </c>
      <c r="Y72" s="61">
        <f t="shared" si="3"/>
        <v>141.0303594678501</v>
      </c>
    </row>
    <row r="73" spans="16:25" x14ac:dyDescent="0.25">
      <c r="P73" s="58">
        <v>46143</v>
      </c>
      <c r="Q73" s="6">
        <v>259.20999999999998</v>
      </c>
      <c r="R73" s="6">
        <v>7473.47</v>
      </c>
      <c r="S73" s="6">
        <v>26343.97</v>
      </c>
      <c r="T73" s="6">
        <v>50579.7</v>
      </c>
      <c r="U73" s="58">
        <v>46143</v>
      </c>
      <c r="V73" s="61">
        <f t="shared" si="0"/>
        <v>41.698437977575082</v>
      </c>
      <c r="W73" s="61">
        <f t="shared" si="1"/>
        <v>170.03476472381612</v>
      </c>
      <c r="X73" s="61">
        <f t="shared" si="2"/>
        <v>179.54436408345308</v>
      </c>
      <c r="Y73" s="61">
        <f t="shared" si="3"/>
        <v>144.25973751873488</v>
      </c>
    </row>
    <row r="74" spans="16:25" x14ac:dyDescent="0.25">
      <c r="P74" s="58">
        <v>46174</v>
      </c>
      <c r="Q74" s="6">
        <v>202.73</v>
      </c>
      <c r="R74" s="6">
        <v>7425.29</v>
      </c>
      <c r="S74" s="6">
        <v>25883.49</v>
      </c>
      <c r="T74" s="6">
        <v>51200.15</v>
      </c>
      <c r="U74" s="58">
        <v>46174</v>
      </c>
      <c r="V74" s="61">
        <f t="shared" si="0"/>
        <v>32.6126473947525</v>
      </c>
      <c r="W74" s="61">
        <f t="shared" si="1"/>
        <v>168.93858383804371</v>
      </c>
      <c r="X74" s="61">
        <f t="shared" si="2"/>
        <v>176.40601444316923</v>
      </c>
      <c r="Y74" s="61">
        <f t="shared" si="3"/>
        <v>146.02933983238046</v>
      </c>
    </row>
    <row r="75" spans="16:25" x14ac:dyDescent="0.25">
      <c r="P75" s="58">
        <v>46204</v>
      </c>
      <c r="Q75" s="62">
        <v>218.07</v>
      </c>
      <c r="R75" s="6">
        <v>7483.24</v>
      </c>
      <c r="S75" s="6">
        <v>25832.67</v>
      </c>
      <c r="T75" s="6">
        <v>52900.07</v>
      </c>
      <c r="U75" s="58">
        <v>46204</v>
      </c>
      <c r="V75" s="61">
        <f t="shared" si="0"/>
        <v>35.080353264803819</v>
      </c>
      <c r="W75" s="61">
        <f t="shared" si="1"/>
        <v>170.25704963983927</v>
      </c>
      <c r="X75" s="61">
        <f t="shared" si="2"/>
        <v>176.0596564499464</v>
      </c>
      <c r="Y75" s="61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813A-2FB7-4F6E-8B68-DE8A1DF306E7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2026-08-31T23:06:26Z</dcterms:modified>
  <cp:category/>
  <cp:contentStatus/>
</cp:coreProperties>
</file>