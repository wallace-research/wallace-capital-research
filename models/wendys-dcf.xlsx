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dcf models\"/>
    </mc:Choice>
  </mc:AlternateContent>
  <xr:revisionPtr revIDLastSave="0" documentId="13_ncr:1_{A352E389-E213-4E00-8396-284D9270C83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WACC Input" sheetId="7" r:id="rId1"/>
    <sheet name="Base Assumptions" sheetId="1" r:id="rId2"/>
    <sheet name="Bear Assumptions" sheetId="5" r:id="rId3"/>
    <sheet name="Bull Assumptions" sheetId="6" r:id="rId4"/>
    <sheet name="Export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6" l="1"/>
  <c r="E21" i="6"/>
  <c r="E21" i="5"/>
  <c r="E21" i="1"/>
  <c r="F21" i="1"/>
  <c r="G21" i="1" s="1"/>
  <c r="H21" i="1" s="1"/>
  <c r="I21" i="1" s="1"/>
  <c r="B7" i="1"/>
  <c r="C19" i="7"/>
  <c r="C22" i="7"/>
  <c r="C24" i="7" s="1"/>
  <c r="C18" i="7"/>
  <c r="C12" i="7"/>
  <c r="C14" i="7" s="1"/>
  <c r="C13" i="7" l="1"/>
  <c r="C28" i="7" s="1"/>
  <c r="M48" i="6" l="1"/>
  <c r="M42" i="6"/>
  <c r="M48" i="5"/>
  <c r="M42" i="5"/>
  <c r="M48" i="1" l="1"/>
  <c r="M42" i="1"/>
  <c r="Y75" i="6"/>
  <c r="X75" i="6"/>
  <c r="W75" i="6"/>
  <c r="V75" i="6"/>
  <c r="Y74" i="6"/>
  <c r="X74" i="6"/>
  <c r="W74" i="6"/>
  <c r="V74" i="6"/>
  <c r="Y73" i="6"/>
  <c r="X73" i="6"/>
  <c r="W73" i="6"/>
  <c r="V73" i="6"/>
  <c r="Y72" i="6"/>
  <c r="X72" i="6"/>
  <c r="W72" i="6"/>
  <c r="V72" i="6"/>
  <c r="Y71" i="6"/>
  <c r="X71" i="6"/>
  <c r="W71" i="6"/>
  <c r="V71" i="6"/>
  <c r="Y70" i="6"/>
  <c r="X70" i="6"/>
  <c r="W70" i="6"/>
  <c r="V70" i="6"/>
  <c r="Y69" i="6"/>
  <c r="X69" i="6"/>
  <c r="W69" i="6"/>
  <c r="V69" i="6"/>
  <c r="Y68" i="6"/>
  <c r="X68" i="6"/>
  <c r="W68" i="6"/>
  <c r="V68" i="6"/>
  <c r="Y67" i="6"/>
  <c r="X67" i="6"/>
  <c r="W67" i="6"/>
  <c r="V67" i="6"/>
  <c r="Y66" i="6"/>
  <c r="X66" i="6"/>
  <c r="W66" i="6"/>
  <c r="V66" i="6"/>
  <c r="Y65" i="6"/>
  <c r="X65" i="6"/>
  <c r="W65" i="6"/>
  <c r="V65" i="6"/>
  <c r="Y64" i="6"/>
  <c r="X64" i="6"/>
  <c r="W64" i="6"/>
  <c r="V64" i="6"/>
  <c r="Y63" i="6"/>
  <c r="X63" i="6"/>
  <c r="W63" i="6"/>
  <c r="V63" i="6"/>
  <c r="Y62" i="6"/>
  <c r="X62" i="6"/>
  <c r="W62" i="6"/>
  <c r="V62" i="6"/>
  <c r="Y61" i="6"/>
  <c r="X61" i="6"/>
  <c r="W61" i="6"/>
  <c r="V61" i="6"/>
  <c r="Y60" i="6"/>
  <c r="X60" i="6"/>
  <c r="W60" i="6"/>
  <c r="V60" i="6"/>
  <c r="Y59" i="6"/>
  <c r="X59" i="6"/>
  <c r="W59" i="6"/>
  <c r="V59" i="6"/>
  <c r="Y58" i="6"/>
  <c r="X58" i="6"/>
  <c r="W58" i="6"/>
  <c r="V58" i="6"/>
  <c r="Y57" i="6"/>
  <c r="X57" i="6"/>
  <c r="W57" i="6"/>
  <c r="V57" i="6"/>
  <c r="Y56" i="6"/>
  <c r="X56" i="6"/>
  <c r="W56" i="6"/>
  <c r="V56" i="6"/>
  <c r="Y55" i="6"/>
  <c r="X55" i="6"/>
  <c r="W55" i="6"/>
  <c r="V55" i="6"/>
  <c r="Y54" i="6"/>
  <c r="X54" i="6"/>
  <c r="W54" i="6"/>
  <c r="V54" i="6"/>
  <c r="Y53" i="6"/>
  <c r="X53" i="6"/>
  <c r="W53" i="6"/>
  <c r="V53" i="6"/>
  <c r="Y52" i="6"/>
  <c r="X52" i="6"/>
  <c r="W52" i="6"/>
  <c r="V52" i="6"/>
  <c r="Y51" i="6"/>
  <c r="X51" i="6"/>
  <c r="W51" i="6"/>
  <c r="V51" i="6"/>
  <c r="Y50" i="6"/>
  <c r="X50" i="6"/>
  <c r="W50" i="6"/>
  <c r="V50" i="6"/>
  <c r="Y49" i="6"/>
  <c r="X49" i="6"/>
  <c r="W49" i="6"/>
  <c r="V49" i="6"/>
  <c r="Y48" i="6"/>
  <c r="X48" i="6"/>
  <c r="W48" i="6"/>
  <c r="V48" i="6"/>
  <c r="Y47" i="6"/>
  <c r="X47" i="6"/>
  <c r="W47" i="6"/>
  <c r="V47" i="6"/>
  <c r="Y46" i="6"/>
  <c r="X46" i="6"/>
  <c r="W46" i="6"/>
  <c r="V46" i="6"/>
  <c r="Y45" i="6"/>
  <c r="X45" i="6"/>
  <c r="W45" i="6"/>
  <c r="V45" i="6"/>
  <c r="Y44" i="6"/>
  <c r="X44" i="6"/>
  <c r="W44" i="6"/>
  <c r="V44" i="6"/>
  <c r="Y43" i="6"/>
  <c r="X43" i="6"/>
  <c r="W43" i="6"/>
  <c r="V43" i="6"/>
  <c r="Y42" i="6"/>
  <c r="X42" i="6"/>
  <c r="W42" i="6"/>
  <c r="V42" i="6"/>
  <c r="Y41" i="6"/>
  <c r="X41" i="6"/>
  <c r="W41" i="6"/>
  <c r="V41" i="6"/>
  <c r="Y40" i="6"/>
  <c r="X40" i="6"/>
  <c r="W40" i="6"/>
  <c r="V40" i="6"/>
  <c r="Y39" i="6"/>
  <c r="X39" i="6"/>
  <c r="W39" i="6"/>
  <c r="V39" i="6"/>
  <c r="Y38" i="6"/>
  <c r="X38" i="6"/>
  <c r="W38" i="6"/>
  <c r="V38" i="6"/>
  <c r="Y37" i="6"/>
  <c r="X37" i="6"/>
  <c r="W37" i="6"/>
  <c r="V37" i="6"/>
  <c r="Y36" i="6"/>
  <c r="X36" i="6"/>
  <c r="W36" i="6"/>
  <c r="V36" i="6"/>
  <c r="Y35" i="6"/>
  <c r="X35" i="6"/>
  <c r="W35" i="6"/>
  <c r="V35" i="6"/>
  <c r="Y34" i="6"/>
  <c r="X34" i="6"/>
  <c r="W34" i="6"/>
  <c r="V34" i="6"/>
  <c r="Y33" i="6"/>
  <c r="X33" i="6"/>
  <c r="W33" i="6"/>
  <c r="V33" i="6"/>
  <c r="Y32" i="6"/>
  <c r="X32" i="6"/>
  <c r="W32" i="6"/>
  <c r="V32" i="6"/>
  <c r="Y31" i="6"/>
  <c r="X31" i="6"/>
  <c r="W31" i="6"/>
  <c r="V31" i="6"/>
  <c r="Y30" i="6"/>
  <c r="X30" i="6"/>
  <c r="W30" i="6"/>
  <c r="V30" i="6"/>
  <c r="Y29" i="6"/>
  <c r="X29" i="6"/>
  <c r="W29" i="6"/>
  <c r="V29" i="6"/>
  <c r="Y28" i="6"/>
  <c r="X28" i="6"/>
  <c r="W28" i="6"/>
  <c r="V28" i="6"/>
  <c r="Y27" i="6"/>
  <c r="X27" i="6"/>
  <c r="W27" i="6"/>
  <c r="V27" i="6"/>
  <c r="Y26" i="6"/>
  <c r="X26" i="6"/>
  <c r="W26" i="6"/>
  <c r="V26" i="6"/>
  <c r="Y25" i="6"/>
  <c r="X25" i="6"/>
  <c r="W25" i="6"/>
  <c r="V25" i="6"/>
  <c r="Y24" i="6"/>
  <c r="X24" i="6"/>
  <c r="W24" i="6"/>
  <c r="V24" i="6"/>
  <c r="Y23" i="6"/>
  <c r="X23" i="6"/>
  <c r="W23" i="6"/>
  <c r="V23" i="6"/>
  <c r="Y22" i="6"/>
  <c r="X22" i="6"/>
  <c r="W22" i="6"/>
  <c r="V22" i="6"/>
  <c r="Y21" i="6"/>
  <c r="X21" i="6"/>
  <c r="W21" i="6"/>
  <c r="V21" i="6"/>
  <c r="Y20" i="6"/>
  <c r="X20" i="6"/>
  <c r="W20" i="6"/>
  <c r="V20" i="6"/>
  <c r="Y19" i="6"/>
  <c r="X19" i="6"/>
  <c r="W19" i="6"/>
  <c r="V19" i="6"/>
  <c r="Y18" i="6"/>
  <c r="X18" i="6"/>
  <c r="W18" i="6"/>
  <c r="V18" i="6"/>
  <c r="Y17" i="6"/>
  <c r="X17" i="6"/>
  <c r="W17" i="6"/>
  <c r="V17" i="6"/>
  <c r="Y16" i="6"/>
  <c r="X16" i="6"/>
  <c r="W16" i="6"/>
  <c r="V16" i="6"/>
  <c r="Y15" i="6"/>
  <c r="X15" i="6"/>
  <c r="W15" i="6"/>
  <c r="V15" i="6"/>
  <c r="Y75" i="5"/>
  <c r="X75" i="5"/>
  <c r="W75" i="5"/>
  <c r="V75" i="5"/>
  <c r="Y74" i="5"/>
  <c r="X74" i="5"/>
  <c r="W74" i="5"/>
  <c r="V74" i="5"/>
  <c r="Y73" i="5"/>
  <c r="X73" i="5"/>
  <c r="W73" i="5"/>
  <c r="V73" i="5"/>
  <c r="Y72" i="5"/>
  <c r="X72" i="5"/>
  <c r="W72" i="5"/>
  <c r="V72" i="5"/>
  <c r="Y71" i="5"/>
  <c r="X71" i="5"/>
  <c r="W71" i="5"/>
  <c r="V71" i="5"/>
  <c r="Y70" i="5"/>
  <c r="X70" i="5"/>
  <c r="W70" i="5"/>
  <c r="V70" i="5"/>
  <c r="Y69" i="5"/>
  <c r="X69" i="5"/>
  <c r="W69" i="5"/>
  <c r="V69" i="5"/>
  <c r="Y68" i="5"/>
  <c r="X68" i="5"/>
  <c r="W68" i="5"/>
  <c r="V68" i="5"/>
  <c r="Y67" i="5"/>
  <c r="X67" i="5"/>
  <c r="W67" i="5"/>
  <c r="V67" i="5"/>
  <c r="Y66" i="5"/>
  <c r="X66" i="5"/>
  <c r="W66" i="5"/>
  <c r="V66" i="5"/>
  <c r="Y65" i="5"/>
  <c r="X65" i="5"/>
  <c r="W65" i="5"/>
  <c r="V65" i="5"/>
  <c r="Y64" i="5"/>
  <c r="X64" i="5"/>
  <c r="W64" i="5"/>
  <c r="V64" i="5"/>
  <c r="Y63" i="5"/>
  <c r="X63" i="5"/>
  <c r="W63" i="5"/>
  <c r="V63" i="5"/>
  <c r="Y62" i="5"/>
  <c r="X62" i="5"/>
  <c r="W62" i="5"/>
  <c r="V62" i="5"/>
  <c r="Y61" i="5"/>
  <c r="X61" i="5"/>
  <c r="W61" i="5"/>
  <c r="V61" i="5"/>
  <c r="Y60" i="5"/>
  <c r="X60" i="5"/>
  <c r="W60" i="5"/>
  <c r="V60" i="5"/>
  <c r="Y59" i="5"/>
  <c r="X59" i="5"/>
  <c r="W59" i="5"/>
  <c r="V59" i="5"/>
  <c r="Y58" i="5"/>
  <c r="X58" i="5"/>
  <c r="W58" i="5"/>
  <c r="V58" i="5"/>
  <c r="Y57" i="5"/>
  <c r="X57" i="5"/>
  <c r="W57" i="5"/>
  <c r="V57" i="5"/>
  <c r="Y56" i="5"/>
  <c r="X56" i="5"/>
  <c r="W56" i="5"/>
  <c r="V56" i="5"/>
  <c r="Y55" i="5"/>
  <c r="X55" i="5"/>
  <c r="W55" i="5"/>
  <c r="V55" i="5"/>
  <c r="Y54" i="5"/>
  <c r="X54" i="5"/>
  <c r="W54" i="5"/>
  <c r="V54" i="5"/>
  <c r="Y53" i="5"/>
  <c r="X53" i="5"/>
  <c r="W53" i="5"/>
  <c r="V53" i="5"/>
  <c r="Y52" i="5"/>
  <c r="X52" i="5"/>
  <c r="W52" i="5"/>
  <c r="V52" i="5"/>
  <c r="Y51" i="5"/>
  <c r="X51" i="5"/>
  <c r="W51" i="5"/>
  <c r="V51" i="5"/>
  <c r="Y50" i="5"/>
  <c r="X50" i="5"/>
  <c r="W50" i="5"/>
  <c r="V50" i="5"/>
  <c r="Y49" i="5"/>
  <c r="X49" i="5"/>
  <c r="W49" i="5"/>
  <c r="V49" i="5"/>
  <c r="Y48" i="5"/>
  <c r="X48" i="5"/>
  <c r="W48" i="5"/>
  <c r="V48" i="5"/>
  <c r="Y47" i="5"/>
  <c r="X47" i="5"/>
  <c r="W47" i="5"/>
  <c r="V47" i="5"/>
  <c r="Y46" i="5"/>
  <c r="X46" i="5"/>
  <c r="W46" i="5"/>
  <c r="V46" i="5"/>
  <c r="Y45" i="5"/>
  <c r="X45" i="5"/>
  <c r="W45" i="5"/>
  <c r="V45" i="5"/>
  <c r="Y44" i="5"/>
  <c r="X44" i="5"/>
  <c r="W44" i="5"/>
  <c r="V44" i="5"/>
  <c r="Y43" i="5"/>
  <c r="X43" i="5"/>
  <c r="W43" i="5"/>
  <c r="V43" i="5"/>
  <c r="Y42" i="5"/>
  <c r="X42" i="5"/>
  <c r="W42" i="5"/>
  <c r="V42" i="5"/>
  <c r="Y41" i="5"/>
  <c r="X41" i="5"/>
  <c r="W41" i="5"/>
  <c r="V41" i="5"/>
  <c r="Y40" i="5"/>
  <c r="X40" i="5"/>
  <c r="W40" i="5"/>
  <c r="V40" i="5"/>
  <c r="Y39" i="5"/>
  <c r="X39" i="5"/>
  <c r="W39" i="5"/>
  <c r="V39" i="5"/>
  <c r="Y38" i="5"/>
  <c r="X38" i="5"/>
  <c r="W38" i="5"/>
  <c r="V38" i="5"/>
  <c r="Y37" i="5"/>
  <c r="X37" i="5"/>
  <c r="W37" i="5"/>
  <c r="V37" i="5"/>
  <c r="Y36" i="5"/>
  <c r="X36" i="5"/>
  <c r="W36" i="5"/>
  <c r="V36" i="5"/>
  <c r="Y35" i="5"/>
  <c r="X35" i="5"/>
  <c r="W35" i="5"/>
  <c r="V35" i="5"/>
  <c r="Y34" i="5"/>
  <c r="X34" i="5"/>
  <c r="W34" i="5"/>
  <c r="V34" i="5"/>
  <c r="Y33" i="5"/>
  <c r="X33" i="5"/>
  <c r="W33" i="5"/>
  <c r="V33" i="5"/>
  <c r="Y32" i="5"/>
  <c r="X32" i="5"/>
  <c r="W32" i="5"/>
  <c r="V32" i="5"/>
  <c r="Y31" i="5"/>
  <c r="X31" i="5"/>
  <c r="W31" i="5"/>
  <c r="V31" i="5"/>
  <c r="Y30" i="5"/>
  <c r="X30" i="5"/>
  <c r="W30" i="5"/>
  <c r="V30" i="5"/>
  <c r="Y29" i="5"/>
  <c r="X29" i="5"/>
  <c r="W29" i="5"/>
  <c r="V29" i="5"/>
  <c r="Y28" i="5"/>
  <c r="X28" i="5"/>
  <c r="W28" i="5"/>
  <c r="V28" i="5"/>
  <c r="Y27" i="5"/>
  <c r="X27" i="5"/>
  <c r="W27" i="5"/>
  <c r="V27" i="5"/>
  <c r="Y26" i="5"/>
  <c r="X26" i="5"/>
  <c r="W26" i="5"/>
  <c r="V26" i="5"/>
  <c r="Y25" i="5"/>
  <c r="X25" i="5"/>
  <c r="W25" i="5"/>
  <c r="V25" i="5"/>
  <c r="Y24" i="5"/>
  <c r="X24" i="5"/>
  <c r="W24" i="5"/>
  <c r="V24" i="5"/>
  <c r="Y23" i="5"/>
  <c r="X23" i="5"/>
  <c r="W23" i="5"/>
  <c r="V23" i="5"/>
  <c r="Y22" i="5"/>
  <c r="X22" i="5"/>
  <c r="W22" i="5"/>
  <c r="V22" i="5"/>
  <c r="Y21" i="5"/>
  <c r="X21" i="5"/>
  <c r="W21" i="5"/>
  <c r="V21" i="5"/>
  <c r="Y20" i="5"/>
  <c r="X20" i="5"/>
  <c r="W20" i="5"/>
  <c r="V20" i="5"/>
  <c r="Y19" i="5"/>
  <c r="X19" i="5"/>
  <c r="W19" i="5"/>
  <c r="V19" i="5"/>
  <c r="Y18" i="5"/>
  <c r="X18" i="5"/>
  <c r="W18" i="5"/>
  <c r="V18" i="5"/>
  <c r="Y17" i="5"/>
  <c r="X17" i="5"/>
  <c r="W17" i="5"/>
  <c r="V17" i="5"/>
  <c r="Y16" i="5"/>
  <c r="X16" i="5"/>
  <c r="W16" i="5"/>
  <c r="V16" i="5"/>
  <c r="Y15" i="5"/>
  <c r="X15" i="5"/>
  <c r="W15" i="5"/>
  <c r="V15" i="5"/>
  <c r="W18" i="1"/>
  <c r="X18" i="1"/>
  <c r="Y18" i="1"/>
  <c r="W19" i="1"/>
  <c r="X19" i="1"/>
  <c r="Y19" i="1"/>
  <c r="W20" i="1"/>
  <c r="X20" i="1"/>
  <c r="Y20" i="1"/>
  <c r="W21" i="1"/>
  <c r="X21" i="1"/>
  <c r="Y21" i="1"/>
  <c r="W22" i="1"/>
  <c r="X22" i="1"/>
  <c r="Y22" i="1"/>
  <c r="W23" i="1"/>
  <c r="X23" i="1"/>
  <c r="Y23" i="1"/>
  <c r="W24" i="1"/>
  <c r="X24" i="1"/>
  <c r="Y24" i="1"/>
  <c r="W25" i="1"/>
  <c r="X25" i="1"/>
  <c r="Y25" i="1"/>
  <c r="W26" i="1"/>
  <c r="X26" i="1"/>
  <c r="Y26" i="1"/>
  <c r="W27" i="1"/>
  <c r="X27" i="1"/>
  <c r="Y27" i="1"/>
  <c r="W28" i="1"/>
  <c r="X28" i="1"/>
  <c r="Y28" i="1"/>
  <c r="W29" i="1"/>
  <c r="X29" i="1"/>
  <c r="Y29" i="1"/>
  <c r="W30" i="1"/>
  <c r="X30" i="1"/>
  <c r="Y30" i="1"/>
  <c r="W31" i="1"/>
  <c r="X31" i="1"/>
  <c r="Y31" i="1"/>
  <c r="W32" i="1"/>
  <c r="X32" i="1"/>
  <c r="Y32" i="1"/>
  <c r="W33" i="1"/>
  <c r="X33" i="1"/>
  <c r="Y33" i="1"/>
  <c r="W34" i="1"/>
  <c r="X34" i="1"/>
  <c r="Y34" i="1"/>
  <c r="W35" i="1"/>
  <c r="X35" i="1"/>
  <c r="Y35" i="1"/>
  <c r="W36" i="1"/>
  <c r="X36" i="1"/>
  <c r="Y36" i="1"/>
  <c r="W37" i="1"/>
  <c r="X37" i="1"/>
  <c r="Y37" i="1"/>
  <c r="W38" i="1"/>
  <c r="X38" i="1"/>
  <c r="Y38" i="1"/>
  <c r="W39" i="1"/>
  <c r="X39" i="1"/>
  <c r="Y39" i="1"/>
  <c r="W40" i="1"/>
  <c r="X40" i="1"/>
  <c r="Y40" i="1"/>
  <c r="W41" i="1"/>
  <c r="X41" i="1"/>
  <c r="Y41" i="1"/>
  <c r="W42" i="1"/>
  <c r="X42" i="1"/>
  <c r="Y42" i="1"/>
  <c r="W43" i="1"/>
  <c r="X43" i="1"/>
  <c r="Y43" i="1"/>
  <c r="W44" i="1"/>
  <c r="X44" i="1"/>
  <c r="Y44" i="1"/>
  <c r="W45" i="1"/>
  <c r="X45" i="1"/>
  <c r="Y45" i="1"/>
  <c r="W46" i="1"/>
  <c r="X46" i="1"/>
  <c r="Y46" i="1"/>
  <c r="W47" i="1"/>
  <c r="X47" i="1"/>
  <c r="Y47" i="1"/>
  <c r="W48" i="1"/>
  <c r="X48" i="1"/>
  <c r="Y48" i="1"/>
  <c r="W49" i="1"/>
  <c r="X49" i="1"/>
  <c r="Y49" i="1"/>
  <c r="W50" i="1"/>
  <c r="X50" i="1"/>
  <c r="Y50" i="1"/>
  <c r="W51" i="1"/>
  <c r="X51" i="1"/>
  <c r="Y51" i="1"/>
  <c r="W52" i="1"/>
  <c r="X52" i="1"/>
  <c r="Y52" i="1"/>
  <c r="W53" i="1"/>
  <c r="X53" i="1"/>
  <c r="Y53" i="1"/>
  <c r="W54" i="1"/>
  <c r="X54" i="1"/>
  <c r="Y54" i="1"/>
  <c r="W55" i="1"/>
  <c r="X55" i="1"/>
  <c r="Y55" i="1"/>
  <c r="W56" i="1"/>
  <c r="X56" i="1"/>
  <c r="Y56" i="1"/>
  <c r="W57" i="1"/>
  <c r="X57" i="1"/>
  <c r="Y57" i="1"/>
  <c r="W58" i="1"/>
  <c r="X58" i="1"/>
  <c r="Y58" i="1"/>
  <c r="W59" i="1"/>
  <c r="X59" i="1"/>
  <c r="Y59" i="1"/>
  <c r="W60" i="1"/>
  <c r="X60" i="1"/>
  <c r="Y60" i="1"/>
  <c r="W61" i="1"/>
  <c r="X61" i="1"/>
  <c r="Y61" i="1"/>
  <c r="W62" i="1"/>
  <c r="X62" i="1"/>
  <c r="Y62" i="1"/>
  <c r="W63" i="1"/>
  <c r="X63" i="1"/>
  <c r="Y63" i="1"/>
  <c r="W64" i="1"/>
  <c r="X64" i="1"/>
  <c r="Y64" i="1"/>
  <c r="W65" i="1"/>
  <c r="X65" i="1"/>
  <c r="Y65" i="1"/>
  <c r="W66" i="1"/>
  <c r="X66" i="1"/>
  <c r="Y66" i="1"/>
  <c r="W67" i="1"/>
  <c r="X67" i="1"/>
  <c r="Y67" i="1"/>
  <c r="W68" i="1"/>
  <c r="X68" i="1"/>
  <c r="Y68" i="1"/>
  <c r="W69" i="1"/>
  <c r="X69" i="1"/>
  <c r="Y69" i="1"/>
  <c r="W70" i="1"/>
  <c r="X70" i="1"/>
  <c r="Y70" i="1"/>
  <c r="W71" i="1"/>
  <c r="X71" i="1"/>
  <c r="Y71" i="1"/>
  <c r="W72" i="1"/>
  <c r="X72" i="1"/>
  <c r="Y72" i="1"/>
  <c r="W73" i="1"/>
  <c r="X73" i="1"/>
  <c r="Y73" i="1"/>
  <c r="W74" i="1"/>
  <c r="X74" i="1"/>
  <c r="Y74" i="1"/>
  <c r="W75" i="1"/>
  <c r="X75" i="1"/>
  <c r="Y75" i="1"/>
  <c r="Y17" i="1"/>
  <c r="X17" i="1"/>
  <c r="W17" i="1"/>
  <c r="Y16" i="1"/>
  <c r="X16" i="1"/>
  <c r="W16" i="1"/>
  <c r="Y15" i="1"/>
  <c r="X15" i="1"/>
  <c r="W15" i="1"/>
  <c r="F21" i="6" l="1"/>
  <c r="G21" i="6" s="1"/>
  <c r="H21" i="6" s="1"/>
  <c r="F21" i="5" l="1"/>
  <c r="G21" i="5" s="1"/>
  <c r="H21" i="5" s="1"/>
  <c r="I21" i="5" s="1"/>
  <c r="G39" i="6"/>
  <c r="G40" i="6" s="1"/>
  <c r="M38" i="6"/>
  <c r="G38" i="6"/>
  <c r="B38" i="6"/>
  <c r="G37" i="6"/>
  <c r="B37" i="6"/>
  <c r="G36" i="6"/>
  <c r="I31" i="6"/>
  <c r="H31" i="6"/>
  <c r="G31" i="6"/>
  <c r="F31" i="6"/>
  <c r="E31" i="6"/>
  <c r="D31" i="6"/>
  <c r="D27" i="6"/>
  <c r="D26" i="6"/>
  <c r="D25" i="6"/>
  <c r="D22" i="6"/>
  <c r="D23" i="6" s="1"/>
  <c r="E27" i="6"/>
  <c r="T9" i="6"/>
  <c r="G39" i="5"/>
  <c r="G40" i="5" s="1"/>
  <c r="M38" i="5"/>
  <c r="G38" i="5"/>
  <c r="B38" i="5"/>
  <c r="G37" i="5"/>
  <c r="B37" i="5"/>
  <c r="G36" i="5"/>
  <c r="I31" i="5"/>
  <c r="H31" i="5"/>
  <c r="G31" i="5"/>
  <c r="F31" i="5"/>
  <c r="E31" i="5"/>
  <c r="D31" i="5"/>
  <c r="D27" i="5"/>
  <c r="D26" i="5"/>
  <c r="D25" i="5"/>
  <c r="D22" i="5"/>
  <c r="D23" i="5" s="1"/>
  <c r="E27" i="5"/>
  <c r="T9" i="5"/>
  <c r="D24" i="6" l="1"/>
  <c r="D28" i="6" s="1"/>
  <c r="D30" i="6" s="1"/>
  <c r="D32" i="6" s="1"/>
  <c r="D24" i="5"/>
  <c r="D28" i="5" s="1"/>
  <c r="D30" i="5" s="1"/>
  <c r="D32" i="5" s="1"/>
  <c r="G41" i="6"/>
  <c r="E25" i="6"/>
  <c r="E22" i="6"/>
  <c r="C32" i="6"/>
  <c r="E26" i="6"/>
  <c r="C30" i="6"/>
  <c r="G41" i="5"/>
  <c r="E25" i="5"/>
  <c r="E22" i="5"/>
  <c r="C32" i="5"/>
  <c r="E26" i="5"/>
  <c r="C30" i="5"/>
  <c r="Q7" i="6" l="1"/>
  <c r="Q7" i="5"/>
  <c r="F26" i="6"/>
  <c r="F22" i="6"/>
  <c r="F25" i="6"/>
  <c r="F27" i="6"/>
  <c r="E23" i="6"/>
  <c r="E24" i="6"/>
  <c r="E28" i="6" s="1"/>
  <c r="E23" i="5"/>
  <c r="E24" i="5"/>
  <c r="E28" i="5" s="1"/>
  <c r="F26" i="5"/>
  <c r="F22" i="5"/>
  <c r="F25" i="5"/>
  <c r="F27" i="5"/>
  <c r="T9" i="1"/>
  <c r="V16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17" i="1"/>
  <c r="Q8" i="6" l="1"/>
  <c r="E30" i="6"/>
  <c r="E32" i="6" s="1"/>
  <c r="G26" i="6"/>
  <c r="G22" i="6"/>
  <c r="G25" i="6"/>
  <c r="G27" i="6"/>
  <c r="F24" i="6"/>
  <c r="F28" i="6" s="1"/>
  <c r="F23" i="6"/>
  <c r="G26" i="5"/>
  <c r="G22" i="5"/>
  <c r="G25" i="5"/>
  <c r="G27" i="5"/>
  <c r="Q8" i="5"/>
  <c r="E30" i="5"/>
  <c r="E32" i="5" s="1"/>
  <c r="F24" i="5"/>
  <c r="F28" i="5" s="1"/>
  <c r="F23" i="5"/>
  <c r="D22" i="1"/>
  <c r="D27" i="1"/>
  <c r="D26" i="1"/>
  <c r="D25" i="1"/>
  <c r="G36" i="1"/>
  <c r="H22" i="6" l="1"/>
  <c r="H25" i="6"/>
  <c r="H27" i="6"/>
  <c r="H26" i="6"/>
  <c r="Q9" i="6"/>
  <c r="F30" i="6"/>
  <c r="F32" i="6" s="1"/>
  <c r="G24" i="6"/>
  <c r="G28" i="6" s="1"/>
  <c r="G23" i="6"/>
  <c r="Q9" i="5"/>
  <c r="F30" i="5"/>
  <c r="F32" i="5" s="1"/>
  <c r="G24" i="5"/>
  <c r="G28" i="5" s="1"/>
  <c r="G23" i="5"/>
  <c r="H22" i="5"/>
  <c r="H25" i="5"/>
  <c r="H27" i="5"/>
  <c r="H26" i="5"/>
  <c r="E27" i="1"/>
  <c r="E25" i="1"/>
  <c r="E26" i="1"/>
  <c r="F26" i="1"/>
  <c r="F27" i="1"/>
  <c r="G27" i="1"/>
  <c r="G25" i="1"/>
  <c r="G26" i="1"/>
  <c r="F25" i="1"/>
  <c r="I25" i="6" l="1"/>
  <c r="I27" i="6"/>
  <c r="I26" i="6"/>
  <c r="I22" i="6"/>
  <c r="M21" i="6" s="1"/>
  <c r="Q10" i="6"/>
  <c r="G30" i="6"/>
  <c r="G32" i="6" s="1"/>
  <c r="H24" i="6"/>
  <c r="H28" i="6" s="1"/>
  <c r="H23" i="6"/>
  <c r="I25" i="5"/>
  <c r="I27" i="5"/>
  <c r="I26" i="5"/>
  <c r="I22" i="5"/>
  <c r="H24" i="5"/>
  <c r="H28" i="5" s="1"/>
  <c r="H23" i="5"/>
  <c r="Q10" i="5"/>
  <c r="G30" i="5"/>
  <c r="G32" i="5" s="1"/>
  <c r="H26" i="1"/>
  <c r="H27" i="1"/>
  <c r="H25" i="1"/>
  <c r="M21" i="5" l="1"/>
  <c r="I24" i="6"/>
  <c r="I28" i="6" s="1"/>
  <c r="I23" i="6"/>
  <c r="Q11" i="6"/>
  <c r="H30" i="6"/>
  <c r="H32" i="6" s="1"/>
  <c r="Q11" i="5"/>
  <c r="H30" i="5"/>
  <c r="H32" i="5" s="1"/>
  <c r="I24" i="5"/>
  <c r="I28" i="5" s="1"/>
  <c r="I23" i="5"/>
  <c r="I26" i="1"/>
  <c r="I27" i="1"/>
  <c r="I25" i="1"/>
  <c r="E22" i="1"/>
  <c r="B38" i="1"/>
  <c r="Q12" i="6" l="1"/>
  <c r="I30" i="6"/>
  <c r="I32" i="6" s="1"/>
  <c r="B36" i="6" s="1"/>
  <c r="M20" i="6"/>
  <c r="M22" i="6" s="1"/>
  <c r="J32" i="6" s="1"/>
  <c r="Q12" i="5"/>
  <c r="I30" i="5"/>
  <c r="I32" i="5" s="1"/>
  <c r="B36" i="5" s="1"/>
  <c r="M20" i="5"/>
  <c r="M22" i="5" s="1"/>
  <c r="J32" i="5" s="1"/>
  <c r="F22" i="1"/>
  <c r="D23" i="1"/>
  <c r="V15" i="1"/>
  <c r="M38" i="1"/>
  <c r="B37" i="1"/>
  <c r="G37" i="1"/>
  <c r="G38" i="1"/>
  <c r="E31" i="1"/>
  <c r="F31" i="1"/>
  <c r="G31" i="1"/>
  <c r="H31" i="1"/>
  <c r="I31" i="1"/>
  <c r="D31" i="1"/>
  <c r="B39" i="6" l="1"/>
  <c r="B40" i="6" s="1"/>
  <c r="J30" i="6"/>
  <c r="B39" i="5"/>
  <c r="B40" i="5" s="1"/>
  <c r="J30" i="5"/>
  <c r="G22" i="1"/>
  <c r="D24" i="1"/>
  <c r="G39" i="1"/>
  <c r="C30" i="1" s="1"/>
  <c r="M50" i="6" l="1"/>
  <c r="M49" i="6"/>
  <c r="T7" i="6"/>
  <c r="M47" i="6"/>
  <c r="M44" i="6"/>
  <c r="M43" i="6"/>
  <c r="M41" i="6"/>
  <c r="M50" i="5"/>
  <c r="M47" i="5"/>
  <c r="M43" i="5"/>
  <c r="M41" i="5"/>
  <c r="M49" i="5"/>
  <c r="T7" i="5"/>
  <c r="M44" i="5"/>
  <c r="M37" i="6"/>
  <c r="B41" i="6"/>
  <c r="B41" i="5"/>
  <c r="M37" i="5"/>
  <c r="H22" i="1"/>
  <c r="D28" i="1"/>
  <c r="Q7" i="1" s="1"/>
  <c r="G40" i="1"/>
  <c r="G41" i="1" s="1"/>
  <c r="C32" i="1"/>
  <c r="E24" i="1"/>
  <c r="E28" i="1" s="1"/>
  <c r="E23" i="1"/>
  <c r="I22" i="1" l="1"/>
  <c r="M21" i="1" s="1"/>
  <c r="D30" i="1"/>
  <c r="D32" i="1" s="1"/>
  <c r="E30" i="1"/>
  <c r="E32" i="1" s="1"/>
  <c r="Q8" i="1"/>
  <c r="F24" i="1"/>
  <c r="F28" i="1" s="1"/>
  <c r="F23" i="1"/>
  <c r="F30" i="1" l="1"/>
  <c r="F32" i="1" s="1"/>
  <c r="Q9" i="1"/>
  <c r="G24" i="1"/>
  <c r="G28" i="1" s="1"/>
  <c r="G23" i="1"/>
  <c r="G30" i="1" l="1"/>
  <c r="G32" i="1" s="1"/>
  <c r="Q10" i="1"/>
  <c r="H24" i="1"/>
  <c r="H28" i="1" s="1"/>
  <c r="H23" i="1"/>
  <c r="H30" i="1" l="1"/>
  <c r="H32" i="1" s="1"/>
  <c r="Q11" i="1"/>
  <c r="I24" i="1"/>
  <c r="I28" i="1" s="1"/>
  <c r="Q12" i="1" s="1"/>
  <c r="I23" i="1"/>
  <c r="M20" i="1" l="1"/>
  <c r="M22" i="1" s="1"/>
  <c r="I30" i="1"/>
  <c r="I32" i="1" s="1"/>
  <c r="B36" i="1" s="1"/>
  <c r="B39" i="1" l="1"/>
  <c r="B40" i="1" s="1"/>
  <c r="J30" i="1"/>
  <c r="J32" i="1"/>
  <c r="T7" i="1" l="1"/>
  <c r="M50" i="1"/>
  <c r="M44" i="1"/>
  <c r="M41" i="1"/>
  <c r="M49" i="1"/>
  <c r="M47" i="1"/>
  <c r="M43" i="1"/>
  <c r="M37" i="1"/>
  <c r="B41" i="1"/>
</calcChain>
</file>

<file path=xl/sharedStrings.xml><?xml version="1.0" encoding="utf-8"?>
<sst xmlns="http://schemas.openxmlformats.org/spreadsheetml/2006/main" count="344" uniqueCount="127">
  <si>
    <t>Wallace Capital Research</t>
  </si>
  <si>
    <t>Assumptions</t>
  </si>
  <si>
    <t>Tax Rate</t>
  </si>
  <si>
    <t>Discount Rate (WACC)</t>
  </si>
  <si>
    <t>Perpetual Growth Rate</t>
  </si>
  <si>
    <t>EV/EBITDA Multiple</t>
  </si>
  <si>
    <t>Transaction Date</t>
  </si>
  <si>
    <t>Fiscal Year End</t>
  </si>
  <si>
    <t>Current Price</t>
  </si>
  <si>
    <t>Shares Outstanding</t>
  </si>
  <si>
    <t>Debt</t>
  </si>
  <si>
    <t>Cash</t>
  </si>
  <si>
    <t>Capex</t>
  </si>
  <si>
    <t>Entry</t>
  </si>
  <si>
    <t>Exit</t>
  </si>
  <si>
    <t>Terminal Value</t>
  </si>
  <si>
    <t>Date</t>
  </si>
  <si>
    <t>Perpetual Growth</t>
  </si>
  <si>
    <t>Revenue</t>
  </si>
  <si>
    <t>EV/EBITDA</t>
  </si>
  <si>
    <t>Average</t>
  </si>
  <si>
    <t>Taxes</t>
  </si>
  <si>
    <t>(EBIT * Tax Rate)</t>
  </si>
  <si>
    <t>NOPAT</t>
  </si>
  <si>
    <t>(EBIT * (1 - Tax Rate)</t>
  </si>
  <si>
    <t>Plus: D&amp;A</t>
  </si>
  <si>
    <t>Less: Capex</t>
  </si>
  <si>
    <t>Less: Change in NWC</t>
  </si>
  <si>
    <t>Unlevered Free Cash Flow</t>
  </si>
  <si>
    <t>(NOPAT + D&amp;A - Capex - Change in NWC)</t>
  </si>
  <si>
    <t>Enterprise Value</t>
  </si>
  <si>
    <t>Market Value</t>
  </si>
  <si>
    <t>(Market Cap + Debt - Cash)</t>
  </si>
  <si>
    <t>Market Cap</t>
  </si>
  <si>
    <t>(Shares Outstanding * Current Price)</t>
  </si>
  <si>
    <t>Time Period</t>
  </si>
  <si>
    <t>Transaction CF</t>
  </si>
  <si>
    <t>Discount Factor</t>
  </si>
  <si>
    <t>(Unlevered FCF 2031 + Average Terminal Value)</t>
  </si>
  <si>
    <t>(1/(1+WACC)^Time Period</t>
  </si>
  <si>
    <t>Present Value of Transaction CF</t>
  </si>
  <si>
    <t>Intrinsic Value</t>
  </si>
  <si>
    <t>Intrinsic Enterprise Value</t>
  </si>
  <si>
    <t>Discounted Cash Flow</t>
  </si>
  <si>
    <t>Intrinsic Equity Value</t>
  </si>
  <si>
    <t>(Sum all PV of Transaction CF)</t>
  </si>
  <si>
    <t>Upside / Downside %</t>
  </si>
  <si>
    <t>(Intrinsic Equity Value per Share / Current Price) - 1</t>
  </si>
  <si>
    <t>Enterprise Value per Share</t>
  </si>
  <si>
    <t>(Enterprise Value / Shares Outstanding)</t>
  </si>
  <si>
    <t>(Enterprise Value per Share / Current Price) - 1</t>
  </si>
  <si>
    <t>Rate of Return</t>
  </si>
  <si>
    <t>Target Price Upside</t>
  </si>
  <si>
    <t>Internal Rate of Return (IRR)</t>
  </si>
  <si>
    <t>Intrinsic Value vs Market Value</t>
  </si>
  <si>
    <t>Upside</t>
  </si>
  <si>
    <t>Present Value of Transaction CF (millions)</t>
  </si>
  <si>
    <t>(IRR in millions)</t>
  </si>
  <si>
    <t>Chart Data</t>
  </si>
  <si>
    <t>Year</t>
  </si>
  <si>
    <t>Unlevered FCF</t>
  </si>
  <si>
    <t>Category</t>
  </si>
  <si>
    <t>Value ($ per share)</t>
  </si>
  <si>
    <t>5 YR DCF MODEL</t>
  </si>
  <si>
    <t>S&amp;P 500</t>
  </si>
  <si>
    <t>DJIA</t>
  </si>
  <si>
    <t>S&amp;P 500 Indexed</t>
  </si>
  <si>
    <t>DJIA Indexed</t>
  </si>
  <si>
    <t>Total returns indexed to 100</t>
  </si>
  <si>
    <t>(From Yahoo Finance)</t>
  </si>
  <si>
    <t>NASDAQ Composite</t>
  </si>
  <si>
    <t>NASDAQ Indexed</t>
  </si>
  <si>
    <t>Perpetual Growth Equity Value per Share</t>
  </si>
  <si>
    <t>Downside</t>
  </si>
  <si>
    <t>Mid to end of month closing price</t>
  </si>
  <si>
    <t>(Intrinsic EV + Cash - Debt + Average Growth Terminal Value) / 2</t>
  </si>
  <si>
    <t>(Intrinsic Equity Value / Shares Outstanding)</t>
  </si>
  <si>
    <t>EBIT Margin</t>
  </si>
  <si>
    <t>*base-case assumptions</t>
  </si>
  <si>
    <t>*bear-case assumptions</t>
  </si>
  <si>
    <t>*bull-case assumptions</t>
  </si>
  <si>
    <t>12.0x</t>
  </si>
  <si>
    <t>(as of July 2026)</t>
  </si>
  <si>
    <t>(8% of Revenue)</t>
  </si>
  <si>
    <t>(5% of Revenue)</t>
  </si>
  <si>
    <t>(7% of Revenue)</t>
  </si>
  <si>
    <t>Intrinsic Value vs Current Price</t>
  </si>
  <si>
    <t>10.0x</t>
  </si>
  <si>
    <t>108,850,000 (5% of Revenue)</t>
  </si>
  <si>
    <t>14.0x</t>
  </si>
  <si>
    <t>(0.5% of Revenue)</t>
  </si>
  <si>
    <t>The Wendy's Company</t>
  </si>
  <si>
    <t>Wendy's Indexed</t>
  </si>
  <si>
    <t>Upside ($)</t>
  </si>
  <si>
    <t>Upside (%)</t>
  </si>
  <si>
    <t>Input</t>
  </si>
  <si>
    <t>Ticker</t>
  </si>
  <si>
    <t>Beta</t>
  </si>
  <si>
    <t>Total Debt</t>
  </si>
  <si>
    <t>Interest Expense (TTM)</t>
  </si>
  <si>
    <t>Effective Tax Rate</t>
  </si>
  <si>
    <t>Risk-Free Rate (beginning of month)</t>
  </si>
  <si>
    <t>Capital Structure Weights</t>
  </si>
  <si>
    <t>Total Capitalization</t>
  </si>
  <si>
    <t>Weight of Equity (E/V)</t>
  </si>
  <si>
    <t>Weight of Debt (D/V)</t>
  </si>
  <si>
    <r>
      <t>Cost of Equity (R</t>
    </r>
    <r>
      <rPr>
        <b/>
        <vertAlign val="sub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) via CAPM</t>
    </r>
  </si>
  <si>
    <t>Formula</t>
  </si>
  <si>
    <t>Risk-Free Rate + (Beta x Market Risk Premium)</t>
  </si>
  <si>
    <t>Market Risk Premium (assuming 9% return)</t>
  </si>
  <si>
    <t>Calculation</t>
  </si>
  <si>
    <r>
      <t>After-Tax Cost of Debt (R</t>
    </r>
    <r>
      <rPr>
        <b/>
        <vertAlign val="subscript"/>
        <sz val="11"/>
        <color theme="1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)</t>
    </r>
  </si>
  <si>
    <t>Pre-Tax Cost of Debt</t>
  </si>
  <si>
    <t>After-Tax Shield Formula</t>
  </si>
  <si>
    <t>Pre-Tax Rate x (1-Tax Rate)</t>
  </si>
  <si>
    <t>Final Weighted Average Cost of Capital (WACC)</t>
  </si>
  <si>
    <r>
      <t>(W</t>
    </r>
    <r>
      <rPr>
        <vertAlign val="subscript"/>
        <sz val="11"/>
        <color theme="1"/>
        <rFont val="Calibri"/>
        <family val="2"/>
        <scheme val="minor"/>
      </rPr>
      <t>equity</t>
    </r>
    <r>
      <rPr>
        <sz val="11"/>
        <color theme="1"/>
        <rFont val="Calibri"/>
        <family val="2"/>
        <scheme val="minor"/>
      </rPr>
      <t xml:space="preserve"> x R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) + (W</t>
    </r>
    <r>
      <rPr>
        <vertAlign val="subscript"/>
        <sz val="11"/>
        <color theme="1"/>
        <rFont val="Calibri"/>
        <family val="2"/>
        <scheme val="minor"/>
      </rPr>
      <t>debt</t>
    </r>
    <r>
      <rPr>
        <sz val="11"/>
        <color theme="1"/>
        <rFont val="Calibri"/>
        <family val="2"/>
        <scheme val="minor"/>
      </rPr>
      <t xml:space="preserve"> x After-Tax R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)</t>
    </r>
  </si>
  <si>
    <t>WEN</t>
  </si>
  <si>
    <t>(Modest revenue appreciation from previous declines)</t>
  </si>
  <si>
    <t>(Revenue * 0.1)</t>
  </si>
  <si>
    <t>(6% of Revenue)</t>
  </si>
  <si>
    <t>(0% of Revenue)</t>
  </si>
  <si>
    <t>130,620,000 (6% of Revenue)</t>
  </si>
  <si>
    <t>(1% of Revenue)</t>
  </si>
  <si>
    <t>152,390,000 (7% of Revenue)</t>
  </si>
  <si>
    <t>(Revenue * 0.1) kept static</t>
  </si>
  <si>
    <t>*kept same as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</si>
</sst>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.0"/>
    <numFmt numFmtId="166" formatCode="&quot;$&quot;#,##0"/>
    <numFmt numFmtId="167" formatCode="_(&quot;$&quot;* #,##0_);_(&quot;$&quot;* \(#,##0\);_(&quot;$&quot;* &quot;-&quot;??_);_(@_)"/>
    <numFmt numFmtId="168" formatCode="_(* #,##0_);_(* \(#,##0\);_(* &quot;-&quot;??_);_(@_)"/>
    <numFmt numFmtId="169" formatCode="0.0%"/>
    <numFmt numFmtId="170" formatCode="0.000"/>
  </numFmts>
  <fonts count="9" x14ac:knownFonts="1">
    <font>
      <sz val="11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0" fillId="2" borderId="0" xfId="0" applyFill="1"/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6" fontId="0" fillId="0" borderId="0" xfId="0" applyNumberFormat="1" applyAlignment="1">
      <alignment horizontal="center" vertical="top"/>
    </xf>
    <xf numFmtId="0" fontId="5" fillId="0" borderId="0" xfId="0" applyFont="1"/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6" fontId="0" fillId="0" borderId="0" xfId="0" applyNumberFormat="1"/>
    <xf numFmtId="167" fontId="0" fillId="0" borderId="0" xfId="0" applyNumberFormat="1"/>
    <xf numFmtId="164" fontId="0" fillId="0" borderId="0" xfId="0" applyNumberFormat="1"/>
    <xf numFmtId="166" fontId="0" fillId="0" borderId="0" xfId="0" applyNumberFormat="1" applyAlignment="1">
      <alignment horizontal="left"/>
    </xf>
    <xf numFmtId="164" fontId="0" fillId="0" borderId="0" xfId="0" applyNumberFormat="1" applyAlignment="1">
      <alignment vertical="top"/>
    </xf>
    <xf numFmtId="6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0" fontId="0" fillId="0" borderId="0" xfId="0" applyNumberFormat="1"/>
    <xf numFmtId="10" fontId="0" fillId="0" borderId="0" xfId="0" applyNumberFormat="1" applyAlignment="1">
      <alignment horizontal="left"/>
    </xf>
    <xf numFmtId="9" fontId="0" fillId="0" borderId="0" xfId="0" applyNumberFormat="1"/>
    <xf numFmtId="3" fontId="0" fillId="0" borderId="0" xfId="0" applyNumberFormat="1"/>
    <xf numFmtId="2" fontId="0" fillId="0" borderId="0" xfId="0" applyNumberFormat="1"/>
    <xf numFmtId="168" fontId="0" fillId="0" borderId="0" xfId="1" applyNumberFormat="1" applyFont="1"/>
    <xf numFmtId="0" fontId="2" fillId="4" borderId="0" xfId="0" applyFont="1" applyFill="1"/>
    <xf numFmtId="0" fontId="0" fillId="4" borderId="0" xfId="0" applyFill="1"/>
    <xf numFmtId="168" fontId="0" fillId="0" borderId="0" xfId="2" applyNumberFormat="1" applyFont="1"/>
    <xf numFmtId="165" fontId="0" fillId="0" borderId="0" xfId="0" applyNumberFormat="1" applyAlignment="1">
      <alignment horizontal="center"/>
    </xf>
    <xf numFmtId="9" fontId="3" fillId="3" borderId="0" xfId="0" applyNumberFormat="1" applyFont="1" applyFill="1" applyAlignment="1">
      <alignment horizontal="left"/>
    </xf>
    <xf numFmtId="169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6" fontId="0" fillId="3" borderId="0" xfId="0" applyNumberFormat="1" applyFill="1" applyAlignment="1">
      <alignment horizontal="left"/>
    </xf>
    <xf numFmtId="3" fontId="0" fillId="3" borderId="0" xfId="0" applyNumberFormat="1" applyFill="1" applyAlignment="1">
      <alignment horizontal="left"/>
    </xf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0" xfId="1" applyNumberFormat="1" applyFont="1"/>
    <xf numFmtId="170" fontId="0" fillId="0" borderId="0" xfId="0" applyNumberFormat="1"/>
    <xf numFmtId="0" fontId="4" fillId="5" borderId="1" xfId="0" applyFont="1" applyFill="1" applyBorder="1"/>
    <xf numFmtId="0" fontId="0" fillId="5" borderId="3" xfId="0" applyFill="1" applyBorder="1"/>
    <xf numFmtId="0" fontId="0" fillId="5" borderId="4" xfId="0" applyFill="1" applyBorder="1"/>
    <xf numFmtId="164" fontId="0" fillId="5" borderId="5" xfId="0" applyNumberFormat="1" applyFill="1" applyBorder="1"/>
    <xf numFmtId="0" fontId="0" fillId="5" borderId="5" xfId="0" applyFill="1" applyBorder="1"/>
    <xf numFmtId="0" fontId="4" fillId="5" borderId="4" xfId="0" applyFont="1" applyFill="1" applyBorder="1"/>
    <xf numFmtId="0" fontId="0" fillId="5" borderId="6" xfId="0" applyFill="1" applyBorder="1"/>
    <xf numFmtId="8" fontId="0" fillId="5" borderId="5" xfId="0" applyNumberFormat="1" applyFill="1" applyBorder="1"/>
    <xf numFmtId="10" fontId="0" fillId="5" borderId="5" xfId="3" applyNumberFormat="1" applyFont="1" applyFill="1" applyBorder="1"/>
    <xf numFmtId="10" fontId="0" fillId="5" borderId="8" xfId="3" applyNumberFormat="1" applyFont="1" applyFill="1" applyBorder="1"/>
    <xf numFmtId="17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right"/>
    </xf>
    <xf numFmtId="168" fontId="0" fillId="0" borderId="5" xfId="1" applyNumberFormat="1" applyFont="1" applyBorder="1" applyAlignment="1">
      <alignment horizontal="right"/>
    </xf>
    <xf numFmtId="9" fontId="0" fillId="0" borderId="5" xfId="0" applyNumberFormat="1" applyBorder="1" applyAlignment="1">
      <alignment horizontal="right"/>
    </xf>
    <xf numFmtId="10" fontId="0" fillId="0" borderId="8" xfId="0" applyNumberFormat="1" applyBorder="1" applyAlignment="1">
      <alignment horizontal="right"/>
    </xf>
    <xf numFmtId="168" fontId="0" fillId="0" borderId="0" xfId="0" applyNumberFormat="1"/>
    <xf numFmtId="10" fontId="0" fillId="0" borderId="0" xfId="3" applyNumberFormat="1" applyFont="1"/>
    <xf numFmtId="1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'Base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'Base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'Base Assumptions'!$Q$7:$Q$12</c:f>
              <c:numCache>
                <c:formatCode>_(* #,##0_);_(* \(#,##0\);_(* "-"??_);_(@_)</c:formatCode>
                <c:ptCount val="6"/>
                <c:pt idx="0">
                  <c:v>167629000</c:v>
                </c:pt>
                <c:pt idx="1">
                  <c:v>169305290</c:v>
                </c:pt>
                <c:pt idx="2">
                  <c:v>170998342.89999998</c:v>
                </c:pt>
                <c:pt idx="3">
                  <c:v>172708326.329</c:v>
                </c:pt>
                <c:pt idx="4">
                  <c:v>174435409.59229001</c:v>
                </c:pt>
                <c:pt idx="5">
                  <c:v>176179763.68821293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7-4AF1-9A8F-C1340CFDF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6E7-4242-935E-C5C9592ED4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Assumptions'!$S$7:$S$9</c:f>
              <c:strCache>
                <c:ptCount val="3"/>
                <c:pt idx="0">
                  <c:v>Intrinsic Value</c:v>
                </c:pt>
                <c:pt idx="1">
                  <c:v>Upside</c:v>
                </c:pt>
                <c:pt idx="2">
                  <c:v>Current Price</c:v>
                </c:pt>
              </c:strCache>
            </c:strRef>
          </c:cat>
          <c:val>
            <c:numRef>
              <c:f>'Base Assumptions'!$T$7:$T$9</c:f>
              <c:numCache>
                <c:formatCode>"$"#,##0.00</c:formatCode>
                <c:ptCount val="3"/>
                <c:pt idx="0">
                  <c:v>14.665762530044356</c:v>
                </c:pt>
                <c:pt idx="1">
                  <c:v>5.67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C-47D6-B258-AA75CCA0D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WEN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 Assumptions'!$V$14</c:f>
              <c:strCache>
                <c:ptCount val="1"/>
                <c:pt idx="0">
                  <c:v>Wendy's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'Base Assumptions'!$V$15:$V$73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98.664368806548893</c:v>
                </c:pt>
                <c:pt idx="2">
                  <c:v>96.079276174062898</c:v>
                </c:pt>
                <c:pt idx="3">
                  <c:v>97.328737613097786</c:v>
                </c:pt>
                <c:pt idx="4">
                  <c:v>91.856958207669109</c:v>
                </c:pt>
                <c:pt idx="5">
                  <c:v>100.5170185264972</c:v>
                </c:pt>
                <c:pt idx="6">
                  <c:v>97.759586385178807</c:v>
                </c:pt>
                <c:pt idx="7">
                  <c:v>97.888841016803099</c:v>
                </c:pt>
                <c:pt idx="8">
                  <c:v>94.442050840155105</c:v>
                </c:pt>
                <c:pt idx="9">
                  <c:v>85.135717363205515</c:v>
                </c:pt>
                <c:pt idx="10">
                  <c:v>81.387333046100821</c:v>
                </c:pt>
                <c:pt idx="11">
                  <c:v>83.412322274881518</c:v>
                </c:pt>
                <c:pt idx="12">
                  <c:v>90.607496768634206</c:v>
                </c:pt>
                <c:pt idx="13">
                  <c:v>91.124515295131403</c:v>
                </c:pt>
                <c:pt idx="14">
                  <c:v>82.162860835846615</c:v>
                </c:pt>
                <c:pt idx="15">
                  <c:v>90.348987505385608</c:v>
                </c:pt>
                <c:pt idx="16">
                  <c:v>99.138302455838001</c:v>
                </c:pt>
                <c:pt idx="17">
                  <c:v>97.501077121930194</c:v>
                </c:pt>
                <c:pt idx="18">
                  <c:v>95.993106419646708</c:v>
                </c:pt>
                <c:pt idx="19">
                  <c:v>96.940973718224896</c:v>
                </c:pt>
                <c:pt idx="20">
                  <c:v>90.564411891426104</c:v>
                </c:pt>
                <c:pt idx="21">
                  <c:v>97.630331753554501</c:v>
                </c:pt>
                <c:pt idx="22">
                  <c:v>98.018095648427391</c:v>
                </c:pt>
                <c:pt idx="23">
                  <c:v>93.709607927617398</c:v>
                </c:pt>
                <c:pt idx="24">
                  <c:v>93.020249892287794</c:v>
                </c:pt>
                <c:pt idx="25">
                  <c:v>86.945282205945702</c:v>
                </c:pt>
                <c:pt idx="26">
                  <c:v>87.936234381732021</c:v>
                </c:pt>
                <c:pt idx="27">
                  <c:v>81.990521327014221</c:v>
                </c:pt>
                <c:pt idx="28">
                  <c:v>84.187850064627312</c:v>
                </c:pt>
                <c:pt idx="29">
                  <c:v>85.264971994829807</c:v>
                </c:pt>
                <c:pt idx="30">
                  <c:v>82.162860835846615</c:v>
                </c:pt>
                <c:pt idx="31">
                  <c:v>79.405428694528212</c:v>
                </c:pt>
                <c:pt idx="32">
                  <c:v>80.008616975441612</c:v>
                </c:pt>
                <c:pt idx="33">
                  <c:v>86.772942697113308</c:v>
                </c:pt>
                <c:pt idx="34">
                  <c:v>79.233089185695817</c:v>
                </c:pt>
                <c:pt idx="35">
                  <c:v>71.822490305902633</c:v>
                </c:pt>
                <c:pt idx="36">
                  <c:v>72.72727272727272</c:v>
                </c:pt>
                <c:pt idx="37">
                  <c:v>72.899612236105128</c:v>
                </c:pt>
                <c:pt idx="38">
                  <c:v>75.140025850926335</c:v>
                </c:pt>
                <c:pt idx="39">
                  <c:v>84.187850064627312</c:v>
                </c:pt>
                <c:pt idx="40">
                  <c:v>79.103834554071511</c:v>
                </c:pt>
                <c:pt idx="41">
                  <c:v>71.090047393364927</c:v>
                </c:pt>
                <c:pt idx="42">
                  <c:v>62.903920723825934</c:v>
                </c:pt>
                <c:pt idx="43">
                  <c:v>66.781559672554934</c:v>
                </c:pt>
                <c:pt idx="44">
                  <c:v>57.30288668677295</c:v>
                </c:pt>
                <c:pt idx="45">
                  <c:v>55.062473071951743</c:v>
                </c:pt>
                <c:pt idx="46">
                  <c:v>52.822059457130543</c:v>
                </c:pt>
                <c:pt idx="47">
                  <c:v>49.806118052563555</c:v>
                </c:pt>
                <c:pt idx="48">
                  <c:v>45.109866436880658</c:v>
                </c:pt>
                <c:pt idx="49">
                  <c:v>45.713054717794051</c:v>
                </c:pt>
                <c:pt idx="50">
                  <c:v>41.146057733735461</c:v>
                </c:pt>
                <c:pt idx="51">
                  <c:v>38.690219732873757</c:v>
                </c:pt>
                <c:pt idx="52">
                  <c:v>36.406721240844462</c:v>
                </c:pt>
                <c:pt idx="53">
                  <c:v>35.200344679017661</c:v>
                </c:pt>
                <c:pt idx="54">
                  <c:v>36.277466609220163</c:v>
                </c:pt>
                <c:pt idx="55">
                  <c:v>33.00301594140457</c:v>
                </c:pt>
                <c:pt idx="56">
                  <c:v>29.297716501507971</c:v>
                </c:pt>
                <c:pt idx="57">
                  <c:v>29.943989659629473</c:v>
                </c:pt>
                <c:pt idx="58">
                  <c:v>33.649289099526065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3-4ECE-B81D-8DB2175BF751}"/>
            </c:ext>
          </c:extLst>
        </c:ser>
        <c:ser>
          <c:idx val="1"/>
          <c:order val="1"/>
          <c:tx>
            <c:strRef>
              <c:f>'Base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'Base Assumptions'!$W$15:$W$73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102.59620591273327</c:v>
                </c:pt>
                <c:pt idx="2">
                  <c:v>101.37011234830247</c:v>
                </c:pt>
                <c:pt idx="3">
                  <c:v>103.40457674858823</c:v>
                </c:pt>
                <c:pt idx="4">
                  <c:v>104.53579537956799</c:v>
                </c:pt>
                <c:pt idx="5">
                  <c:v>108.43909120279574</c:v>
                </c:pt>
                <c:pt idx="6">
                  <c:v>102.39508015453009</c:v>
                </c:pt>
                <c:pt idx="7">
                  <c:v>99.758603586590993</c:v>
                </c:pt>
                <c:pt idx="8">
                  <c:v>103.36271346860026</c:v>
                </c:pt>
                <c:pt idx="9">
                  <c:v>97.190609884284413</c:v>
                </c:pt>
                <c:pt idx="10">
                  <c:v>94.607372487634393</c:v>
                </c:pt>
                <c:pt idx="11">
                  <c:v>88.999058076200271</c:v>
                </c:pt>
                <c:pt idx="12">
                  <c:v>93.971460163903842</c:v>
                </c:pt>
                <c:pt idx="13">
                  <c:v>89.28391039437939</c:v>
                </c:pt>
                <c:pt idx="14">
                  <c:v>81.579246733981606</c:v>
                </c:pt>
                <c:pt idx="15">
                  <c:v>88.756069038009116</c:v>
                </c:pt>
                <c:pt idx="16">
                  <c:v>91.601406970236113</c:v>
                </c:pt>
                <c:pt idx="17">
                  <c:v>87.355469301019724</c:v>
                </c:pt>
                <c:pt idx="18">
                  <c:v>92.61249618907641</c:v>
                </c:pt>
                <c:pt idx="19">
                  <c:v>92.045521766630415</c:v>
                </c:pt>
                <c:pt idx="20">
                  <c:v>90.347101195378642</c:v>
                </c:pt>
                <c:pt idx="21">
                  <c:v>94.044948421708852</c:v>
                </c:pt>
                <c:pt idx="22">
                  <c:v>97.431551262041367</c:v>
                </c:pt>
                <c:pt idx="23">
                  <c:v>101.25407825703144</c:v>
                </c:pt>
                <c:pt idx="24">
                  <c:v>104.25390079312713</c:v>
                </c:pt>
                <c:pt idx="25">
                  <c:v>102.74181732138715</c:v>
                </c:pt>
                <c:pt idx="26">
                  <c:v>98.289065948317059</c:v>
                </c:pt>
                <c:pt idx="27">
                  <c:v>93.677507132683829</c:v>
                </c:pt>
                <c:pt idx="28">
                  <c:v>103.73311248936355</c:v>
                </c:pt>
                <c:pt idx="29">
                  <c:v>108.52213520929364</c:v>
                </c:pt>
                <c:pt idx="30">
                  <c:v>112.8172167289307</c:v>
                </c:pt>
                <c:pt idx="31">
                  <c:v>116.87772736993942</c:v>
                </c:pt>
                <c:pt idx="32">
                  <c:v>119.08692546060983</c:v>
                </c:pt>
                <c:pt idx="33">
                  <c:v>113.01333709496137</c:v>
                </c:pt>
                <c:pt idx="34">
                  <c:v>120.07276020076172</c:v>
                </c:pt>
                <c:pt idx="35">
                  <c:v>124.32984624345316</c:v>
                </c:pt>
                <c:pt idx="36">
                  <c:v>124.20425640348923</c:v>
                </c:pt>
                <c:pt idx="37">
                  <c:v>128.51116885007937</c:v>
                </c:pt>
                <c:pt idx="38">
                  <c:v>130.84709436984389</c:v>
                </c:pt>
                <c:pt idx="39">
                  <c:v>130.34041217129362</c:v>
                </c:pt>
                <c:pt idx="40">
                  <c:v>135.81312595841882</c:v>
                </c:pt>
                <c:pt idx="41">
                  <c:v>135.20178555989861</c:v>
                </c:pt>
                <c:pt idx="42">
                  <c:v>137.43282536186709</c:v>
                </c:pt>
                <c:pt idx="43">
                  <c:v>135.47548950460268</c:v>
                </c:pt>
                <c:pt idx="44">
                  <c:v>115.4443650660029</c:v>
                </c:pt>
                <c:pt idx="45">
                  <c:v>120.19084195246697</c:v>
                </c:pt>
                <c:pt idx="46">
                  <c:v>132.024499119506</c:v>
                </c:pt>
                <c:pt idx="47">
                  <c:v>142.8664060829166</c:v>
                </c:pt>
                <c:pt idx="48">
                  <c:v>141.92584739014302</c:v>
                </c:pt>
                <c:pt idx="49">
                  <c:v>146.9824310734746</c:v>
                </c:pt>
                <c:pt idx="50">
                  <c:v>152.79619408180628</c:v>
                </c:pt>
                <c:pt idx="51">
                  <c:v>155.62674335534189</c:v>
                </c:pt>
                <c:pt idx="52">
                  <c:v>155.82900670267514</c:v>
                </c:pt>
                <c:pt idx="53">
                  <c:v>157.66848832606033</c:v>
                </c:pt>
                <c:pt idx="54">
                  <c:v>157.87530202991402</c:v>
                </c:pt>
                <c:pt idx="55">
                  <c:v>157.20366940749807</c:v>
                </c:pt>
                <c:pt idx="56">
                  <c:v>144.90269062581055</c:v>
                </c:pt>
                <c:pt idx="57">
                  <c:v>162.06231258219083</c:v>
                </c:pt>
                <c:pt idx="58">
                  <c:v>170.03476472381612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B3-4ECE-B81D-8DB2175BF751}"/>
            </c:ext>
          </c:extLst>
        </c:ser>
        <c:ser>
          <c:idx val="2"/>
          <c:order val="2"/>
          <c:tx>
            <c:strRef>
              <c:f>'Base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'Base Assumptions'!$X$15:$X$73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100.28610996764054</c:v>
                </c:pt>
                <c:pt idx="2">
                  <c:v>102.55590662373881</c:v>
                </c:pt>
                <c:pt idx="3">
                  <c:v>105.62753362030656</c:v>
                </c:pt>
                <c:pt idx="4">
                  <c:v>102.81332380996517</c:v>
                </c:pt>
                <c:pt idx="5">
                  <c:v>106.68378237649836</c:v>
                </c:pt>
                <c:pt idx="6">
                  <c:v>93.851770773982665</c:v>
                </c:pt>
                <c:pt idx="7">
                  <c:v>90.736252681854992</c:v>
                </c:pt>
                <c:pt idx="8">
                  <c:v>96.569270235567046</c:v>
                </c:pt>
                <c:pt idx="9">
                  <c:v>87.504736694318979</c:v>
                </c:pt>
                <c:pt idx="10">
                  <c:v>77.386135320882076</c:v>
                </c:pt>
                <c:pt idx="11">
                  <c:v>75.840609895397435</c:v>
                </c:pt>
                <c:pt idx="12">
                  <c:v>84.447353857645638</c:v>
                </c:pt>
                <c:pt idx="13">
                  <c:v>82.750458675579367</c:v>
                </c:pt>
                <c:pt idx="14">
                  <c:v>74.069154373979401</c:v>
                </c:pt>
                <c:pt idx="15">
                  <c:v>75.667499052661142</c:v>
                </c:pt>
                <c:pt idx="16">
                  <c:v>76.511993718938882</c:v>
                </c:pt>
                <c:pt idx="17">
                  <c:v>71.333117058369695</c:v>
                </c:pt>
                <c:pt idx="18">
                  <c:v>75.92634747026446</c:v>
                </c:pt>
                <c:pt idx="19">
                  <c:v>79.665132750117905</c:v>
                </c:pt>
                <c:pt idx="20">
                  <c:v>80.584869294498347</c:v>
                </c:pt>
                <c:pt idx="21">
                  <c:v>82.278493090560133</c:v>
                </c:pt>
                <c:pt idx="22">
                  <c:v>90.24097847155393</c:v>
                </c:pt>
                <c:pt idx="23">
                  <c:v>91.956752277020968</c:v>
                </c:pt>
                <c:pt idx="24">
                  <c:v>95.639037994422281</c:v>
                </c:pt>
                <c:pt idx="25">
                  <c:v>92.625546253308869</c:v>
                </c:pt>
                <c:pt idx="26">
                  <c:v>90.04360484928452</c:v>
                </c:pt>
                <c:pt idx="27">
                  <c:v>86.16701243399298</c:v>
                </c:pt>
                <c:pt idx="28">
                  <c:v>97.125065086950713</c:v>
                </c:pt>
                <c:pt idx="29">
                  <c:v>102.18290046535465</c:v>
                </c:pt>
                <c:pt idx="30">
                  <c:v>106.51735061352119</c:v>
                </c:pt>
                <c:pt idx="31">
                  <c:v>110.92002279065582</c:v>
                </c:pt>
                <c:pt idx="32">
                  <c:v>111.96877462058737</c:v>
                </c:pt>
                <c:pt idx="33">
                  <c:v>104.15282007104361</c:v>
                </c:pt>
                <c:pt idx="34">
                  <c:v>114.05564627593596</c:v>
                </c:pt>
                <c:pt idx="35">
                  <c:v>120.55984319156418</c:v>
                </c:pt>
                <c:pt idx="36">
                  <c:v>118.30067853998042</c:v>
                </c:pt>
                <c:pt idx="37">
                  <c:v>121.84406665994216</c:v>
                </c:pt>
                <c:pt idx="38">
                  <c:v>123.61647633561148</c:v>
                </c:pt>
                <c:pt idx="39">
                  <c:v>126.21150328365371</c:v>
                </c:pt>
                <c:pt idx="40">
                  <c:v>129.51723884116603</c:v>
                </c:pt>
                <c:pt idx="41">
                  <c:v>134.41327692009912</c:v>
                </c:pt>
                <c:pt idx="42">
                  <c:v>133.76860941559414</c:v>
                </c:pt>
                <c:pt idx="43">
                  <c:v>133.06369388550695</c:v>
                </c:pt>
                <c:pt idx="44">
                  <c:v>106.23682926363827</c:v>
                </c:pt>
                <c:pt idx="45">
                  <c:v>110.99846790088792</c:v>
                </c:pt>
                <c:pt idx="46">
                  <c:v>130.26774931369047</c:v>
                </c:pt>
                <c:pt idx="47">
                  <c:v>132.54163520229434</c:v>
                </c:pt>
                <c:pt idx="48">
                  <c:v>140.73863806748324</c:v>
                </c:pt>
                <c:pt idx="49">
                  <c:v>146.50725020923241</c:v>
                </c:pt>
                <c:pt idx="50">
                  <c:v>155.25800330955215</c:v>
                </c:pt>
                <c:pt idx="51">
                  <c:v>158.15018115300001</c:v>
                </c:pt>
                <c:pt idx="52">
                  <c:v>159.24623177224612</c:v>
                </c:pt>
                <c:pt idx="53">
                  <c:v>160.7961190457367</c:v>
                </c:pt>
                <c:pt idx="54">
                  <c:v>159.90139497351541</c:v>
                </c:pt>
                <c:pt idx="55">
                  <c:v>154.49263529225743</c:v>
                </c:pt>
                <c:pt idx="56">
                  <c:v>142.77119108438268</c:v>
                </c:pt>
                <c:pt idx="57">
                  <c:v>166.76217296363035</c:v>
                </c:pt>
                <c:pt idx="58">
                  <c:v>179.54436408345308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B3-4ECE-B81D-8DB2175BF751}"/>
            </c:ext>
          </c:extLst>
        </c:ser>
        <c:ser>
          <c:idx val="3"/>
          <c:order val="3"/>
          <c:tx>
            <c:strRef>
              <c:f>'Base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'Base Assumptions'!$Y$15:$Y$73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100.16693500429959</c:v>
                </c:pt>
                <c:pt idx="2">
                  <c:v>97.903429825549622</c:v>
                </c:pt>
                <c:pt idx="3">
                  <c:v>101.75539872025053</c:v>
                </c:pt>
                <c:pt idx="4">
                  <c:v>99.508835176995873</c:v>
                </c:pt>
                <c:pt idx="5">
                  <c:v>102.53556959119035</c:v>
                </c:pt>
                <c:pt idx="6">
                  <c:v>99.041457094737666</c:v>
                </c:pt>
                <c:pt idx="7">
                  <c:v>97.139886856114458</c:v>
                </c:pt>
                <c:pt idx="8">
                  <c:v>99.428690403019814</c:v>
                </c:pt>
                <c:pt idx="9">
                  <c:v>96.434413196222067</c:v>
                </c:pt>
                <c:pt idx="10">
                  <c:v>94.727586201979079</c:v>
                </c:pt>
                <c:pt idx="11">
                  <c:v>88.693340710835642</c:v>
                </c:pt>
                <c:pt idx="12">
                  <c:v>93.678488258505382</c:v>
                </c:pt>
                <c:pt idx="13">
                  <c:v>89.324174202224356</c:v>
                </c:pt>
                <c:pt idx="14">
                  <c:v>87.90946207455174</c:v>
                </c:pt>
                <c:pt idx="15">
                  <c:v>93.726033218725362</c:v>
                </c:pt>
                <c:pt idx="16">
                  <c:v>98.198396819307746</c:v>
                </c:pt>
                <c:pt idx="17">
                  <c:v>94.701831493473605</c:v>
                </c:pt>
                <c:pt idx="18">
                  <c:v>95.19114243380568</c:v>
                </c:pt>
                <c:pt idx="19">
                  <c:v>93.598029750538686</c:v>
                </c:pt>
                <c:pt idx="20">
                  <c:v>94.902107864598108</c:v>
                </c:pt>
                <c:pt idx="21">
                  <c:v>96.427454005883931</c:v>
                </c:pt>
                <c:pt idx="22">
                  <c:v>94.386414747779241</c:v>
                </c:pt>
                <c:pt idx="23">
                  <c:v>96.194920076265873</c:v>
                </c:pt>
                <c:pt idx="24">
                  <c:v>100.01160815765418</c:v>
                </c:pt>
                <c:pt idx="25">
                  <c:v>99.361579850291832</c:v>
                </c:pt>
                <c:pt idx="26">
                  <c:v>95.567651743861859</c:v>
                </c:pt>
                <c:pt idx="27">
                  <c:v>97.147216822986991</c:v>
                </c:pt>
                <c:pt idx="28">
                  <c:v>103.37677598394821</c:v>
                </c:pt>
                <c:pt idx="29">
                  <c:v>107.4953617281609</c:v>
                </c:pt>
                <c:pt idx="30">
                  <c:v>108.69294141302936</c:v>
                </c:pt>
                <c:pt idx="31">
                  <c:v>111.48217919629906</c:v>
                </c:pt>
                <c:pt idx="32">
                  <c:v>113.53568225021426</c:v>
                </c:pt>
                <c:pt idx="33">
                  <c:v>108.34204420511928</c:v>
                </c:pt>
                <c:pt idx="34">
                  <c:v>110.33830506637612</c:v>
                </c:pt>
                <c:pt idx="35">
                  <c:v>111.66172060276855</c:v>
                </c:pt>
                <c:pt idx="36">
                  <c:v>114.90515964068902</c:v>
                </c:pt>
                <c:pt idx="37">
                  <c:v>117.43656512618523</c:v>
                </c:pt>
                <c:pt idx="38">
                  <c:v>120.68205769568088</c:v>
                </c:pt>
                <c:pt idx="39">
                  <c:v>119.93819440384124</c:v>
                </c:pt>
                <c:pt idx="40">
                  <c:v>126.33928049387433</c:v>
                </c:pt>
                <c:pt idx="41">
                  <c:v>122.18587027669912</c:v>
                </c:pt>
                <c:pt idx="42">
                  <c:v>126.70361122083878</c:v>
                </c:pt>
                <c:pt idx="43">
                  <c:v>125.03985134713098</c:v>
                </c:pt>
                <c:pt idx="44">
                  <c:v>109.27885390121087</c:v>
                </c:pt>
                <c:pt idx="45">
                  <c:v>111.63861837254771</c:v>
                </c:pt>
                <c:pt idx="46">
                  <c:v>118.65724704127454</c:v>
                </c:pt>
                <c:pt idx="47">
                  <c:v>120.37921883088454</c:v>
                </c:pt>
                <c:pt idx="48">
                  <c:v>128.065986814616</c:v>
                </c:pt>
                <c:pt idx="49">
                  <c:v>129.89979051125803</c:v>
                </c:pt>
                <c:pt idx="50">
                  <c:v>133.36056164088578</c:v>
                </c:pt>
                <c:pt idx="51">
                  <c:v>134.64071040783992</c:v>
                </c:pt>
                <c:pt idx="52">
                  <c:v>131.89779117009942</c:v>
                </c:pt>
                <c:pt idx="53">
                  <c:v>137.28682844882783</c:v>
                </c:pt>
                <c:pt idx="54">
                  <c:v>140.03576567493451</c:v>
                </c:pt>
                <c:pt idx="55">
                  <c:v>139.69125723192499</c:v>
                </c:pt>
                <c:pt idx="56">
                  <c:v>129.99274133630715</c:v>
                </c:pt>
                <c:pt idx="57">
                  <c:v>141.0303594678501</c:v>
                </c:pt>
                <c:pt idx="58">
                  <c:v>144.25973751873488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A-454E-843D-8BF897FE4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50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 (Please note in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'Bear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'Bear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'Bear Assumptions'!$Q$7:$Q$12</c:f>
              <c:numCache>
                <c:formatCode>_(* #,##0_);_(* \(#,##0\);_(* "-"??_);_(@_)</c:formatCode>
                <c:ptCount val="6"/>
                <c:pt idx="0">
                  <c:v>106673000</c:v>
                </c:pt>
                <c:pt idx="1">
                  <c:v>107739730</c:v>
                </c:pt>
                <c:pt idx="2">
                  <c:v>108817127.29999995</c:v>
                </c:pt>
                <c:pt idx="3">
                  <c:v>109905298.57300003</c:v>
                </c:pt>
                <c:pt idx="4">
                  <c:v>111004351.55872996</c:v>
                </c:pt>
                <c:pt idx="5">
                  <c:v>112114395.07431723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92-4B5F-B100-BAAE75107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9-469C-B5E5-CCC76176EA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'Bear Assumptions'!$S$7:$S$9</c:f>
              <c:strCache>
                <c:ptCount val="3"/>
                <c:pt idx="0">
                  <c:v>Intrinsic Value</c:v>
                </c:pt>
                <c:pt idx="1">
                  <c:v>Downside</c:v>
                </c:pt>
                <c:pt idx="2">
                  <c:v>Current Price</c:v>
                </c:pt>
              </c:strCache>
            </c:strRef>
          </c:cat>
          <c:val>
            <c:numRef>
              <c:f>'Bear Assumptions'!$T$7:$T$9</c:f>
              <c:numCache>
                <c:formatCode>"$"#,##0.00</c:formatCode>
                <c:ptCount val="3"/>
                <c:pt idx="0">
                  <c:v>2.3850043384664765</c:v>
                </c:pt>
                <c:pt idx="1">
                  <c:v>6.61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89-469C-B5E5-CCC76176E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WEN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'Bear Assumptions'!$V$14</c:f>
              <c:strCache>
                <c:ptCount val="1"/>
                <c:pt idx="0">
                  <c:v>Wendy's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'Bear Assumptions'!$V$15:$V$73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98.664368806548893</c:v>
                </c:pt>
                <c:pt idx="2">
                  <c:v>96.079276174062898</c:v>
                </c:pt>
                <c:pt idx="3">
                  <c:v>97.328737613097786</c:v>
                </c:pt>
                <c:pt idx="4">
                  <c:v>91.856958207669109</c:v>
                </c:pt>
                <c:pt idx="5">
                  <c:v>100.5170185264972</c:v>
                </c:pt>
                <c:pt idx="6">
                  <c:v>97.759586385178807</c:v>
                </c:pt>
                <c:pt idx="7">
                  <c:v>97.888841016803099</c:v>
                </c:pt>
                <c:pt idx="8">
                  <c:v>94.442050840155105</c:v>
                </c:pt>
                <c:pt idx="9">
                  <c:v>85.135717363205515</c:v>
                </c:pt>
                <c:pt idx="10">
                  <c:v>81.387333046100821</c:v>
                </c:pt>
                <c:pt idx="11">
                  <c:v>83.412322274881518</c:v>
                </c:pt>
                <c:pt idx="12">
                  <c:v>90.607496768634206</c:v>
                </c:pt>
                <c:pt idx="13">
                  <c:v>91.124515295131403</c:v>
                </c:pt>
                <c:pt idx="14">
                  <c:v>82.162860835846615</c:v>
                </c:pt>
                <c:pt idx="15">
                  <c:v>90.348987505385608</c:v>
                </c:pt>
                <c:pt idx="16">
                  <c:v>99.138302455838001</c:v>
                </c:pt>
                <c:pt idx="17">
                  <c:v>97.501077121930194</c:v>
                </c:pt>
                <c:pt idx="18">
                  <c:v>95.993106419646708</c:v>
                </c:pt>
                <c:pt idx="19">
                  <c:v>96.940973718224896</c:v>
                </c:pt>
                <c:pt idx="20">
                  <c:v>90.564411891426104</c:v>
                </c:pt>
                <c:pt idx="21">
                  <c:v>97.630331753554501</c:v>
                </c:pt>
                <c:pt idx="22">
                  <c:v>98.018095648427391</c:v>
                </c:pt>
                <c:pt idx="23">
                  <c:v>93.709607927617398</c:v>
                </c:pt>
                <c:pt idx="24">
                  <c:v>93.020249892287794</c:v>
                </c:pt>
                <c:pt idx="25">
                  <c:v>86.945282205945702</c:v>
                </c:pt>
                <c:pt idx="26">
                  <c:v>87.936234381732021</c:v>
                </c:pt>
                <c:pt idx="27">
                  <c:v>81.990521327014221</c:v>
                </c:pt>
                <c:pt idx="28">
                  <c:v>84.187850064627312</c:v>
                </c:pt>
                <c:pt idx="29">
                  <c:v>85.264971994829807</c:v>
                </c:pt>
                <c:pt idx="30">
                  <c:v>82.162860835846615</c:v>
                </c:pt>
                <c:pt idx="31">
                  <c:v>79.405428694528212</c:v>
                </c:pt>
                <c:pt idx="32">
                  <c:v>80.008616975441612</c:v>
                </c:pt>
                <c:pt idx="33">
                  <c:v>86.772942697113308</c:v>
                </c:pt>
                <c:pt idx="34">
                  <c:v>79.233089185695817</c:v>
                </c:pt>
                <c:pt idx="35">
                  <c:v>71.822490305902633</c:v>
                </c:pt>
                <c:pt idx="36">
                  <c:v>72.72727272727272</c:v>
                </c:pt>
                <c:pt idx="37">
                  <c:v>72.899612236105128</c:v>
                </c:pt>
                <c:pt idx="38">
                  <c:v>75.140025850926335</c:v>
                </c:pt>
                <c:pt idx="39">
                  <c:v>84.187850064627312</c:v>
                </c:pt>
                <c:pt idx="40">
                  <c:v>79.103834554071511</c:v>
                </c:pt>
                <c:pt idx="41">
                  <c:v>71.090047393364927</c:v>
                </c:pt>
                <c:pt idx="42">
                  <c:v>62.903920723825934</c:v>
                </c:pt>
                <c:pt idx="43">
                  <c:v>66.781559672554934</c:v>
                </c:pt>
                <c:pt idx="44">
                  <c:v>57.30288668677295</c:v>
                </c:pt>
                <c:pt idx="45">
                  <c:v>55.062473071951743</c:v>
                </c:pt>
                <c:pt idx="46">
                  <c:v>52.822059457130543</c:v>
                </c:pt>
                <c:pt idx="47">
                  <c:v>49.806118052563555</c:v>
                </c:pt>
                <c:pt idx="48">
                  <c:v>45.109866436880658</c:v>
                </c:pt>
                <c:pt idx="49">
                  <c:v>45.713054717794051</c:v>
                </c:pt>
                <c:pt idx="50">
                  <c:v>41.146057733735461</c:v>
                </c:pt>
                <c:pt idx="51">
                  <c:v>38.690219732873757</c:v>
                </c:pt>
                <c:pt idx="52">
                  <c:v>36.406721240844462</c:v>
                </c:pt>
                <c:pt idx="53">
                  <c:v>35.200344679017661</c:v>
                </c:pt>
                <c:pt idx="54">
                  <c:v>36.277466609220163</c:v>
                </c:pt>
                <c:pt idx="55">
                  <c:v>33.00301594140457</c:v>
                </c:pt>
                <c:pt idx="56">
                  <c:v>29.297716501507971</c:v>
                </c:pt>
                <c:pt idx="57">
                  <c:v>29.943989659629473</c:v>
                </c:pt>
                <c:pt idx="58">
                  <c:v>33.649289099526065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E-47F9-BC84-87409D7294B5}"/>
            </c:ext>
          </c:extLst>
        </c:ser>
        <c:ser>
          <c:idx val="1"/>
          <c:order val="1"/>
          <c:tx>
            <c:strRef>
              <c:f>'Bear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'Bear Assumptions'!$W$15:$W$73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102.59620591273327</c:v>
                </c:pt>
                <c:pt idx="2">
                  <c:v>101.37011234830247</c:v>
                </c:pt>
                <c:pt idx="3">
                  <c:v>103.40457674858823</c:v>
                </c:pt>
                <c:pt idx="4">
                  <c:v>104.53579537956799</c:v>
                </c:pt>
                <c:pt idx="5">
                  <c:v>108.43909120279574</c:v>
                </c:pt>
                <c:pt idx="6">
                  <c:v>102.39508015453009</c:v>
                </c:pt>
                <c:pt idx="7">
                  <c:v>99.758603586590993</c:v>
                </c:pt>
                <c:pt idx="8">
                  <c:v>103.36271346860026</c:v>
                </c:pt>
                <c:pt idx="9">
                  <c:v>97.190609884284413</c:v>
                </c:pt>
                <c:pt idx="10">
                  <c:v>94.607372487634393</c:v>
                </c:pt>
                <c:pt idx="11">
                  <c:v>88.999058076200271</c:v>
                </c:pt>
                <c:pt idx="12">
                  <c:v>93.971460163903842</c:v>
                </c:pt>
                <c:pt idx="13">
                  <c:v>89.28391039437939</c:v>
                </c:pt>
                <c:pt idx="14">
                  <c:v>81.579246733981606</c:v>
                </c:pt>
                <c:pt idx="15">
                  <c:v>88.756069038009116</c:v>
                </c:pt>
                <c:pt idx="16">
                  <c:v>91.601406970236113</c:v>
                </c:pt>
                <c:pt idx="17">
                  <c:v>87.355469301019724</c:v>
                </c:pt>
                <c:pt idx="18">
                  <c:v>92.61249618907641</c:v>
                </c:pt>
                <c:pt idx="19">
                  <c:v>92.045521766630415</c:v>
                </c:pt>
                <c:pt idx="20">
                  <c:v>90.347101195378642</c:v>
                </c:pt>
                <c:pt idx="21">
                  <c:v>94.044948421708852</c:v>
                </c:pt>
                <c:pt idx="22">
                  <c:v>97.431551262041367</c:v>
                </c:pt>
                <c:pt idx="23">
                  <c:v>101.25407825703144</c:v>
                </c:pt>
                <c:pt idx="24">
                  <c:v>104.25390079312713</c:v>
                </c:pt>
                <c:pt idx="25">
                  <c:v>102.74181732138715</c:v>
                </c:pt>
                <c:pt idx="26">
                  <c:v>98.289065948317059</c:v>
                </c:pt>
                <c:pt idx="27">
                  <c:v>93.677507132683829</c:v>
                </c:pt>
                <c:pt idx="28">
                  <c:v>103.73311248936355</c:v>
                </c:pt>
                <c:pt idx="29">
                  <c:v>108.52213520929364</c:v>
                </c:pt>
                <c:pt idx="30">
                  <c:v>112.8172167289307</c:v>
                </c:pt>
                <c:pt idx="31">
                  <c:v>116.87772736993942</c:v>
                </c:pt>
                <c:pt idx="32">
                  <c:v>119.08692546060983</c:v>
                </c:pt>
                <c:pt idx="33">
                  <c:v>113.01333709496137</c:v>
                </c:pt>
                <c:pt idx="34">
                  <c:v>120.07276020076172</c:v>
                </c:pt>
                <c:pt idx="35">
                  <c:v>124.32984624345316</c:v>
                </c:pt>
                <c:pt idx="36">
                  <c:v>124.20425640348923</c:v>
                </c:pt>
                <c:pt idx="37">
                  <c:v>128.51116885007937</c:v>
                </c:pt>
                <c:pt idx="38">
                  <c:v>130.84709436984389</c:v>
                </c:pt>
                <c:pt idx="39">
                  <c:v>130.34041217129362</c:v>
                </c:pt>
                <c:pt idx="40">
                  <c:v>135.81312595841882</c:v>
                </c:pt>
                <c:pt idx="41">
                  <c:v>135.20178555989861</c:v>
                </c:pt>
                <c:pt idx="42">
                  <c:v>137.43282536186709</c:v>
                </c:pt>
                <c:pt idx="43">
                  <c:v>135.47548950460268</c:v>
                </c:pt>
                <c:pt idx="44">
                  <c:v>115.4443650660029</c:v>
                </c:pt>
                <c:pt idx="45">
                  <c:v>120.19084195246697</c:v>
                </c:pt>
                <c:pt idx="46">
                  <c:v>132.024499119506</c:v>
                </c:pt>
                <c:pt idx="47">
                  <c:v>142.8664060829166</c:v>
                </c:pt>
                <c:pt idx="48">
                  <c:v>141.92584739014302</c:v>
                </c:pt>
                <c:pt idx="49">
                  <c:v>146.9824310734746</c:v>
                </c:pt>
                <c:pt idx="50">
                  <c:v>152.79619408180628</c:v>
                </c:pt>
                <c:pt idx="51">
                  <c:v>155.62674335534189</c:v>
                </c:pt>
                <c:pt idx="52">
                  <c:v>155.82900670267514</c:v>
                </c:pt>
                <c:pt idx="53">
                  <c:v>157.66848832606033</c:v>
                </c:pt>
                <c:pt idx="54">
                  <c:v>157.87530202991402</c:v>
                </c:pt>
                <c:pt idx="55">
                  <c:v>157.20366940749807</c:v>
                </c:pt>
                <c:pt idx="56">
                  <c:v>144.90269062581055</c:v>
                </c:pt>
                <c:pt idx="57">
                  <c:v>162.06231258219083</c:v>
                </c:pt>
                <c:pt idx="58">
                  <c:v>170.03476472381612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FE-47F9-BC84-87409D7294B5}"/>
            </c:ext>
          </c:extLst>
        </c:ser>
        <c:ser>
          <c:idx val="2"/>
          <c:order val="2"/>
          <c:tx>
            <c:strRef>
              <c:f>'Bear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'Bear Assumptions'!$X$15:$X$73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100.28610996764054</c:v>
                </c:pt>
                <c:pt idx="2">
                  <c:v>102.55590662373881</c:v>
                </c:pt>
                <c:pt idx="3">
                  <c:v>105.62753362030656</c:v>
                </c:pt>
                <c:pt idx="4">
                  <c:v>102.81332380996517</c:v>
                </c:pt>
                <c:pt idx="5">
                  <c:v>106.68378237649836</c:v>
                </c:pt>
                <c:pt idx="6">
                  <c:v>93.851770773982665</c:v>
                </c:pt>
                <c:pt idx="7">
                  <c:v>90.736252681854992</c:v>
                </c:pt>
                <c:pt idx="8">
                  <c:v>96.569270235567046</c:v>
                </c:pt>
                <c:pt idx="9">
                  <c:v>87.504736694318979</c:v>
                </c:pt>
                <c:pt idx="10">
                  <c:v>77.386135320882076</c:v>
                </c:pt>
                <c:pt idx="11">
                  <c:v>75.840609895397435</c:v>
                </c:pt>
                <c:pt idx="12">
                  <c:v>84.447353857645638</c:v>
                </c:pt>
                <c:pt idx="13">
                  <c:v>82.750458675579367</c:v>
                </c:pt>
                <c:pt idx="14">
                  <c:v>74.069154373979401</c:v>
                </c:pt>
                <c:pt idx="15">
                  <c:v>75.667499052661142</c:v>
                </c:pt>
                <c:pt idx="16">
                  <c:v>76.511993718938882</c:v>
                </c:pt>
                <c:pt idx="17">
                  <c:v>71.333117058369695</c:v>
                </c:pt>
                <c:pt idx="18">
                  <c:v>75.92634747026446</c:v>
                </c:pt>
                <c:pt idx="19">
                  <c:v>79.665132750117905</c:v>
                </c:pt>
                <c:pt idx="20">
                  <c:v>80.584869294498347</c:v>
                </c:pt>
                <c:pt idx="21">
                  <c:v>82.278493090560133</c:v>
                </c:pt>
                <c:pt idx="22">
                  <c:v>90.24097847155393</c:v>
                </c:pt>
                <c:pt idx="23">
                  <c:v>91.956752277020968</c:v>
                </c:pt>
                <c:pt idx="24">
                  <c:v>95.639037994422281</c:v>
                </c:pt>
                <c:pt idx="25">
                  <c:v>92.625546253308869</c:v>
                </c:pt>
                <c:pt idx="26">
                  <c:v>90.04360484928452</c:v>
                </c:pt>
                <c:pt idx="27">
                  <c:v>86.16701243399298</c:v>
                </c:pt>
                <c:pt idx="28">
                  <c:v>97.125065086950713</c:v>
                </c:pt>
                <c:pt idx="29">
                  <c:v>102.18290046535465</c:v>
                </c:pt>
                <c:pt idx="30">
                  <c:v>106.51735061352119</c:v>
                </c:pt>
                <c:pt idx="31">
                  <c:v>110.92002279065582</c:v>
                </c:pt>
                <c:pt idx="32">
                  <c:v>111.96877462058737</c:v>
                </c:pt>
                <c:pt idx="33">
                  <c:v>104.15282007104361</c:v>
                </c:pt>
                <c:pt idx="34">
                  <c:v>114.05564627593596</c:v>
                </c:pt>
                <c:pt idx="35">
                  <c:v>120.55984319156418</c:v>
                </c:pt>
                <c:pt idx="36">
                  <c:v>118.30067853998042</c:v>
                </c:pt>
                <c:pt idx="37">
                  <c:v>121.84406665994216</c:v>
                </c:pt>
                <c:pt idx="38">
                  <c:v>123.61647633561148</c:v>
                </c:pt>
                <c:pt idx="39">
                  <c:v>126.21150328365371</c:v>
                </c:pt>
                <c:pt idx="40">
                  <c:v>129.51723884116603</c:v>
                </c:pt>
                <c:pt idx="41">
                  <c:v>134.41327692009912</c:v>
                </c:pt>
                <c:pt idx="42">
                  <c:v>133.76860941559414</c:v>
                </c:pt>
                <c:pt idx="43">
                  <c:v>133.06369388550695</c:v>
                </c:pt>
                <c:pt idx="44">
                  <c:v>106.23682926363827</c:v>
                </c:pt>
                <c:pt idx="45">
                  <c:v>110.99846790088792</c:v>
                </c:pt>
                <c:pt idx="46">
                  <c:v>130.26774931369047</c:v>
                </c:pt>
                <c:pt idx="47">
                  <c:v>132.54163520229434</c:v>
                </c:pt>
                <c:pt idx="48">
                  <c:v>140.73863806748324</c:v>
                </c:pt>
                <c:pt idx="49">
                  <c:v>146.50725020923241</c:v>
                </c:pt>
                <c:pt idx="50">
                  <c:v>155.25800330955215</c:v>
                </c:pt>
                <c:pt idx="51">
                  <c:v>158.15018115300001</c:v>
                </c:pt>
                <c:pt idx="52">
                  <c:v>159.24623177224612</c:v>
                </c:pt>
                <c:pt idx="53">
                  <c:v>160.7961190457367</c:v>
                </c:pt>
                <c:pt idx="54">
                  <c:v>159.90139497351541</c:v>
                </c:pt>
                <c:pt idx="55">
                  <c:v>154.49263529225743</c:v>
                </c:pt>
                <c:pt idx="56">
                  <c:v>142.77119108438268</c:v>
                </c:pt>
                <c:pt idx="57">
                  <c:v>166.76217296363035</c:v>
                </c:pt>
                <c:pt idx="58">
                  <c:v>179.54436408345308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FE-47F9-BC84-87409D7294B5}"/>
            </c:ext>
          </c:extLst>
        </c:ser>
        <c:ser>
          <c:idx val="3"/>
          <c:order val="3"/>
          <c:tx>
            <c:strRef>
              <c:f>'Bear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'Bear Assumptions'!$Y$15:$Y$73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100.16693500429959</c:v>
                </c:pt>
                <c:pt idx="2">
                  <c:v>97.903429825549622</c:v>
                </c:pt>
                <c:pt idx="3">
                  <c:v>101.75539872025053</c:v>
                </c:pt>
                <c:pt idx="4">
                  <c:v>99.508835176995873</c:v>
                </c:pt>
                <c:pt idx="5">
                  <c:v>102.53556959119035</c:v>
                </c:pt>
                <c:pt idx="6">
                  <c:v>99.041457094737666</c:v>
                </c:pt>
                <c:pt idx="7">
                  <c:v>97.139886856114458</c:v>
                </c:pt>
                <c:pt idx="8">
                  <c:v>99.428690403019814</c:v>
                </c:pt>
                <c:pt idx="9">
                  <c:v>96.434413196222067</c:v>
                </c:pt>
                <c:pt idx="10">
                  <c:v>94.727586201979079</c:v>
                </c:pt>
                <c:pt idx="11">
                  <c:v>88.693340710835642</c:v>
                </c:pt>
                <c:pt idx="12">
                  <c:v>93.678488258505382</c:v>
                </c:pt>
                <c:pt idx="13">
                  <c:v>89.324174202224356</c:v>
                </c:pt>
                <c:pt idx="14">
                  <c:v>87.90946207455174</c:v>
                </c:pt>
                <c:pt idx="15">
                  <c:v>93.726033218725362</c:v>
                </c:pt>
                <c:pt idx="16">
                  <c:v>98.198396819307746</c:v>
                </c:pt>
                <c:pt idx="17">
                  <c:v>94.701831493473605</c:v>
                </c:pt>
                <c:pt idx="18">
                  <c:v>95.19114243380568</c:v>
                </c:pt>
                <c:pt idx="19">
                  <c:v>93.598029750538686</c:v>
                </c:pt>
                <c:pt idx="20">
                  <c:v>94.902107864598108</c:v>
                </c:pt>
                <c:pt idx="21">
                  <c:v>96.427454005883931</c:v>
                </c:pt>
                <c:pt idx="22">
                  <c:v>94.386414747779241</c:v>
                </c:pt>
                <c:pt idx="23">
                  <c:v>96.194920076265873</c:v>
                </c:pt>
                <c:pt idx="24">
                  <c:v>100.01160815765418</c:v>
                </c:pt>
                <c:pt idx="25">
                  <c:v>99.361579850291832</c:v>
                </c:pt>
                <c:pt idx="26">
                  <c:v>95.567651743861859</c:v>
                </c:pt>
                <c:pt idx="27">
                  <c:v>97.147216822986991</c:v>
                </c:pt>
                <c:pt idx="28">
                  <c:v>103.37677598394821</c:v>
                </c:pt>
                <c:pt idx="29">
                  <c:v>107.4953617281609</c:v>
                </c:pt>
                <c:pt idx="30">
                  <c:v>108.69294141302936</c:v>
                </c:pt>
                <c:pt idx="31">
                  <c:v>111.48217919629906</c:v>
                </c:pt>
                <c:pt idx="32">
                  <c:v>113.53568225021426</c:v>
                </c:pt>
                <c:pt idx="33">
                  <c:v>108.34204420511928</c:v>
                </c:pt>
                <c:pt idx="34">
                  <c:v>110.33830506637612</c:v>
                </c:pt>
                <c:pt idx="35">
                  <c:v>111.66172060276855</c:v>
                </c:pt>
                <c:pt idx="36">
                  <c:v>114.90515964068902</c:v>
                </c:pt>
                <c:pt idx="37">
                  <c:v>117.43656512618523</c:v>
                </c:pt>
                <c:pt idx="38">
                  <c:v>120.68205769568088</c:v>
                </c:pt>
                <c:pt idx="39">
                  <c:v>119.93819440384124</c:v>
                </c:pt>
                <c:pt idx="40">
                  <c:v>126.33928049387433</c:v>
                </c:pt>
                <c:pt idx="41">
                  <c:v>122.18587027669912</c:v>
                </c:pt>
                <c:pt idx="42">
                  <c:v>126.70361122083878</c:v>
                </c:pt>
                <c:pt idx="43">
                  <c:v>125.03985134713098</c:v>
                </c:pt>
                <c:pt idx="44">
                  <c:v>109.27885390121087</c:v>
                </c:pt>
                <c:pt idx="45">
                  <c:v>111.63861837254771</c:v>
                </c:pt>
                <c:pt idx="46">
                  <c:v>118.65724704127454</c:v>
                </c:pt>
                <c:pt idx="47">
                  <c:v>120.37921883088454</c:v>
                </c:pt>
                <c:pt idx="48">
                  <c:v>128.065986814616</c:v>
                </c:pt>
                <c:pt idx="49">
                  <c:v>129.89979051125803</c:v>
                </c:pt>
                <c:pt idx="50">
                  <c:v>133.36056164088578</c:v>
                </c:pt>
                <c:pt idx="51">
                  <c:v>134.64071040783992</c:v>
                </c:pt>
                <c:pt idx="52">
                  <c:v>131.89779117009942</c:v>
                </c:pt>
                <c:pt idx="53">
                  <c:v>137.28682844882783</c:v>
                </c:pt>
                <c:pt idx="54">
                  <c:v>140.03576567493451</c:v>
                </c:pt>
                <c:pt idx="55">
                  <c:v>139.69125723192499</c:v>
                </c:pt>
                <c:pt idx="56">
                  <c:v>129.99274133630715</c:v>
                </c:pt>
                <c:pt idx="57">
                  <c:v>141.0303594678501</c:v>
                </c:pt>
                <c:pt idx="58">
                  <c:v>144.25973751873488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FE-47F9-BC84-87409D729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50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'Bull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'Bull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'Bull Assumptions'!$Q$7:$Q$12</c:f>
              <c:numCache>
                <c:formatCode>_(* #,##0_);_(* \(#,##0\);_(* "-"??_);_(@_)</c:formatCode>
                <c:ptCount val="6"/>
                <c:pt idx="0">
                  <c:v>228585000</c:v>
                </c:pt>
                <c:pt idx="1">
                  <c:v>235442550</c:v>
                </c:pt>
                <c:pt idx="2">
                  <c:v>242505826.5</c:v>
                </c:pt>
                <c:pt idx="3">
                  <c:v>249781001.29500002</c:v>
                </c:pt>
                <c:pt idx="4">
                  <c:v>254776621.32090002</c:v>
                </c:pt>
                <c:pt idx="5">
                  <c:v>259872153.747318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7-4EEB-97B8-CF984ADD1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234-4B15-9B06-8C96EA85E2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'Bull Assumptions'!$S$7:$S$9</c:f>
              <c:strCache>
                <c:ptCount val="3"/>
                <c:pt idx="0">
                  <c:v>Intrinsic Value</c:v>
                </c:pt>
                <c:pt idx="1">
                  <c:v>Upside</c:v>
                </c:pt>
                <c:pt idx="2">
                  <c:v>Current Price</c:v>
                </c:pt>
              </c:strCache>
            </c:strRef>
          </c:cat>
          <c:val>
            <c:numRef>
              <c:f>'Bull Assumptions'!$T$7:$T$9</c:f>
              <c:numCache>
                <c:formatCode>"$"#,##0.00</c:formatCode>
                <c:ptCount val="3"/>
                <c:pt idx="0">
                  <c:v>38.065356011820768</c:v>
                </c:pt>
                <c:pt idx="1">
                  <c:v>29.07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34-4B15-9B06-8C96EA85E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WEN vs Major Indices 5 Year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'Bull Assumptions'!$V$14</c:f>
              <c:strCache>
                <c:ptCount val="1"/>
                <c:pt idx="0">
                  <c:v>Wendy's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'Bull Assumptions'!$V$15:$V$73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98.664368806548893</c:v>
                </c:pt>
                <c:pt idx="2">
                  <c:v>96.079276174062898</c:v>
                </c:pt>
                <c:pt idx="3">
                  <c:v>97.328737613097786</c:v>
                </c:pt>
                <c:pt idx="4">
                  <c:v>91.856958207669109</c:v>
                </c:pt>
                <c:pt idx="5">
                  <c:v>100.5170185264972</c:v>
                </c:pt>
                <c:pt idx="6">
                  <c:v>97.759586385178807</c:v>
                </c:pt>
                <c:pt idx="7">
                  <c:v>97.888841016803099</c:v>
                </c:pt>
                <c:pt idx="8">
                  <c:v>94.442050840155105</c:v>
                </c:pt>
                <c:pt idx="9">
                  <c:v>85.135717363205515</c:v>
                </c:pt>
                <c:pt idx="10">
                  <c:v>81.387333046100821</c:v>
                </c:pt>
                <c:pt idx="11">
                  <c:v>83.412322274881518</c:v>
                </c:pt>
                <c:pt idx="12">
                  <c:v>90.607496768634206</c:v>
                </c:pt>
                <c:pt idx="13">
                  <c:v>91.124515295131403</c:v>
                </c:pt>
                <c:pt idx="14">
                  <c:v>82.162860835846615</c:v>
                </c:pt>
                <c:pt idx="15">
                  <c:v>90.348987505385608</c:v>
                </c:pt>
                <c:pt idx="16">
                  <c:v>99.138302455838001</c:v>
                </c:pt>
                <c:pt idx="17">
                  <c:v>97.501077121930194</c:v>
                </c:pt>
                <c:pt idx="18">
                  <c:v>95.993106419646708</c:v>
                </c:pt>
                <c:pt idx="19">
                  <c:v>96.940973718224896</c:v>
                </c:pt>
                <c:pt idx="20">
                  <c:v>90.564411891426104</c:v>
                </c:pt>
                <c:pt idx="21">
                  <c:v>97.630331753554501</c:v>
                </c:pt>
                <c:pt idx="22">
                  <c:v>98.018095648427391</c:v>
                </c:pt>
                <c:pt idx="23">
                  <c:v>93.709607927617398</c:v>
                </c:pt>
                <c:pt idx="24">
                  <c:v>93.020249892287794</c:v>
                </c:pt>
                <c:pt idx="25">
                  <c:v>86.945282205945702</c:v>
                </c:pt>
                <c:pt idx="26">
                  <c:v>87.936234381732021</c:v>
                </c:pt>
                <c:pt idx="27">
                  <c:v>81.990521327014221</c:v>
                </c:pt>
                <c:pt idx="28">
                  <c:v>84.187850064627312</c:v>
                </c:pt>
                <c:pt idx="29">
                  <c:v>85.264971994829807</c:v>
                </c:pt>
                <c:pt idx="30">
                  <c:v>82.162860835846615</c:v>
                </c:pt>
                <c:pt idx="31">
                  <c:v>79.405428694528212</c:v>
                </c:pt>
                <c:pt idx="32">
                  <c:v>80.008616975441612</c:v>
                </c:pt>
                <c:pt idx="33">
                  <c:v>86.772942697113308</c:v>
                </c:pt>
                <c:pt idx="34">
                  <c:v>79.233089185695817</c:v>
                </c:pt>
                <c:pt idx="35">
                  <c:v>71.822490305902633</c:v>
                </c:pt>
                <c:pt idx="36">
                  <c:v>72.72727272727272</c:v>
                </c:pt>
                <c:pt idx="37">
                  <c:v>72.899612236105128</c:v>
                </c:pt>
                <c:pt idx="38">
                  <c:v>75.140025850926335</c:v>
                </c:pt>
                <c:pt idx="39">
                  <c:v>84.187850064627312</c:v>
                </c:pt>
                <c:pt idx="40">
                  <c:v>79.103834554071511</c:v>
                </c:pt>
                <c:pt idx="41">
                  <c:v>71.090047393364927</c:v>
                </c:pt>
                <c:pt idx="42">
                  <c:v>62.903920723825934</c:v>
                </c:pt>
                <c:pt idx="43">
                  <c:v>66.781559672554934</c:v>
                </c:pt>
                <c:pt idx="44">
                  <c:v>57.30288668677295</c:v>
                </c:pt>
                <c:pt idx="45">
                  <c:v>55.062473071951743</c:v>
                </c:pt>
                <c:pt idx="46">
                  <c:v>52.822059457130543</c:v>
                </c:pt>
                <c:pt idx="47">
                  <c:v>49.806118052563555</c:v>
                </c:pt>
                <c:pt idx="48">
                  <c:v>45.109866436880658</c:v>
                </c:pt>
                <c:pt idx="49">
                  <c:v>45.713054717794051</c:v>
                </c:pt>
                <c:pt idx="50">
                  <c:v>41.146057733735461</c:v>
                </c:pt>
                <c:pt idx="51">
                  <c:v>38.690219732873757</c:v>
                </c:pt>
                <c:pt idx="52">
                  <c:v>36.406721240844462</c:v>
                </c:pt>
                <c:pt idx="53">
                  <c:v>35.200344679017661</c:v>
                </c:pt>
                <c:pt idx="54">
                  <c:v>36.277466609220163</c:v>
                </c:pt>
                <c:pt idx="55">
                  <c:v>33.00301594140457</c:v>
                </c:pt>
                <c:pt idx="56">
                  <c:v>29.297716501507971</c:v>
                </c:pt>
                <c:pt idx="57">
                  <c:v>29.943989659629473</c:v>
                </c:pt>
                <c:pt idx="58">
                  <c:v>33.649289099526065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14-442D-9AB9-DCFCE519F343}"/>
            </c:ext>
          </c:extLst>
        </c:ser>
        <c:ser>
          <c:idx val="1"/>
          <c:order val="1"/>
          <c:tx>
            <c:strRef>
              <c:f>'Bull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'Bull Assumptions'!$W$15:$W$73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102.59620591273327</c:v>
                </c:pt>
                <c:pt idx="2">
                  <c:v>101.37011234830247</c:v>
                </c:pt>
                <c:pt idx="3">
                  <c:v>103.40457674858823</c:v>
                </c:pt>
                <c:pt idx="4">
                  <c:v>104.53579537956799</c:v>
                </c:pt>
                <c:pt idx="5">
                  <c:v>108.43909120279574</c:v>
                </c:pt>
                <c:pt idx="6">
                  <c:v>102.39508015453009</c:v>
                </c:pt>
                <c:pt idx="7">
                  <c:v>99.758603586590993</c:v>
                </c:pt>
                <c:pt idx="8">
                  <c:v>103.36271346860026</c:v>
                </c:pt>
                <c:pt idx="9">
                  <c:v>97.190609884284413</c:v>
                </c:pt>
                <c:pt idx="10">
                  <c:v>94.607372487634393</c:v>
                </c:pt>
                <c:pt idx="11">
                  <c:v>88.999058076200271</c:v>
                </c:pt>
                <c:pt idx="12">
                  <c:v>93.971460163903842</c:v>
                </c:pt>
                <c:pt idx="13">
                  <c:v>89.28391039437939</c:v>
                </c:pt>
                <c:pt idx="14">
                  <c:v>81.579246733981606</c:v>
                </c:pt>
                <c:pt idx="15">
                  <c:v>88.756069038009116</c:v>
                </c:pt>
                <c:pt idx="16">
                  <c:v>91.601406970236113</c:v>
                </c:pt>
                <c:pt idx="17">
                  <c:v>87.355469301019724</c:v>
                </c:pt>
                <c:pt idx="18">
                  <c:v>92.61249618907641</c:v>
                </c:pt>
                <c:pt idx="19">
                  <c:v>92.045521766630415</c:v>
                </c:pt>
                <c:pt idx="20">
                  <c:v>90.347101195378642</c:v>
                </c:pt>
                <c:pt idx="21">
                  <c:v>94.044948421708852</c:v>
                </c:pt>
                <c:pt idx="22">
                  <c:v>97.431551262041367</c:v>
                </c:pt>
                <c:pt idx="23">
                  <c:v>101.25407825703144</c:v>
                </c:pt>
                <c:pt idx="24">
                  <c:v>104.25390079312713</c:v>
                </c:pt>
                <c:pt idx="25">
                  <c:v>102.74181732138715</c:v>
                </c:pt>
                <c:pt idx="26">
                  <c:v>98.289065948317059</c:v>
                </c:pt>
                <c:pt idx="27">
                  <c:v>93.677507132683829</c:v>
                </c:pt>
                <c:pt idx="28">
                  <c:v>103.73311248936355</c:v>
                </c:pt>
                <c:pt idx="29">
                  <c:v>108.52213520929364</c:v>
                </c:pt>
                <c:pt idx="30">
                  <c:v>112.8172167289307</c:v>
                </c:pt>
                <c:pt idx="31">
                  <c:v>116.87772736993942</c:v>
                </c:pt>
                <c:pt idx="32">
                  <c:v>119.08692546060983</c:v>
                </c:pt>
                <c:pt idx="33">
                  <c:v>113.01333709496137</c:v>
                </c:pt>
                <c:pt idx="34">
                  <c:v>120.07276020076172</c:v>
                </c:pt>
                <c:pt idx="35">
                  <c:v>124.32984624345316</c:v>
                </c:pt>
                <c:pt idx="36">
                  <c:v>124.20425640348923</c:v>
                </c:pt>
                <c:pt idx="37">
                  <c:v>128.51116885007937</c:v>
                </c:pt>
                <c:pt idx="38">
                  <c:v>130.84709436984389</c:v>
                </c:pt>
                <c:pt idx="39">
                  <c:v>130.34041217129362</c:v>
                </c:pt>
                <c:pt idx="40">
                  <c:v>135.81312595841882</c:v>
                </c:pt>
                <c:pt idx="41">
                  <c:v>135.20178555989861</c:v>
                </c:pt>
                <c:pt idx="42">
                  <c:v>137.43282536186709</c:v>
                </c:pt>
                <c:pt idx="43">
                  <c:v>135.47548950460268</c:v>
                </c:pt>
                <c:pt idx="44">
                  <c:v>115.4443650660029</c:v>
                </c:pt>
                <c:pt idx="45">
                  <c:v>120.19084195246697</c:v>
                </c:pt>
                <c:pt idx="46">
                  <c:v>132.024499119506</c:v>
                </c:pt>
                <c:pt idx="47">
                  <c:v>142.8664060829166</c:v>
                </c:pt>
                <c:pt idx="48">
                  <c:v>141.92584739014302</c:v>
                </c:pt>
                <c:pt idx="49">
                  <c:v>146.9824310734746</c:v>
                </c:pt>
                <c:pt idx="50">
                  <c:v>152.79619408180628</c:v>
                </c:pt>
                <c:pt idx="51">
                  <c:v>155.62674335534189</c:v>
                </c:pt>
                <c:pt idx="52">
                  <c:v>155.82900670267514</c:v>
                </c:pt>
                <c:pt idx="53">
                  <c:v>157.66848832606033</c:v>
                </c:pt>
                <c:pt idx="54">
                  <c:v>157.87530202991402</c:v>
                </c:pt>
                <c:pt idx="55">
                  <c:v>157.20366940749807</c:v>
                </c:pt>
                <c:pt idx="56">
                  <c:v>144.90269062581055</c:v>
                </c:pt>
                <c:pt idx="57">
                  <c:v>162.06231258219083</c:v>
                </c:pt>
                <c:pt idx="58">
                  <c:v>170.03476472381612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14-442D-9AB9-DCFCE519F343}"/>
            </c:ext>
          </c:extLst>
        </c:ser>
        <c:ser>
          <c:idx val="2"/>
          <c:order val="2"/>
          <c:tx>
            <c:strRef>
              <c:f>'Bull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'Bull Assumptions'!$X$15:$X$73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100.28610996764054</c:v>
                </c:pt>
                <c:pt idx="2">
                  <c:v>102.55590662373881</c:v>
                </c:pt>
                <c:pt idx="3">
                  <c:v>105.62753362030656</c:v>
                </c:pt>
                <c:pt idx="4">
                  <c:v>102.81332380996517</c:v>
                </c:pt>
                <c:pt idx="5">
                  <c:v>106.68378237649836</c:v>
                </c:pt>
                <c:pt idx="6">
                  <c:v>93.851770773982665</c:v>
                </c:pt>
                <c:pt idx="7">
                  <c:v>90.736252681854992</c:v>
                </c:pt>
                <c:pt idx="8">
                  <c:v>96.569270235567046</c:v>
                </c:pt>
                <c:pt idx="9">
                  <c:v>87.504736694318979</c:v>
                </c:pt>
                <c:pt idx="10">
                  <c:v>77.386135320882076</c:v>
                </c:pt>
                <c:pt idx="11">
                  <c:v>75.840609895397435</c:v>
                </c:pt>
                <c:pt idx="12">
                  <c:v>84.447353857645638</c:v>
                </c:pt>
                <c:pt idx="13">
                  <c:v>82.750458675579367</c:v>
                </c:pt>
                <c:pt idx="14">
                  <c:v>74.069154373979401</c:v>
                </c:pt>
                <c:pt idx="15">
                  <c:v>75.667499052661142</c:v>
                </c:pt>
                <c:pt idx="16">
                  <c:v>76.511993718938882</c:v>
                </c:pt>
                <c:pt idx="17">
                  <c:v>71.333117058369695</c:v>
                </c:pt>
                <c:pt idx="18">
                  <c:v>75.92634747026446</c:v>
                </c:pt>
                <c:pt idx="19">
                  <c:v>79.665132750117905</c:v>
                </c:pt>
                <c:pt idx="20">
                  <c:v>80.584869294498347</c:v>
                </c:pt>
                <c:pt idx="21">
                  <c:v>82.278493090560133</c:v>
                </c:pt>
                <c:pt idx="22">
                  <c:v>90.24097847155393</c:v>
                </c:pt>
                <c:pt idx="23">
                  <c:v>91.956752277020968</c:v>
                </c:pt>
                <c:pt idx="24">
                  <c:v>95.639037994422281</c:v>
                </c:pt>
                <c:pt idx="25">
                  <c:v>92.625546253308869</c:v>
                </c:pt>
                <c:pt idx="26">
                  <c:v>90.04360484928452</c:v>
                </c:pt>
                <c:pt idx="27">
                  <c:v>86.16701243399298</c:v>
                </c:pt>
                <c:pt idx="28">
                  <c:v>97.125065086950713</c:v>
                </c:pt>
                <c:pt idx="29">
                  <c:v>102.18290046535465</c:v>
                </c:pt>
                <c:pt idx="30">
                  <c:v>106.51735061352119</c:v>
                </c:pt>
                <c:pt idx="31">
                  <c:v>110.92002279065582</c:v>
                </c:pt>
                <c:pt idx="32">
                  <c:v>111.96877462058737</c:v>
                </c:pt>
                <c:pt idx="33">
                  <c:v>104.15282007104361</c:v>
                </c:pt>
                <c:pt idx="34">
                  <c:v>114.05564627593596</c:v>
                </c:pt>
                <c:pt idx="35">
                  <c:v>120.55984319156418</c:v>
                </c:pt>
                <c:pt idx="36">
                  <c:v>118.30067853998042</c:v>
                </c:pt>
                <c:pt idx="37">
                  <c:v>121.84406665994216</c:v>
                </c:pt>
                <c:pt idx="38">
                  <c:v>123.61647633561148</c:v>
                </c:pt>
                <c:pt idx="39">
                  <c:v>126.21150328365371</c:v>
                </c:pt>
                <c:pt idx="40">
                  <c:v>129.51723884116603</c:v>
                </c:pt>
                <c:pt idx="41">
                  <c:v>134.41327692009912</c:v>
                </c:pt>
                <c:pt idx="42">
                  <c:v>133.76860941559414</c:v>
                </c:pt>
                <c:pt idx="43">
                  <c:v>133.06369388550695</c:v>
                </c:pt>
                <c:pt idx="44">
                  <c:v>106.23682926363827</c:v>
                </c:pt>
                <c:pt idx="45">
                  <c:v>110.99846790088792</c:v>
                </c:pt>
                <c:pt idx="46">
                  <c:v>130.26774931369047</c:v>
                </c:pt>
                <c:pt idx="47">
                  <c:v>132.54163520229434</c:v>
                </c:pt>
                <c:pt idx="48">
                  <c:v>140.73863806748324</c:v>
                </c:pt>
                <c:pt idx="49">
                  <c:v>146.50725020923241</c:v>
                </c:pt>
                <c:pt idx="50">
                  <c:v>155.25800330955215</c:v>
                </c:pt>
                <c:pt idx="51">
                  <c:v>158.15018115300001</c:v>
                </c:pt>
                <c:pt idx="52">
                  <c:v>159.24623177224612</c:v>
                </c:pt>
                <c:pt idx="53">
                  <c:v>160.7961190457367</c:v>
                </c:pt>
                <c:pt idx="54">
                  <c:v>159.90139497351541</c:v>
                </c:pt>
                <c:pt idx="55">
                  <c:v>154.49263529225743</c:v>
                </c:pt>
                <c:pt idx="56">
                  <c:v>142.77119108438268</c:v>
                </c:pt>
                <c:pt idx="57">
                  <c:v>166.76217296363035</c:v>
                </c:pt>
                <c:pt idx="58">
                  <c:v>179.54436408345308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14-442D-9AB9-DCFCE519F343}"/>
            </c:ext>
          </c:extLst>
        </c:ser>
        <c:ser>
          <c:idx val="3"/>
          <c:order val="3"/>
          <c:tx>
            <c:strRef>
              <c:f>'Bull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Assumptions'!$U$15:$U$73</c:f>
              <c:numCache>
                <c:formatCode>mmm\-yy</c:formatCode>
                <c:ptCount val="59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  <c:pt idx="12">
                  <c:v>44743</c:v>
                </c:pt>
                <c:pt idx="13">
                  <c:v>44774</c:v>
                </c:pt>
                <c:pt idx="14">
                  <c:v>44805</c:v>
                </c:pt>
                <c:pt idx="15">
                  <c:v>44835</c:v>
                </c:pt>
                <c:pt idx="16">
                  <c:v>44866</c:v>
                </c:pt>
                <c:pt idx="17">
                  <c:v>44896</c:v>
                </c:pt>
                <c:pt idx="18">
                  <c:v>44927</c:v>
                </c:pt>
                <c:pt idx="19">
                  <c:v>44958</c:v>
                </c:pt>
                <c:pt idx="20">
                  <c:v>44986</c:v>
                </c:pt>
                <c:pt idx="21">
                  <c:v>45017</c:v>
                </c:pt>
                <c:pt idx="22">
                  <c:v>45047</c:v>
                </c:pt>
                <c:pt idx="23">
                  <c:v>45078</c:v>
                </c:pt>
                <c:pt idx="24">
                  <c:v>45108</c:v>
                </c:pt>
                <c:pt idx="25">
                  <c:v>45139</c:v>
                </c:pt>
                <c:pt idx="26">
                  <c:v>45170</c:v>
                </c:pt>
                <c:pt idx="27">
                  <c:v>45200</c:v>
                </c:pt>
                <c:pt idx="28">
                  <c:v>45231</c:v>
                </c:pt>
                <c:pt idx="29">
                  <c:v>45261</c:v>
                </c:pt>
                <c:pt idx="30">
                  <c:v>45292</c:v>
                </c:pt>
                <c:pt idx="31">
                  <c:v>45323</c:v>
                </c:pt>
                <c:pt idx="32">
                  <c:v>45352</c:v>
                </c:pt>
                <c:pt idx="33">
                  <c:v>45383</c:v>
                </c:pt>
                <c:pt idx="34">
                  <c:v>45413</c:v>
                </c:pt>
                <c:pt idx="35">
                  <c:v>45444</c:v>
                </c:pt>
                <c:pt idx="36">
                  <c:v>45474</c:v>
                </c:pt>
                <c:pt idx="37">
                  <c:v>45505</c:v>
                </c:pt>
                <c:pt idx="38">
                  <c:v>45536</c:v>
                </c:pt>
                <c:pt idx="39">
                  <c:v>45566</c:v>
                </c:pt>
                <c:pt idx="40">
                  <c:v>45597</c:v>
                </c:pt>
                <c:pt idx="41">
                  <c:v>45627</c:v>
                </c:pt>
                <c:pt idx="42">
                  <c:v>45658</c:v>
                </c:pt>
                <c:pt idx="43">
                  <c:v>45689</c:v>
                </c:pt>
                <c:pt idx="44">
                  <c:v>45717</c:v>
                </c:pt>
                <c:pt idx="45">
                  <c:v>45748</c:v>
                </c:pt>
                <c:pt idx="46">
                  <c:v>45778</c:v>
                </c:pt>
                <c:pt idx="47">
                  <c:v>45809</c:v>
                </c:pt>
                <c:pt idx="48">
                  <c:v>45839</c:v>
                </c:pt>
                <c:pt idx="49">
                  <c:v>45870</c:v>
                </c:pt>
                <c:pt idx="50">
                  <c:v>45901</c:v>
                </c:pt>
                <c:pt idx="51">
                  <c:v>45931</c:v>
                </c:pt>
                <c:pt idx="52">
                  <c:v>45962</c:v>
                </c:pt>
                <c:pt idx="53">
                  <c:v>45992</c:v>
                </c:pt>
                <c:pt idx="54">
                  <c:v>46023</c:v>
                </c:pt>
                <c:pt idx="55">
                  <c:v>46054</c:v>
                </c:pt>
                <c:pt idx="56">
                  <c:v>46082</c:v>
                </c:pt>
                <c:pt idx="57">
                  <c:v>46113</c:v>
                </c:pt>
                <c:pt idx="58">
                  <c:v>46143</c:v>
                </c:pt>
              </c:numCache>
            </c:numRef>
          </c:cat>
          <c:val>
            <c:numRef>
              <c:f>'Bull Assumptions'!$Y$15:$Y$73</c:f>
              <c:numCache>
                <c:formatCode>0.00</c:formatCode>
                <c:ptCount val="59"/>
                <c:pt idx="0" formatCode="0">
                  <c:v>100</c:v>
                </c:pt>
                <c:pt idx="1">
                  <c:v>100.16693500429959</c:v>
                </c:pt>
                <c:pt idx="2">
                  <c:v>97.903429825549622</c:v>
                </c:pt>
                <c:pt idx="3">
                  <c:v>101.75539872025053</c:v>
                </c:pt>
                <c:pt idx="4">
                  <c:v>99.508835176995873</c:v>
                </c:pt>
                <c:pt idx="5">
                  <c:v>102.53556959119035</c:v>
                </c:pt>
                <c:pt idx="6">
                  <c:v>99.041457094737666</c:v>
                </c:pt>
                <c:pt idx="7">
                  <c:v>97.139886856114458</c:v>
                </c:pt>
                <c:pt idx="8">
                  <c:v>99.428690403019814</c:v>
                </c:pt>
                <c:pt idx="9">
                  <c:v>96.434413196222067</c:v>
                </c:pt>
                <c:pt idx="10">
                  <c:v>94.727586201979079</c:v>
                </c:pt>
                <c:pt idx="11">
                  <c:v>88.693340710835642</c:v>
                </c:pt>
                <c:pt idx="12">
                  <c:v>93.678488258505382</c:v>
                </c:pt>
                <c:pt idx="13">
                  <c:v>89.324174202224356</c:v>
                </c:pt>
                <c:pt idx="14">
                  <c:v>87.90946207455174</c:v>
                </c:pt>
                <c:pt idx="15">
                  <c:v>93.726033218725362</c:v>
                </c:pt>
                <c:pt idx="16">
                  <c:v>98.198396819307746</c:v>
                </c:pt>
                <c:pt idx="17">
                  <c:v>94.701831493473605</c:v>
                </c:pt>
                <c:pt idx="18">
                  <c:v>95.19114243380568</c:v>
                </c:pt>
                <c:pt idx="19">
                  <c:v>93.598029750538686</c:v>
                </c:pt>
                <c:pt idx="20">
                  <c:v>94.902107864598108</c:v>
                </c:pt>
                <c:pt idx="21">
                  <c:v>96.427454005883931</c:v>
                </c:pt>
                <c:pt idx="22">
                  <c:v>94.386414747779241</c:v>
                </c:pt>
                <c:pt idx="23">
                  <c:v>96.194920076265873</c:v>
                </c:pt>
                <c:pt idx="24">
                  <c:v>100.01160815765418</c:v>
                </c:pt>
                <c:pt idx="25">
                  <c:v>99.361579850291832</c:v>
                </c:pt>
                <c:pt idx="26">
                  <c:v>95.567651743861859</c:v>
                </c:pt>
                <c:pt idx="27">
                  <c:v>97.147216822986991</c:v>
                </c:pt>
                <c:pt idx="28">
                  <c:v>103.37677598394821</c:v>
                </c:pt>
                <c:pt idx="29">
                  <c:v>107.4953617281609</c:v>
                </c:pt>
                <c:pt idx="30">
                  <c:v>108.69294141302936</c:v>
                </c:pt>
                <c:pt idx="31">
                  <c:v>111.48217919629906</c:v>
                </c:pt>
                <c:pt idx="32">
                  <c:v>113.53568225021426</c:v>
                </c:pt>
                <c:pt idx="33">
                  <c:v>108.34204420511928</c:v>
                </c:pt>
                <c:pt idx="34">
                  <c:v>110.33830506637612</c:v>
                </c:pt>
                <c:pt idx="35">
                  <c:v>111.66172060276855</c:v>
                </c:pt>
                <c:pt idx="36">
                  <c:v>114.90515964068902</c:v>
                </c:pt>
                <c:pt idx="37">
                  <c:v>117.43656512618523</c:v>
                </c:pt>
                <c:pt idx="38">
                  <c:v>120.68205769568088</c:v>
                </c:pt>
                <c:pt idx="39">
                  <c:v>119.93819440384124</c:v>
                </c:pt>
                <c:pt idx="40">
                  <c:v>126.33928049387433</c:v>
                </c:pt>
                <c:pt idx="41">
                  <c:v>122.18587027669912</c:v>
                </c:pt>
                <c:pt idx="42">
                  <c:v>126.70361122083878</c:v>
                </c:pt>
                <c:pt idx="43">
                  <c:v>125.03985134713098</c:v>
                </c:pt>
                <c:pt idx="44">
                  <c:v>109.27885390121087</c:v>
                </c:pt>
                <c:pt idx="45">
                  <c:v>111.63861837254771</c:v>
                </c:pt>
                <c:pt idx="46">
                  <c:v>118.65724704127454</c:v>
                </c:pt>
                <c:pt idx="47">
                  <c:v>120.37921883088454</c:v>
                </c:pt>
                <c:pt idx="48">
                  <c:v>128.065986814616</c:v>
                </c:pt>
                <c:pt idx="49">
                  <c:v>129.89979051125803</c:v>
                </c:pt>
                <c:pt idx="50">
                  <c:v>133.36056164088578</c:v>
                </c:pt>
                <c:pt idx="51">
                  <c:v>134.64071040783992</c:v>
                </c:pt>
                <c:pt idx="52">
                  <c:v>131.89779117009942</c:v>
                </c:pt>
                <c:pt idx="53">
                  <c:v>137.28682844882783</c:v>
                </c:pt>
                <c:pt idx="54">
                  <c:v>140.03576567493451</c:v>
                </c:pt>
                <c:pt idx="55">
                  <c:v>139.69125723192499</c:v>
                </c:pt>
                <c:pt idx="56">
                  <c:v>129.99274133630715</c:v>
                </c:pt>
                <c:pt idx="57">
                  <c:v>141.0303594678501</c:v>
                </c:pt>
                <c:pt idx="58">
                  <c:v>144.25973751873488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14-442D-9AB9-DCFCE519F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250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F467AF-9725-9CF4-C007-1D70B4422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FE658E-833F-7947-7C40-F6E708349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B5B30A-4157-F3C8-4D90-932080E7B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BB14D1-4FA6-4CE5-B2DE-B166948455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EA82ED-1CD5-4A02-9904-6BCD7E8F68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7E5F8C-7F3B-4860-95C0-0F0286EDDB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EDEA5C-BB71-4BB0-AAB7-52D005C93D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8FE86C-3514-41BC-82E2-A7959EC49C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0D7813-5233-4CCB-A419-D8B2723031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A4E7-498A-4287-8D8F-D65A6FA6F71F}">
  <dimension ref="B2:C28"/>
  <sheetViews>
    <sheetView showGridLines="0" tabSelected="1" workbookViewId="0"/>
  </sheetViews>
  <sheetFormatPr defaultRowHeight="15" x14ac:dyDescent="0.25"/>
  <cols>
    <col min="2" max="2" width="41" bestFit="1" customWidth="1"/>
    <col min="3" max="3" width="20.42578125" bestFit="1" customWidth="1"/>
  </cols>
  <sheetData>
    <row r="2" spans="2:3" x14ac:dyDescent="0.25">
      <c r="B2" s="3" t="s">
        <v>95</v>
      </c>
    </row>
    <row r="3" spans="2:3" x14ac:dyDescent="0.25">
      <c r="B3" s="62" t="s">
        <v>96</v>
      </c>
      <c r="C3" s="63" t="s">
        <v>117</v>
      </c>
    </row>
    <row r="4" spans="2:3" x14ac:dyDescent="0.25">
      <c r="B4" s="64" t="s">
        <v>97</v>
      </c>
      <c r="C4" s="65">
        <v>0.39</v>
      </c>
    </row>
    <row r="5" spans="2:3" x14ac:dyDescent="0.25">
      <c r="B5" s="64" t="s">
        <v>33</v>
      </c>
      <c r="C5" s="66">
        <v>1714320000</v>
      </c>
    </row>
    <row r="6" spans="2:3" x14ac:dyDescent="0.25">
      <c r="B6" s="64" t="s">
        <v>98</v>
      </c>
      <c r="C6" s="66">
        <v>4120000000</v>
      </c>
    </row>
    <row r="7" spans="2:3" x14ac:dyDescent="0.25">
      <c r="B7" s="64" t="s">
        <v>99</v>
      </c>
      <c r="C7" s="66">
        <v>132000000</v>
      </c>
    </row>
    <row r="8" spans="2:3" x14ac:dyDescent="0.25">
      <c r="B8" s="64" t="s">
        <v>100</v>
      </c>
      <c r="C8" s="67">
        <v>0.28000000000000003</v>
      </c>
    </row>
    <row r="9" spans="2:3" x14ac:dyDescent="0.25">
      <c r="B9" s="42" t="s">
        <v>101</v>
      </c>
      <c r="C9" s="68">
        <v>4.48E-2</v>
      </c>
    </row>
    <row r="11" spans="2:3" x14ac:dyDescent="0.25">
      <c r="B11" s="3" t="s">
        <v>102</v>
      </c>
    </row>
    <row r="12" spans="2:3" x14ac:dyDescent="0.25">
      <c r="B12" t="s">
        <v>103</v>
      </c>
      <c r="C12" s="69">
        <f>C5+C6</f>
        <v>5834320000</v>
      </c>
    </row>
    <row r="13" spans="2:3" x14ac:dyDescent="0.25">
      <c r="B13" t="s">
        <v>104</v>
      </c>
      <c r="C13" s="70">
        <f>C5/C12</f>
        <v>0.29383372869503216</v>
      </c>
    </row>
    <row r="14" spans="2:3" x14ac:dyDescent="0.25">
      <c r="B14" t="s">
        <v>105</v>
      </c>
      <c r="C14" s="70">
        <f>C6/C12</f>
        <v>0.7061662713049679</v>
      </c>
    </row>
    <row r="16" spans="2:3" ht="18" x14ac:dyDescent="0.35">
      <c r="B16" s="3" t="s">
        <v>106</v>
      </c>
    </row>
    <row r="17" spans="2:3" x14ac:dyDescent="0.25">
      <c r="B17" t="s">
        <v>107</v>
      </c>
      <c r="C17" t="s">
        <v>108</v>
      </c>
    </row>
    <row r="18" spans="2:3" x14ac:dyDescent="0.25">
      <c r="B18" t="s">
        <v>109</v>
      </c>
      <c r="C18" s="21">
        <f>9%-C9</f>
        <v>4.5199999999999997E-2</v>
      </c>
    </row>
    <row r="19" spans="2:3" x14ac:dyDescent="0.25">
      <c r="B19" t="s">
        <v>110</v>
      </c>
      <c r="C19" s="21">
        <f>C9+(0.39*C18)</f>
        <v>6.2427999999999997E-2</v>
      </c>
    </row>
    <row r="21" spans="2:3" ht="18" x14ac:dyDescent="0.35">
      <c r="B21" s="3" t="s">
        <v>111</v>
      </c>
    </row>
    <row r="22" spans="2:3" x14ac:dyDescent="0.25">
      <c r="B22" t="s">
        <v>112</v>
      </c>
      <c r="C22" s="70">
        <f>C7/C6</f>
        <v>3.2038834951456312E-2</v>
      </c>
    </row>
    <row r="23" spans="2:3" x14ac:dyDescent="0.25">
      <c r="B23" t="s">
        <v>113</v>
      </c>
      <c r="C23" t="s">
        <v>114</v>
      </c>
    </row>
    <row r="24" spans="2:3" x14ac:dyDescent="0.25">
      <c r="B24" t="s">
        <v>110</v>
      </c>
      <c r="C24" s="70">
        <f>C22*(1-C8)</f>
        <v>2.3067961165048542E-2</v>
      </c>
    </row>
    <row r="26" spans="2:3" x14ac:dyDescent="0.25">
      <c r="B26" s="3" t="s">
        <v>115</v>
      </c>
    </row>
    <row r="27" spans="2:3" ht="18" x14ac:dyDescent="0.35">
      <c r="B27" t="s">
        <v>107</v>
      </c>
      <c r="C27" t="s">
        <v>116</v>
      </c>
    </row>
    <row r="28" spans="2:3" x14ac:dyDescent="0.25">
      <c r="B28" t="s">
        <v>110</v>
      </c>
      <c r="C28" s="21">
        <f>(C13*C19)+(C14*C24)</f>
        <v>3.4633268137503601E-2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63</v>
      </c>
    </row>
    <row r="5" spans="1:26" x14ac:dyDescent="0.25">
      <c r="A5" s="37" t="s">
        <v>1</v>
      </c>
      <c r="B5" s="38"/>
      <c r="C5" s="39"/>
      <c r="P5" t="s">
        <v>58</v>
      </c>
    </row>
    <row r="6" spans="1:26" x14ac:dyDescent="0.25">
      <c r="A6" s="40" t="s">
        <v>2</v>
      </c>
      <c r="B6" s="31">
        <v>0.28000000000000003</v>
      </c>
      <c r="C6" s="41"/>
      <c r="P6" t="s">
        <v>59</v>
      </c>
      <c r="Q6" t="s">
        <v>60</v>
      </c>
      <c r="S6" t="s">
        <v>61</v>
      </c>
      <c r="T6" t="s">
        <v>62</v>
      </c>
    </row>
    <row r="7" spans="1:26" x14ac:dyDescent="0.25">
      <c r="A7" s="40" t="s">
        <v>3</v>
      </c>
      <c r="B7" s="32">
        <f>'WACC Input'!C28</f>
        <v>3.4633268137503601E-2</v>
      </c>
      <c r="C7" s="41"/>
      <c r="P7">
        <v>2026</v>
      </c>
      <c r="Q7" s="26">
        <f>D28</f>
        <v>167629000</v>
      </c>
      <c r="R7" s="26"/>
      <c r="S7" t="s">
        <v>41</v>
      </c>
      <c r="T7" s="16">
        <f>B40</f>
        <v>14.665762530044356</v>
      </c>
    </row>
    <row r="8" spans="1:26" x14ac:dyDescent="0.25">
      <c r="A8" s="40" t="s">
        <v>4</v>
      </c>
      <c r="B8" s="32">
        <v>0.02</v>
      </c>
      <c r="C8" s="41"/>
      <c r="P8">
        <v>2027</v>
      </c>
      <c r="Q8" s="26">
        <f>E28</f>
        <v>169305290</v>
      </c>
      <c r="R8" s="26"/>
      <c r="S8" t="s">
        <v>55</v>
      </c>
      <c r="T8" s="16">
        <v>5.67</v>
      </c>
    </row>
    <row r="9" spans="1:26" x14ac:dyDescent="0.25">
      <c r="A9" s="40" t="s">
        <v>5</v>
      </c>
      <c r="B9" s="33" t="s">
        <v>81</v>
      </c>
      <c r="C9" s="41"/>
      <c r="P9">
        <v>2028</v>
      </c>
      <c r="Q9" s="26">
        <f>F28</f>
        <v>170998342.89999998</v>
      </c>
      <c r="R9" s="26"/>
      <c r="S9" t="s">
        <v>8</v>
      </c>
      <c r="T9" s="16">
        <f>B12</f>
        <v>9</v>
      </c>
    </row>
    <row r="10" spans="1:26" x14ac:dyDescent="0.25">
      <c r="A10" s="40" t="s">
        <v>6</v>
      </c>
      <c r="B10" s="34">
        <v>46205</v>
      </c>
      <c r="C10" s="41"/>
      <c r="P10">
        <v>2029</v>
      </c>
      <c r="Q10" s="26">
        <f>G28</f>
        <v>172708326.329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174435409.59229001</v>
      </c>
      <c r="R11" s="26"/>
    </row>
    <row r="12" spans="1:26" x14ac:dyDescent="0.25">
      <c r="A12" s="40" t="s">
        <v>8</v>
      </c>
      <c r="B12" s="35">
        <v>9</v>
      </c>
      <c r="C12" s="41" t="s">
        <v>82</v>
      </c>
      <c r="P12">
        <v>2031</v>
      </c>
      <c r="Q12" s="26">
        <f>I28</f>
        <v>176179763.68821293</v>
      </c>
      <c r="R12" s="26"/>
    </row>
    <row r="13" spans="1:26" x14ac:dyDescent="0.25">
      <c r="A13" s="40" t="s">
        <v>9</v>
      </c>
      <c r="B13" s="36">
        <v>190480000</v>
      </c>
      <c r="C13" s="41"/>
    </row>
    <row r="14" spans="1:26" x14ac:dyDescent="0.25">
      <c r="A14" s="40" t="s">
        <v>10</v>
      </c>
      <c r="B14" s="35">
        <v>4120000000</v>
      </c>
      <c r="C14" s="41"/>
      <c r="P14" s="6" t="s">
        <v>16</v>
      </c>
      <c r="Q14" s="6" t="s">
        <v>91</v>
      </c>
      <c r="R14" s="6" t="s">
        <v>64</v>
      </c>
      <c r="S14" s="6" t="s">
        <v>70</v>
      </c>
      <c r="T14" s="6" t="s">
        <v>65</v>
      </c>
      <c r="U14" s="6" t="s">
        <v>16</v>
      </c>
      <c r="V14" s="6" t="s">
        <v>92</v>
      </c>
      <c r="W14" s="6" t="s">
        <v>66</v>
      </c>
      <c r="X14" s="6" t="s">
        <v>71</v>
      </c>
      <c r="Y14" s="6" t="s">
        <v>67</v>
      </c>
      <c r="Z14" t="s">
        <v>68</v>
      </c>
    </row>
    <row r="15" spans="1:26" x14ac:dyDescent="0.25">
      <c r="A15" s="40" t="s">
        <v>11</v>
      </c>
      <c r="B15" s="35">
        <v>298740000</v>
      </c>
      <c r="C15" s="41"/>
      <c r="P15" s="57">
        <v>44378</v>
      </c>
      <c r="Q15" s="58">
        <v>23.21</v>
      </c>
      <c r="R15" s="6">
        <v>4395.26</v>
      </c>
      <c r="S15" s="6">
        <v>14672.68</v>
      </c>
      <c r="T15" s="6">
        <v>35061.550000000003</v>
      </c>
      <c r="U15" s="57">
        <v>44378</v>
      </c>
      <c r="V15" s="59">
        <f t="shared" ref="V15:V46" si="0">(Q15/$Q$15)*100</f>
        <v>100</v>
      </c>
      <c r="W15" s="59">
        <f>(R15/$R$15)*100</f>
        <v>100</v>
      </c>
      <c r="X15" s="59">
        <f>(S15/$S$15)*100</f>
        <v>100</v>
      </c>
      <c r="Y15" s="59">
        <f>(T15/$T$15)*100</f>
        <v>100</v>
      </c>
      <c r="Z15" t="s">
        <v>69</v>
      </c>
    </row>
    <row r="16" spans="1:26" x14ac:dyDescent="0.25">
      <c r="A16" s="40" t="s">
        <v>12</v>
      </c>
      <c r="B16" s="35" t="s">
        <v>122</v>
      </c>
      <c r="C16" s="41"/>
      <c r="P16" s="57">
        <v>44409</v>
      </c>
      <c r="Q16" s="6">
        <v>22.9</v>
      </c>
      <c r="R16" s="6">
        <v>4509.37</v>
      </c>
      <c r="S16" s="6">
        <v>14714.66</v>
      </c>
      <c r="T16" s="6">
        <v>35120.080000000002</v>
      </c>
      <c r="U16" s="57">
        <v>44409</v>
      </c>
      <c r="V16" s="60">
        <f t="shared" si="0"/>
        <v>98.664368806548893</v>
      </c>
      <c r="W16" s="60">
        <f>(R16/$R$15)*100</f>
        <v>102.59620591273327</v>
      </c>
      <c r="X16" s="60">
        <f>(S16/$S$15)*100</f>
        <v>100.28610996764054</v>
      </c>
      <c r="Y16" s="60">
        <f>(T16/$T$15)*100</f>
        <v>100.16693500429959</v>
      </c>
      <c r="Z16" t="s">
        <v>74</v>
      </c>
    </row>
    <row r="17" spans="1:25" x14ac:dyDescent="0.25">
      <c r="A17" s="42" t="s">
        <v>78</v>
      </c>
      <c r="B17" s="43"/>
      <c r="C17" s="44"/>
      <c r="P17" s="57">
        <v>44440</v>
      </c>
      <c r="Q17" s="6">
        <v>22.3</v>
      </c>
      <c r="R17" s="6">
        <v>4455.4799999999996</v>
      </c>
      <c r="S17" s="6">
        <v>15047.7</v>
      </c>
      <c r="T17" s="6">
        <v>34326.46</v>
      </c>
      <c r="U17" s="57">
        <v>44440</v>
      </c>
      <c r="V17" s="60">
        <f t="shared" si="0"/>
        <v>96.079276174062898</v>
      </c>
      <c r="W17" s="60">
        <f>(R17/$R$15)*100</f>
        <v>101.37011234830247</v>
      </c>
      <c r="X17" s="60">
        <f>(S17/$S$15)*100</f>
        <v>102.55590662373881</v>
      </c>
      <c r="Y17" s="60">
        <f>(T17/$T$15)*100</f>
        <v>97.903429825549622</v>
      </c>
    </row>
    <row r="18" spans="1:25" x14ac:dyDescent="0.25">
      <c r="P18" s="57">
        <v>44470</v>
      </c>
      <c r="Q18" s="6">
        <v>22.59</v>
      </c>
      <c r="R18" s="6">
        <v>4544.8999999999996</v>
      </c>
      <c r="S18" s="6">
        <v>15498.39</v>
      </c>
      <c r="T18" s="6">
        <v>35677.019999999997</v>
      </c>
      <c r="U18" s="57">
        <v>44470</v>
      </c>
      <c r="V18" s="60">
        <f t="shared" si="0"/>
        <v>97.328737613097786</v>
      </c>
      <c r="W18" s="60">
        <f t="shared" ref="W18:W75" si="1">(R18/$R$15)*100</f>
        <v>103.40457674858823</v>
      </c>
      <c r="X18" s="60">
        <f t="shared" ref="X18:X75" si="2">(S18/$S$15)*100</f>
        <v>105.62753362030656</v>
      </c>
      <c r="Y18" s="60">
        <f t="shared" ref="Y18:Y75" si="3">(T18/$T$15)*100</f>
        <v>101.75539872025053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7">
        <v>44501</v>
      </c>
      <c r="Q19" s="6">
        <v>21.32</v>
      </c>
      <c r="R19" s="6">
        <v>4594.62</v>
      </c>
      <c r="S19" s="6">
        <v>15085.47</v>
      </c>
      <c r="T19" s="6">
        <v>34889.339999999997</v>
      </c>
      <c r="U19" s="57">
        <v>44501</v>
      </c>
      <c r="V19" s="60">
        <f t="shared" si="0"/>
        <v>91.856958207669109</v>
      </c>
      <c r="W19" s="60">
        <f t="shared" si="1"/>
        <v>104.53579537956799</v>
      </c>
      <c r="X19" s="60">
        <f t="shared" si="2"/>
        <v>102.81332380996517</v>
      </c>
      <c r="Y19" s="60">
        <f t="shared" si="3"/>
        <v>99.508835176995873</v>
      </c>
    </row>
    <row r="20" spans="1:25" x14ac:dyDescent="0.25">
      <c r="A20" t="s">
        <v>16</v>
      </c>
      <c r="C20" s="7">
        <v>46205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12280466487.27877</v>
      </c>
      <c r="P20" s="57">
        <v>44531</v>
      </c>
      <c r="Q20" s="6">
        <v>23.33</v>
      </c>
      <c r="R20" s="6">
        <v>4766.18</v>
      </c>
      <c r="S20" s="6">
        <v>15653.37</v>
      </c>
      <c r="T20" s="6">
        <v>35950.559999999998</v>
      </c>
      <c r="U20" s="57">
        <v>44531</v>
      </c>
      <c r="V20" s="60">
        <f t="shared" si="0"/>
        <v>100.5170185264972</v>
      </c>
      <c r="W20" s="60">
        <f t="shared" si="1"/>
        <v>108.43909120279574</v>
      </c>
      <c r="X20" s="60">
        <f t="shared" si="2"/>
        <v>106.68378237649836</v>
      </c>
      <c r="Y20" s="60">
        <f t="shared" si="3"/>
        <v>102.53556959119035</v>
      </c>
    </row>
    <row r="21" spans="1:25" x14ac:dyDescent="0.25">
      <c r="A21" t="s">
        <v>18</v>
      </c>
      <c r="B21" t="s">
        <v>118</v>
      </c>
      <c r="D21" s="5">
        <v>2177000000</v>
      </c>
      <c r="E21" s="5">
        <f>D21*1.01</f>
        <v>2198770000</v>
      </c>
      <c r="F21" s="5">
        <f>E21*1.01</f>
        <v>2220757700</v>
      </c>
      <c r="G21" s="5">
        <f>F21*1.01</f>
        <v>2242965277</v>
      </c>
      <c r="H21" s="5">
        <f>G21*1.01</f>
        <v>2265394929.77</v>
      </c>
      <c r="I21" s="5">
        <f>H21*1.01</f>
        <v>2288048879.0676999</v>
      </c>
      <c r="L21" t="s">
        <v>19</v>
      </c>
      <c r="M21" s="13">
        <f>(I22+I25)*12</f>
        <v>4667619713.2981081</v>
      </c>
      <c r="P21" s="57">
        <v>44562</v>
      </c>
      <c r="Q21" s="6">
        <v>22.69</v>
      </c>
      <c r="R21" s="6">
        <v>4500.53</v>
      </c>
      <c r="S21" s="6">
        <v>13770.57</v>
      </c>
      <c r="T21" s="6">
        <v>34725.47</v>
      </c>
      <c r="U21" s="57">
        <v>44562</v>
      </c>
      <c r="V21" s="60">
        <f t="shared" si="0"/>
        <v>97.759586385178807</v>
      </c>
      <c r="W21" s="60">
        <f t="shared" si="1"/>
        <v>102.39508015453009</v>
      </c>
      <c r="X21" s="60">
        <f t="shared" si="2"/>
        <v>93.851770773982665</v>
      </c>
      <c r="Y21" s="60">
        <f t="shared" si="3"/>
        <v>99.041457094737666</v>
      </c>
    </row>
    <row r="22" spans="1:25" x14ac:dyDescent="0.25">
      <c r="A22" t="s">
        <v>77</v>
      </c>
      <c r="B22" t="s">
        <v>119</v>
      </c>
      <c r="C22" s="25">
        <v>0.1</v>
      </c>
      <c r="D22" s="5">
        <f>D21*$C$22</f>
        <v>217700000</v>
      </c>
      <c r="E22" s="5">
        <f t="shared" ref="E22:I22" si="4">E21*$C$22</f>
        <v>219877000</v>
      </c>
      <c r="F22" s="5">
        <f t="shared" si="4"/>
        <v>222075770</v>
      </c>
      <c r="G22" s="5">
        <f t="shared" si="4"/>
        <v>224296527.70000002</v>
      </c>
      <c r="H22" s="5">
        <f t="shared" si="4"/>
        <v>226539492.977</v>
      </c>
      <c r="I22" s="5">
        <f t="shared" si="4"/>
        <v>228804887.90676999</v>
      </c>
      <c r="L22" t="s">
        <v>20</v>
      </c>
      <c r="M22" s="13">
        <f>(M20+M21)/2</f>
        <v>8474043100.2884388</v>
      </c>
      <c r="P22" s="57">
        <v>44593</v>
      </c>
      <c r="Q22" s="6">
        <v>22.72</v>
      </c>
      <c r="R22" s="6">
        <v>4384.6499999999996</v>
      </c>
      <c r="S22" s="6">
        <v>13313.44</v>
      </c>
      <c r="T22" s="6">
        <v>34058.75</v>
      </c>
      <c r="U22" s="57">
        <v>44593</v>
      </c>
      <c r="V22" s="60">
        <f t="shared" si="0"/>
        <v>97.888841016803099</v>
      </c>
      <c r="W22" s="60">
        <f t="shared" si="1"/>
        <v>99.758603586590993</v>
      </c>
      <c r="X22" s="60">
        <f t="shared" si="2"/>
        <v>90.736252681854992</v>
      </c>
      <c r="Y22" s="60">
        <f t="shared" si="3"/>
        <v>97.139886856114458</v>
      </c>
    </row>
    <row r="23" spans="1:25" x14ac:dyDescent="0.25">
      <c r="A23" t="s">
        <v>21</v>
      </c>
      <c r="B23" t="s">
        <v>22</v>
      </c>
      <c r="C23" s="25"/>
      <c r="D23" s="5">
        <f>D22*$B$6</f>
        <v>60956000.000000007</v>
      </c>
      <c r="E23" s="30">
        <f t="shared" ref="E23:I23" si="5">E22*$B$6</f>
        <v>61565560.000000007</v>
      </c>
      <c r="F23" s="5">
        <f t="shared" si="5"/>
        <v>62181215.600000009</v>
      </c>
      <c r="G23" s="30">
        <f t="shared" si="5"/>
        <v>62803027.756000012</v>
      </c>
      <c r="H23" s="30">
        <f t="shared" si="5"/>
        <v>63431058.033560008</v>
      </c>
      <c r="I23" s="5">
        <f t="shared" si="5"/>
        <v>64065368.613895603</v>
      </c>
      <c r="P23" s="57">
        <v>44621</v>
      </c>
      <c r="Q23" s="6">
        <v>21.92</v>
      </c>
      <c r="R23" s="6">
        <v>4543.0600000000004</v>
      </c>
      <c r="S23" s="6">
        <v>14169.3</v>
      </c>
      <c r="T23" s="6">
        <v>34861.24</v>
      </c>
      <c r="U23" s="57">
        <v>44621</v>
      </c>
      <c r="V23" s="60">
        <f t="shared" si="0"/>
        <v>94.442050840155105</v>
      </c>
      <c r="W23" s="60">
        <f t="shared" si="1"/>
        <v>103.36271346860026</v>
      </c>
      <c r="X23" s="60">
        <f t="shared" si="2"/>
        <v>96.569270235567046</v>
      </c>
      <c r="Y23" s="60">
        <f t="shared" si="3"/>
        <v>99.428690403019814</v>
      </c>
    </row>
    <row r="24" spans="1:25" x14ac:dyDescent="0.25">
      <c r="A24" t="s">
        <v>23</v>
      </c>
      <c r="B24" t="s">
        <v>24</v>
      </c>
      <c r="C24" s="25"/>
      <c r="D24" s="5">
        <f>D22*(1-$B$6)</f>
        <v>156744000</v>
      </c>
      <c r="E24" s="5">
        <f t="shared" ref="E24:I24" si="6">E22*(1-$B$6)</f>
        <v>158311440</v>
      </c>
      <c r="F24" s="5">
        <f t="shared" si="6"/>
        <v>159894554.40000001</v>
      </c>
      <c r="G24" s="5">
        <f t="shared" si="6"/>
        <v>161493499.94400001</v>
      </c>
      <c r="H24" s="5">
        <f t="shared" si="6"/>
        <v>163108434.94343999</v>
      </c>
      <c r="I24" s="5">
        <f t="shared" si="6"/>
        <v>164739519.2928744</v>
      </c>
      <c r="P24" s="57">
        <v>44652</v>
      </c>
      <c r="Q24" s="6">
        <v>19.760000000000002</v>
      </c>
      <c r="R24" s="6">
        <v>4271.78</v>
      </c>
      <c r="S24" s="6">
        <v>12839.29</v>
      </c>
      <c r="T24" s="6">
        <v>33811.4</v>
      </c>
      <c r="U24" s="57">
        <v>44652</v>
      </c>
      <c r="V24" s="60">
        <f t="shared" si="0"/>
        <v>85.135717363205515</v>
      </c>
      <c r="W24" s="60">
        <f t="shared" si="1"/>
        <v>97.190609884284413</v>
      </c>
      <c r="X24" s="60">
        <f t="shared" si="2"/>
        <v>87.504736694318979</v>
      </c>
      <c r="Y24" s="60">
        <f t="shared" si="3"/>
        <v>96.434413196222067</v>
      </c>
    </row>
    <row r="25" spans="1:25" x14ac:dyDescent="0.25">
      <c r="A25" s="4" t="s">
        <v>25</v>
      </c>
      <c r="B25" s="8" t="s">
        <v>85</v>
      </c>
      <c r="C25" s="25">
        <v>7.0000000000000007E-2</v>
      </c>
      <c r="D25" s="12">
        <f>D21*$C$25</f>
        <v>152390000</v>
      </c>
      <c r="E25" s="12">
        <f t="shared" ref="E25:I25" si="7">E21*$C$25</f>
        <v>153913900</v>
      </c>
      <c r="F25" s="12">
        <f t="shared" si="7"/>
        <v>155453039</v>
      </c>
      <c r="G25" s="12">
        <f t="shared" si="7"/>
        <v>157007569.39000002</v>
      </c>
      <c r="H25" s="12">
        <f t="shared" si="7"/>
        <v>158577645.0839</v>
      </c>
      <c r="I25" s="12">
        <f t="shared" si="7"/>
        <v>160163421.53473902</v>
      </c>
      <c r="P25" s="57">
        <v>44682</v>
      </c>
      <c r="Q25" s="6">
        <v>18.89</v>
      </c>
      <c r="R25" s="6">
        <v>4158.24</v>
      </c>
      <c r="S25" s="6">
        <v>11354.62</v>
      </c>
      <c r="T25" s="6">
        <v>33212.959999999999</v>
      </c>
      <c r="U25" s="57">
        <v>44682</v>
      </c>
      <c r="V25" s="60">
        <f t="shared" si="0"/>
        <v>81.387333046100821</v>
      </c>
      <c r="W25" s="60">
        <f t="shared" si="1"/>
        <v>94.607372487634393</v>
      </c>
      <c r="X25" s="60">
        <f t="shared" si="2"/>
        <v>77.386135320882076</v>
      </c>
      <c r="Y25" s="60">
        <f t="shared" si="3"/>
        <v>94.727586201979079</v>
      </c>
    </row>
    <row r="26" spans="1:25" x14ac:dyDescent="0.25">
      <c r="A26" t="s">
        <v>26</v>
      </c>
      <c r="B26" t="s">
        <v>120</v>
      </c>
      <c r="C26" s="25">
        <v>0.06</v>
      </c>
      <c r="D26" s="10">
        <f>D21*$C$26</f>
        <v>130620000</v>
      </c>
      <c r="E26" s="10">
        <f t="shared" ref="E26:I26" si="8">E21*$C$26</f>
        <v>131926200</v>
      </c>
      <c r="F26" s="10">
        <f t="shared" si="8"/>
        <v>133245462</v>
      </c>
      <c r="G26" s="10">
        <f t="shared" si="8"/>
        <v>134577916.62</v>
      </c>
      <c r="H26" s="10">
        <f t="shared" si="8"/>
        <v>135923695.78619999</v>
      </c>
      <c r="I26" s="10">
        <f t="shared" si="8"/>
        <v>137282932.74406198</v>
      </c>
      <c r="P26" s="57">
        <v>44713</v>
      </c>
      <c r="Q26" s="6">
        <v>19.36</v>
      </c>
      <c r="R26" s="6">
        <v>3911.74</v>
      </c>
      <c r="S26" s="6">
        <v>11127.85</v>
      </c>
      <c r="T26" s="6">
        <v>31097.26</v>
      </c>
      <c r="U26" s="57">
        <v>44713</v>
      </c>
      <c r="V26" s="60">
        <f t="shared" si="0"/>
        <v>83.412322274881518</v>
      </c>
      <c r="W26" s="60">
        <f t="shared" si="1"/>
        <v>88.999058076200271</v>
      </c>
      <c r="X26" s="60">
        <f t="shared" si="2"/>
        <v>75.840609895397435</v>
      </c>
      <c r="Y26" s="60">
        <f t="shared" si="3"/>
        <v>88.693340710835642</v>
      </c>
    </row>
    <row r="27" spans="1:25" x14ac:dyDescent="0.25">
      <c r="A27" t="s">
        <v>27</v>
      </c>
      <c r="B27" t="s">
        <v>90</v>
      </c>
      <c r="C27" s="46">
        <v>5.0000000000000001E-3</v>
      </c>
      <c r="D27" s="10">
        <f>D21*$C$27</f>
        <v>10885000</v>
      </c>
      <c r="E27" s="10">
        <f t="shared" ref="E27:I27" si="9">E21*$C$27</f>
        <v>10993850</v>
      </c>
      <c r="F27" s="10">
        <f t="shared" si="9"/>
        <v>11103788.5</v>
      </c>
      <c r="G27" s="10">
        <f t="shared" si="9"/>
        <v>11214826.385</v>
      </c>
      <c r="H27" s="10">
        <f t="shared" si="9"/>
        <v>11326974.64885</v>
      </c>
      <c r="I27" s="10">
        <f t="shared" si="9"/>
        <v>11440244.3953385</v>
      </c>
      <c r="P27" s="57">
        <v>44743</v>
      </c>
      <c r="Q27" s="60">
        <v>21.03</v>
      </c>
      <c r="R27" s="6">
        <v>4130.29</v>
      </c>
      <c r="S27" s="6">
        <v>12390.69</v>
      </c>
      <c r="T27" s="6">
        <v>32845.129999999997</v>
      </c>
      <c r="U27" s="57">
        <v>44743</v>
      </c>
      <c r="V27" s="60">
        <f t="shared" si="0"/>
        <v>90.607496768634206</v>
      </c>
      <c r="W27" s="60">
        <f t="shared" si="1"/>
        <v>93.971460163903842</v>
      </c>
      <c r="X27" s="60">
        <f t="shared" si="2"/>
        <v>84.447353857645638</v>
      </c>
      <c r="Y27" s="60">
        <f t="shared" si="3"/>
        <v>93.678488258505382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167629000</v>
      </c>
      <c r="E28" s="12">
        <f t="shared" ref="E28:I28" si="10">E24+E25-E26-E27</f>
        <v>169305290</v>
      </c>
      <c r="F28" s="12">
        <f t="shared" si="10"/>
        <v>170998342.89999998</v>
      </c>
      <c r="G28" s="12">
        <f t="shared" si="10"/>
        <v>172708326.329</v>
      </c>
      <c r="H28" s="12">
        <f t="shared" si="10"/>
        <v>174435409.59229001</v>
      </c>
      <c r="I28" s="12">
        <f t="shared" si="10"/>
        <v>176179763.68821293</v>
      </c>
      <c r="P28" s="57">
        <v>44774</v>
      </c>
      <c r="Q28" s="6">
        <v>21.15</v>
      </c>
      <c r="R28" s="6">
        <v>3924.26</v>
      </c>
      <c r="S28" s="6">
        <v>12141.71</v>
      </c>
      <c r="T28" s="6">
        <v>31318.44</v>
      </c>
      <c r="U28" s="57">
        <v>44774</v>
      </c>
      <c r="V28" s="60">
        <f t="shared" si="0"/>
        <v>91.124515295131403</v>
      </c>
      <c r="W28" s="60">
        <f t="shared" si="1"/>
        <v>89.28391039437939</v>
      </c>
      <c r="X28" s="60">
        <f t="shared" si="2"/>
        <v>82.750458675579367</v>
      </c>
      <c r="Y28" s="60">
        <f t="shared" si="3"/>
        <v>89.324174202224356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7">
        <v>44805</v>
      </c>
      <c r="Q29" s="6">
        <v>19.07</v>
      </c>
      <c r="R29" s="6">
        <v>3585.62</v>
      </c>
      <c r="S29" s="6">
        <v>10867.93</v>
      </c>
      <c r="T29" s="6">
        <v>30822.42</v>
      </c>
      <c r="U29" s="57">
        <v>44805</v>
      </c>
      <c r="V29" s="60">
        <f t="shared" si="0"/>
        <v>82.162860835846615</v>
      </c>
      <c r="W29" s="60">
        <f t="shared" si="1"/>
        <v>81.579246733981606</v>
      </c>
      <c r="X29" s="60">
        <f t="shared" si="2"/>
        <v>74.069154373979401</v>
      </c>
      <c r="Y29" s="60">
        <f t="shared" si="3"/>
        <v>87.90946207455174</v>
      </c>
    </row>
    <row r="30" spans="1:25" x14ac:dyDescent="0.25">
      <c r="A30" t="s">
        <v>36</v>
      </c>
      <c r="C30" s="13">
        <f>-G39</f>
        <v>-5535580000</v>
      </c>
      <c r="D30" s="5">
        <f>D28</f>
        <v>167629000</v>
      </c>
      <c r="E30" s="5">
        <f t="shared" ref="E30:I30" si="11">E28</f>
        <v>169305290</v>
      </c>
      <c r="F30" s="5">
        <f t="shared" si="11"/>
        <v>170998342.89999998</v>
      </c>
      <c r="G30" s="5">
        <f t="shared" si="11"/>
        <v>172708326.329</v>
      </c>
      <c r="H30" s="5">
        <f t="shared" si="11"/>
        <v>174435409.59229001</v>
      </c>
      <c r="I30" s="5">
        <f t="shared" si="11"/>
        <v>176179763.68821293</v>
      </c>
      <c r="J30" s="13">
        <f>I28+M22</f>
        <v>8650222863.9766521</v>
      </c>
      <c r="K30" t="s">
        <v>38</v>
      </c>
      <c r="P30" s="57">
        <v>44835</v>
      </c>
      <c r="Q30" s="6">
        <v>20.97</v>
      </c>
      <c r="R30" s="6">
        <v>3901.06</v>
      </c>
      <c r="S30" s="6">
        <v>11102.45</v>
      </c>
      <c r="T30" s="6">
        <v>32861.800000000003</v>
      </c>
      <c r="U30" s="57">
        <v>44835</v>
      </c>
      <c r="V30" s="60">
        <f t="shared" si="0"/>
        <v>90.348987505385608</v>
      </c>
      <c r="W30" s="60">
        <f t="shared" si="1"/>
        <v>88.756069038009116</v>
      </c>
      <c r="X30" s="60">
        <f t="shared" si="2"/>
        <v>75.667499052661142</v>
      </c>
      <c r="Y30" s="60">
        <f t="shared" si="3"/>
        <v>93.726033218725362</v>
      </c>
    </row>
    <row r="31" spans="1:25" x14ac:dyDescent="0.25">
      <c r="A31" t="s">
        <v>37</v>
      </c>
      <c r="D31" s="6">
        <f>1/(1+$B$7)^D29</f>
        <v>0.98312056450078467</v>
      </c>
      <c r="E31" s="6">
        <f t="shared" ref="E31:I31" si="12">1/(1+$B$7)^E29</f>
        <v>0.95021163032051958</v>
      </c>
      <c r="F31" s="6">
        <f t="shared" si="12"/>
        <v>0.91840428834367982</v>
      </c>
      <c r="G31" s="6">
        <f t="shared" si="12"/>
        <v>0.88766166392169699</v>
      </c>
      <c r="H31" s="6">
        <f t="shared" si="12"/>
        <v>0.85794811674635429</v>
      </c>
      <c r="I31" s="6">
        <f t="shared" si="12"/>
        <v>0.84346643684806111</v>
      </c>
      <c r="J31" t="s">
        <v>39</v>
      </c>
      <c r="P31" s="57">
        <v>44866</v>
      </c>
      <c r="Q31" s="6">
        <v>23.01</v>
      </c>
      <c r="R31" s="6">
        <v>4026.12</v>
      </c>
      <c r="S31" s="6">
        <v>11226.36</v>
      </c>
      <c r="T31" s="6">
        <v>34429.879999999997</v>
      </c>
      <c r="U31" s="57">
        <v>44866</v>
      </c>
      <c r="V31" s="60">
        <f t="shared" si="0"/>
        <v>99.138302455838001</v>
      </c>
      <c r="W31" s="60">
        <f t="shared" si="1"/>
        <v>91.601406970236113</v>
      </c>
      <c r="X31" s="60">
        <f t="shared" si="2"/>
        <v>76.511993718938882</v>
      </c>
      <c r="Y31" s="60">
        <f t="shared" si="3"/>
        <v>98.198396819307746</v>
      </c>
    </row>
    <row r="32" spans="1:25" x14ac:dyDescent="0.25">
      <c r="A32" t="s">
        <v>40</v>
      </c>
      <c r="C32" s="13">
        <f>-G39</f>
        <v>-5535580000</v>
      </c>
      <c r="D32" s="5">
        <f>D30*D31</f>
        <v>164799517.10670203</v>
      </c>
      <c r="E32" s="5">
        <f t="shared" ref="E32:I32" si="13">E30*E31</f>
        <v>160875855.63278836</v>
      </c>
      <c r="F32" s="5">
        <f t="shared" si="13"/>
        <v>157045611.41902301</v>
      </c>
      <c r="G32" s="5">
        <f t="shared" si="13"/>
        <v>153306560.32233158</v>
      </c>
      <c r="H32" s="5">
        <f t="shared" si="13"/>
        <v>149656531.15358415</v>
      </c>
      <c r="I32" s="5">
        <f t="shared" si="13"/>
        <v>148601717.52283037</v>
      </c>
      <c r="J32" s="14">
        <f>M22</f>
        <v>8474043100.2884388</v>
      </c>
      <c r="P32" s="57">
        <v>44896</v>
      </c>
      <c r="Q32" s="6">
        <v>22.63</v>
      </c>
      <c r="R32" s="6">
        <v>3839.5</v>
      </c>
      <c r="S32" s="6">
        <v>10466.48</v>
      </c>
      <c r="T32" s="6">
        <v>33203.93</v>
      </c>
      <c r="U32" s="57">
        <v>44896</v>
      </c>
      <c r="V32" s="60">
        <f t="shared" si="0"/>
        <v>97.501077121930194</v>
      </c>
      <c r="W32" s="60">
        <f t="shared" si="1"/>
        <v>87.355469301019724</v>
      </c>
      <c r="X32" s="60">
        <f t="shared" si="2"/>
        <v>71.333117058369695</v>
      </c>
      <c r="Y32" s="60">
        <f t="shared" si="3"/>
        <v>94.701831493473605</v>
      </c>
    </row>
    <row r="33" spans="1:25" x14ac:dyDescent="0.25">
      <c r="A33" t="s">
        <v>56</v>
      </c>
      <c r="C33" s="29">
        <v>-5536</v>
      </c>
      <c r="D33" s="45">
        <v>165</v>
      </c>
      <c r="E33" s="24">
        <v>161</v>
      </c>
      <c r="F33" s="24">
        <v>157</v>
      </c>
      <c r="G33" s="24">
        <v>153</v>
      </c>
      <c r="H33" s="24">
        <v>150</v>
      </c>
      <c r="I33" s="24">
        <v>149</v>
      </c>
      <c r="J33" s="24">
        <v>8474</v>
      </c>
      <c r="P33" s="57">
        <v>44927</v>
      </c>
      <c r="Q33" s="6">
        <v>22.28</v>
      </c>
      <c r="R33" s="6">
        <v>4070.56</v>
      </c>
      <c r="S33" s="6">
        <v>11140.43</v>
      </c>
      <c r="T33" s="6">
        <v>33375.49</v>
      </c>
      <c r="U33" s="57">
        <v>44927</v>
      </c>
      <c r="V33" s="60">
        <f t="shared" si="0"/>
        <v>95.993106419646708</v>
      </c>
      <c r="W33" s="60">
        <f t="shared" si="1"/>
        <v>92.61249618907641</v>
      </c>
      <c r="X33" s="60">
        <f t="shared" si="2"/>
        <v>75.92634747026446</v>
      </c>
      <c r="Y33" s="60">
        <f t="shared" si="3"/>
        <v>95.19114243380568</v>
      </c>
    </row>
    <row r="34" spans="1:25" x14ac:dyDescent="0.25">
      <c r="P34" s="57">
        <v>44958</v>
      </c>
      <c r="Q34" s="6">
        <v>22.5</v>
      </c>
      <c r="R34" s="6">
        <v>4045.64</v>
      </c>
      <c r="S34" s="6">
        <v>11689.01</v>
      </c>
      <c r="T34" s="6">
        <v>32816.92</v>
      </c>
      <c r="U34" s="57">
        <v>44958</v>
      </c>
      <c r="V34" s="60">
        <f t="shared" si="0"/>
        <v>96.940973718224896</v>
      </c>
      <c r="W34" s="60">
        <f t="shared" si="1"/>
        <v>92.045521766630415</v>
      </c>
      <c r="X34" s="60">
        <f t="shared" si="2"/>
        <v>79.665132750117905</v>
      </c>
      <c r="Y34" s="60">
        <f t="shared" si="3"/>
        <v>93.598029750538686</v>
      </c>
    </row>
    <row r="35" spans="1:25" x14ac:dyDescent="0.25">
      <c r="A35" s="3" t="s">
        <v>41</v>
      </c>
      <c r="F35" s="3" t="s">
        <v>31</v>
      </c>
      <c r="P35" s="57">
        <v>44986</v>
      </c>
      <c r="Q35" s="6">
        <v>21.02</v>
      </c>
      <c r="R35" s="6">
        <v>3970.99</v>
      </c>
      <c r="S35" s="6">
        <v>11823.96</v>
      </c>
      <c r="T35" s="6">
        <v>33274.15</v>
      </c>
      <c r="U35" s="57">
        <v>44986</v>
      </c>
      <c r="V35" s="60">
        <f t="shared" si="0"/>
        <v>90.564411891426104</v>
      </c>
      <c r="W35" s="60">
        <f t="shared" si="1"/>
        <v>90.347101195378642</v>
      </c>
      <c r="X35" s="60">
        <f t="shared" si="2"/>
        <v>80.584869294498347</v>
      </c>
      <c r="Y35" s="60">
        <f t="shared" si="3"/>
        <v>94.902107864598108</v>
      </c>
    </row>
    <row r="36" spans="1:25" x14ac:dyDescent="0.25">
      <c r="A36" s="13" t="s">
        <v>42</v>
      </c>
      <c r="B36" s="17">
        <f>SUM(D32:I32)</f>
        <v>934285793.15725946</v>
      </c>
      <c r="C36" t="s">
        <v>45</v>
      </c>
      <c r="F36" t="s">
        <v>33</v>
      </c>
      <c r="G36" s="15">
        <f>B13*B12</f>
        <v>1714320000</v>
      </c>
      <c r="H36" t="s">
        <v>34</v>
      </c>
      <c r="L36" s="3" t="s">
        <v>51</v>
      </c>
      <c r="P36" s="57">
        <v>45017</v>
      </c>
      <c r="Q36" s="6">
        <v>22.66</v>
      </c>
      <c r="R36" s="6">
        <v>4133.5200000000004</v>
      </c>
      <c r="S36" s="6">
        <v>12072.46</v>
      </c>
      <c r="T36" s="6">
        <v>33808.959999999999</v>
      </c>
      <c r="U36" s="57">
        <v>45017</v>
      </c>
      <c r="V36" s="60">
        <f t="shared" si="0"/>
        <v>97.630331753554501</v>
      </c>
      <c r="W36" s="60">
        <f t="shared" si="1"/>
        <v>94.044948421708852</v>
      </c>
      <c r="X36" s="60">
        <f t="shared" si="2"/>
        <v>82.278493090560133</v>
      </c>
      <c r="Y36" s="60">
        <f t="shared" si="3"/>
        <v>96.427454005883931</v>
      </c>
    </row>
    <row r="37" spans="1:25" x14ac:dyDescent="0.25">
      <c r="A37" t="s">
        <v>11</v>
      </c>
      <c r="B37" s="19">
        <f>B15</f>
        <v>298740000</v>
      </c>
      <c r="F37" t="s">
        <v>10</v>
      </c>
      <c r="G37" s="14">
        <f>B14</f>
        <v>4120000000</v>
      </c>
      <c r="L37" t="s">
        <v>52</v>
      </c>
      <c r="M37" s="21">
        <f>(B40/B12)-1</f>
        <v>0.62952917000492836</v>
      </c>
      <c r="P37" s="57">
        <v>45047</v>
      </c>
      <c r="Q37" s="6">
        <v>22.75</v>
      </c>
      <c r="R37" s="6">
        <v>4282.37</v>
      </c>
      <c r="S37" s="6">
        <v>13240.77</v>
      </c>
      <c r="T37" s="6">
        <v>33093.339999999997</v>
      </c>
      <c r="U37" s="57">
        <v>45047</v>
      </c>
      <c r="V37" s="60">
        <f t="shared" si="0"/>
        <v>98.018095648427391</v>
      </c>
      <c r="W37" s="60">
        <f t="shared" si="1"/>
        <v>97.431551262041367</v>
      </c>
      <c r="X37" s="60">
        <f t="shared" si="2"/>
        <v>90.24097847155393</v>
      </c>
      <c r="Y37" s="60">
        <f t="shared" si="3"/>
        <v>94.386414747779241</v>
      </c>
    </row>
    <row r="38" spans="1:25" x14ac:dyDescent="0.25">
      <c r="A38" t="s">
        <v>10</v>
      </c>
      <c r="B38" s="19">
        <f>B14</f>
        <v>4120000000</v>
      </c>
      <c r="C38" s="3"/>
      <c r="F38" t="s">
        <v>11</v>
      </c>
      <c r="G38" s="14">
        <f>B15</f>
        <v>298740000</v>
      </c>
      <c r="L38" t="s">
        <v>53</v>
      </c>
      <c r="M38" s="23">
        <f>IRR(C33:J33)</f>
        <v>8.3925776564465204E-2</v>
      </c>
      <c r="N38" t="s">
        <v>57</v>
      </c>
      <c r="P38" s="57">
        <v>45078</v>
      </c>
      <c r="Q38" s="6">
        <v>21.75</v>
      </c>
      <c r="R38" s="6">
        <v>4450.38</v>
      </c>
      <c r="S38" s="6">
        <v>13492.52</v>
      </c>
      <c r="T38" s="6">
        <v>33727.43</v>
      </c>
      <c r="U38" s="57">
        <v>45078</v>
      </c>
      <c r="V38" s="60">
        <f t="shared" si="0"/>
        <v>93.709607927617398</v>
      </c>
      <c r="W38" s="60">
        <f t="shared" si="1"/>
        <v>101.25407825703144</v>
      </c>
      <c r="X38" s="60">
        <f t="shared" si="2"/>
        <v>91.956752277020968</v>
      </c>
      <c r="Y38" s="60">
        <f t="shared" si="3"/>
        <v>96.194920076265873</v>
      </c>
    </row>
    <row r="39" spans="1:25" x14ac:dyDescent="0.25">
      <c r="A39" t="s">
        <v>44</v>
      </c>
      <c r="B39" s="17">
        <f>(((B36+B37)-B38)+(M22))/2</f>
        <v>2793534446.7228489</v>
      </c>
      <c r="C39" t="s">
        <v>75</v>
      </c>
      <c r="F39" t="s">
        <v>30</v>
      </c>
      <c r="G39" s="13">
        <f>G36+G37-G38</f>
        <v>5535580000</v>
      </c>
      <c r="H39" t="s">
        <v>32</v>
      </c>
      <c r="P39" s="57">
        <v>45108</v>
      </c>
      <c r="Q39" s="6">
        <v>21.59</v>
      </c>
      <c r="R39" s="6">
        <v>4582.2299999999996</v>
      </c>
      <c r="S39" s="6">
        <v>14032.81</v>
      </c>
      <c r="T39" s="6">
        <v>35065.620000000003</v>
      </c>
      <c r="U39" s="57">
        <v>45108</v>
      </c>
      <c r="V39" s="60">
        <f t="shared" si="0"/>
        <v>93.020249892287794</v>
      </c>
      <c r="W39" s="60">
        <f t="shared" si="1"/>
        <v>104.25390079312713</v>
      </c>
      <c r="X39" s="60">
        <f t="shared" si="2"/>
        <v>95.639037994422281</v>
      </c>
      <c r="Y39" s="60">
        <f t="shared" si="3"/>
        <v>100.01160815765418</v>
      </c>
    </row>
    <row r="40" spans="1:25" x14ac:dyDescent="0.25">
      <c r="A40" t="s">
        <v>72</v>
      </c>
      <c r="B40" s="20">
        <f>B39/B13</f>
        <v>14.665762530044356</v>
      </c>
      <c r="C40" t="s">
        <v>76</v>
      </c>
      <c r="F40" t="s">
        <v>48</v>
      </c>
      <c r="G40" s="16">
        <f>G39/B13</f>
        <v>29.061213775724486</v>
      </c>
      <c r="H40" t="s">
        <v>49</v>
      </c>
      <c r="L40" s="47" t="s">
        <v>86</v>
      </c>
      <c r="M40" s="48"/>
      <c r="P40" s="57">
        <v>45139</v>
      </c>
      <c r="Q40" s="6">
        <v>20.18</v>
      </c>
      <c r="R40" s="6">
        <v>4515.7700000000004</v>
      </c>
      <c r="S40" s="6">
        <v>13590.65</v>
      </c>
      <c r="T40" s="6">
        <v>34837.71</v>
      </c>
      <c r="U40" s="57">
        <v>45139</v>
      </c>
      <c r="V40" s="60">
        <f t="shared" si="0"/>
        <v>86.945282205945702</v>
      </c>
      <c r="W40" s="60">
        <f t="shared" si="1"/>
        <v>102.74181732138715</v>
      </c>
      <c r="X40" s="60">
        <f t="shared" si="2"/>
        <v>92.625546253308869</v>
      </c>
      <c r="Y40" s="60">
        <f t="shared" si="3"/>
        <v>99.361579850291832</v>
      </c>
    </row>
    <row r="41" spans="1:25" x14ac:dyDescent="0.25">
      <c r="A41" t="s">
        <v>46</v>
      </c>
      <c r="B41" s="22">
        <f>(B40/B12)-1</f>
        <v>0.62952917000492836</v>
      </c>
      <c r="C41" t="s">
        <v>47</v>
      </c>
      <c r="F41" t="s">
        <v>46</v>
      </c>
      <c r="G41" s="21">
        <f>(G40/B12)-1</f>
        <v>2.2290237528582764</v>
      </c>
      <c r="H41" t="s">
        <v>50</v>
      </c>
      <c r="L41" s="49" t="s">
        <v>41</v>
      </c>
      <c r="M41" s="50">
        <f>B40</f>
        <v>14.665762530044356</v>
      </c>
      <c r="P41" s="57">
        <v>45170</v>
      </c>
      <c r="Q41" s="6">
        <v>20.41</v>
      </c>
      <c r="R41" s="6">
        <v>4320.0600000000004</v>
      </c>
      <c r="S41" s="6">
        <v>13211.81</v>
      </c>
      <c r="T41" s="6">
        <v>33507.5</v>
      </c>
      <c r="U41" s="57">
        <v>45170</v>
      </c>
      <c r="V41" s="60">
        <f t="shared" si="0"/>
        <v>87.936234381732021</v>
      </c>
      <c r="W41" s="60">
        <f t="shared" si="1"/>
        <v>98.289065948317059</v>
      </c>
      <c r="X41" s="60">
        <f t="shared" si="2"/>
        <v>90.04360484928452</v>
      </c>
      <c r="Y41" s="60">
        <f t="shared" si="3"/>
        <v>95.567651743861859</v>
      </c>
    </row>
    <row r="42" spans="1:25" x14ac:dyDescent="0.25">
      <c r="L42" s="49" t="s">
        <v>8</v>
      </c>
      <c r="M42" s="50">
        <f>B12</f>
        <v>9</v>
      </c>
      <c r="P42" s="57">
        <v>45200</v>
      </c>
      <c r="Q42" s="6">
        <v>19.03</v>
      </c>
      <c r="R42" s="6">
        <v>4117.37</v>
      </c>
      <c r="S42" s="6">
        <v>12643.01</v>
      </c>
      <c r="T42" s="6">
        <v>34061.32</v>
      </c>
      <c r="U42" s="57">
        <v>45200</v>
      </c>
      <c r="V42" s="60">
        <f t="shared" si="0"/>
        <v>81.990521327014221</v>
      </c>
      <c r="W42" s="60">
        <f t="shared" si="1"/>
        <v>93.677507132683829</v>
      </c>
      <c r="X42" s="60">
        <f t="shared" si="2"/>
        <v>86.16701243399298</v>
      </c>
      <c r="Y42" s="60">
        <f t="shared" si="3"/>
        <v>97.147216822986991</v>
      </c>
    </row>
    <row r="43" spans="1:25" x14ac:dyDescent="0.25">
      <c r="L43" s="49" t="s">
        <v>93</v>
      </c>
      <c r="M43" s="54">
        <f>(B40-B12)</f>
        <v>5.6657625300443559</v>
      </c>
      <c r="P43" s="57">
        <v>45231</v>
      </c>
      <c r="Q43" s="6">
        <v>19.54</v>
      </c>
      <c r="R43" s="6">
        <v>4559.34</v>
      </c>
      <c r="S43" s="6">
        <v>14250.85</v>
      </c>
      <c r="T43" s="6">
        <v>36245.5</v>
      </c>
      <c r="U43" s="57">
        <v>45231</v>
      </c>
      <c r="V43" s="60">
        <f t="shared" si="0"/>
        <v>84.187850064627312</v>
      </c>
      <c r="W43" s="60">
        <f t="shared" si="1"/>
        <v>103.73311248936355</v>
      </c>
      <c r="X43" s="60">
        <f t="shared" si="2"/>
        <v>97.125065086950713</v>
      </c>
      <c r="Y43" s="60">
        <f t="shared" si="3"/>
        <v>103.37677598394821</v>
      </c>
    </row>
    <row r="44" spans="1:25" x14ac:dyDescent="0.25">
      <c r="L44" s="49" t="s">
        <v>94</v>
      </c>
      <c r="M44" s="55">
        <f>((B40-B12)/(B12))</f>
        <v>0.62952917000492847</v>
      </c>
      <c r="P44" s="57">
        <v>45261</v>
      </c>
      <c r="Q44" s="6">
        <v>19.79</v>
      </c>
      <c r="R44" s="6">
        <v>4769.83</v>
      </c>
      <c r="S44" s="6">
        <v>14992.97</v>
      </c>
      <c r="T44" s="6">
        <v>37689.54</v>
      </c>
      <c r="U44" s="57">
        <v>45261</v>
      </c>
      <c r="V44" s="60">
        <f t="shared" si="0"/>
        <v>85.264971994829807</v>
      </c>
      <c r="W44" s="60">
        <f t="shared" si="1"/>
        <v>108.52213520929364</v>
      </c>
      <c r="X44" s="60">
        <f t="shared" si="2"/>
        <v>102.18290046535465</v>
      </c>
      <c r="Y44" s="60">
        <f t="shared" si="3"/>
        <v>107.4953617281609</v>
      </c>
    </row>
    <row r="45" spans="1:25" x14ac:dyDescent="0.25">
      <c r="L45" s="52"/>
      <c r="M45" s="51"/>
      <c r="P45" s="57">
        <v>45292</v>
      </c>
      <c r="Q45" s="6">
        <v>19.07</v>
      </c>
      <c r="R45" s="6">
        <v>4958.6099999999997</v>
      </c>
      <c r="S45" s="6">
        <v>15628.95</v>
      </c>
      <c r="T45" s="6">
        <v>38109.43</v>
      </c>
      <c r="U45" s="57">
        <v>45292</v>
      </c>
      <c r="V45" s="60">
        <f t="shared" si="0"/>
        <v>82.162860835846615</v>
      </c>
      <c r="W45" s="60">
        <f t="shared" si="1"/>
        <v>112.8172167289307</v>
      </c>
      <c r="X45" s="60">
        <f t="shared" si="2"/>
        <v>106.51735061352119</v>
      </c>
      <c r="Y45" s="60">
        <f t="shared" si="3"/>
        <v>108.69294141302936</v>
      </c>
    </row>
    <row r="46" spans="1:25" x14ac:dyDescent="0.25">
      <c r="L46" s="52" t="s">
        <v>54</v>
      </c>
      <c r="M46" s="50"/>
      <c r="P46" s="57">
        <v>45323</v>
      </c>
      <c r="Q46" s="6">
        <v>18.43</v>
      </c>
      <c r="R46" s="6">
        <v>5137.08</v>
      </c>
      <c r="S46" s="6">
        <v>16274.94</v>
      </c>
      <c r="T46" s="6">
        <v>39087.379999999997</v>
      </c>
      <c r="U46" s="57">
        <v>45323</v>
      </c>
      <c r="V46" s="60">
        <f t="shared" si="0"/>
        <v>79.405428694528212</v>
      </c>
      <c r="W46" s="60">
        <f t="shared" si="1"/>
        <v>116.87772736993942</v>
      </c>
      <c r="X46" s="60">
        <f t="shared" si="2"/>
        <v>110.92002279065582</v>
      </c>
      <c r="Y46" s="60">
        <f t="shared" si="3"/>
        <v>111.48217919629906</v>
      </c>
    </row>
    <row r="47" spans="1:25" x14ac:dyDescent="0.25">
      <c r="L47" s="49" t="s">
        <v>41</v>
      </c>
      <c r="M47" s="50">
        <f>B40</f>
        <v>14.665762530044356</v>
      </c>
      <c r="P47" s="57">
        <v>45352</v>
      </c>
      <c r="Q47" s="6">
        <v>18.57</v>
      </c>
      <c r="R47" s="6">
        <v>5234.18</v>
      </c>
      <c r="S47" s="6">
        <v>16428.82</v>
      </c>
      <c r="T47" s="6">
        <v>39807.370000000003</v>
      </c>
      <c r="U47" s="57">
        <v>45352</v>
      </c>
      <c r="V47" s="60">
        <f t="shared" ref="V47:V75" si="14">(Q47/$Q$15)*100</f>
        <v>80.008616975441612</v>
      </c>
      <c r="W47" s="60">
        <f t="shared" si="1"/>
        <v>119.08692546060983</v>
      </c>
      <c r="X47" s="60">
        <f t="shared" si="2"/>
        <v>111.96877462058737</v>
      </c>
      <c r="Y47" s="60">
        <f t="shared" si="3"/>
        <v>113.53568225021426</v>
      </c>
    </row>
    <row r="48" spans="1:25" x14ac:dyDescent="0.25">
      <c r="L48" s="49" t="s">
        <v>31</v>
      </c>
      <c r="M48" s="50">
        <f>G40</f>
        <v>29.061213775724486</v>
      </c>
      <c r="P48" s="57">
        <v>45383</v>
      </c>
      <c r="Q48" s="6">
        <v>20.14</v>
      </c>
      <c r="R48" s="6">
        <v>4967.2299999999996</v>
      </c>
      <c r="S48" s="6">
        <v>15282.01</v>
      </c>
      <c r="T48" s="6">
        <v>37986.400000000001</v>
      </c>
      <c r="U48" s="57">
        <v>45383</v>
      </c>
      <c r="V48" s="60">
        <f t="shared" si="14"/>
        <v>86.772942697113308</v>
      </c>
      <c r="W48" s="60">
        <f t="shared" si="1"/>
        <v>113.01333709496137</v>
      </c>
      <c r="X48" s="60">
        <f t="shared" si="2"/>
        <v>104.15282007104361</v>
      </c>
      <c r="Y48" s="60">
        <f t="shared" si="3"/>
        <v>108.34204420511928</v>
      </c>
    </row>
    <row r="49" spans="12:25" x14ac:dyDescent="0.25">
      <c r="L49" s="49" t="s">
        <v>93</v>
      </c>
      <c r="M49" s="50">
        <f>-(G40-B40)</f>
        <v>-14.39545124568013</v>
      </c>
      <c r="P49" s="57">
        <v>45413</v>
      </c>
      <c r="Q49" s="6">
        <v>18.39</v>
      </c>
      <c r="R49" s="6">
        <v>5277.51</v>
      </c>
      <c r="S49" s="6">
        <v>16735.02</v>
      </c>
      <c r="T49" s="6">
        <v>38686.32</v>
      </c>
      <c r="U49" s="57">
        <v>45413</v>
      </c>
      <c r="V49" s="60">
        <f t="shared" si="14"/>
        <v>79.233089185695817</v>
      </c>
      <c r="W49" s="60">
        <f t="shared" si="1"/>
        <v>120.07276020076172</v>
      </c>
      <c r="X49" s="60">
        <f t="shared" si="2"/>
        <v>114.05564627593596</v>
      </c>
      <c r="Y49" s="60">
        <f t="shared" si="3"/>
        <v>110.33830506637612</v>
      </c>
    </row>
    <row r="50" spans="12:25" x14ac:dyDescent="0.25">
      <c r="L50" s="53" t="s">
        <v>94</v>
      </c>
      <c r="M50" s="56">
        <f>((B40-G40)/(G40))</f>
        <v>-0.49534927745189322</v>
      </c>
      <c r="P50" s="57">
        <v>45444</v>
      </c>
      <c r="Q50" s="6">
        <v>16.670000000000002</v>
      </c>
      <c r="R50" s="6">
        <v>5464.62</v>
      </c>
      <c r="S50" s="6">
        <v>17689.36</v>
      </c>
      <c r="T50" s="6">
        <v>39150.33</v>
      </c>
      <c r="U50" s="57">
        <v>45444</v>
      </c>
      <c r="V50" s="60">
        <f t="shared" si="14"/>
        <v>71.822490305902633</v>
      </c>
      <c r="W50" s="60">
        <f t="shared" si="1"/>
        <v>124.32984624345316</v>
      </c>
      <c r="X50" s="60">
        <f t="shared" si="2"/>
        <v>120.55984319156418</v>
      </c>
      <c r="Y50" s="60">
        <f t="shared" si="3"/>
        <v>111.66172060276855</v>
      </c>
    </row>
    <row r="51" spans="12:25" x14ac:dyDescent="0.25">
      <c r="P51" s="57">
        <v>45474</v>
      </c>
      <c r="Q51" s="6">
        <v>16.88</v>
      </c>
      <c r="R51" s="6">
        <v>5459.1</v>
      </c>
      <c r="S51" s="6">
        <v>17357.88</v>
      </c>
      <c r="T51" s="6">
        <v>40287.53</v>
      </c>
      <c r="U51" s="57">
        <v>45474</v>
      </c>
      <c r="V51" s="60">
        <f t="shared" si="14"/>
        <v>72.72727272727272</v>
      </c>
      <c r="W51" s="60">
        <f t="shared" si="1"/>
        <v>124.20425640348923</v>
      </c>
      <c r="X51" s="60">
        <f t="shared" si="2"/>
        <v>118.30067853998042</v>
      </c>
      <c r="Y51" s="60">
        <f t="shared" si="3"/>
        <v>114.90515964068902</v>
      </c>
    </row>
    <row r="52" spans="12:25" x14ac:dyDescent="0.25">
      <c r="P52" s="57">
        <v>45505</v>
      </c>
      <c r="Q52" s="6">
        <v>16.920000000000002</v>
      </c>
      <c r="R52" s="6">
        <v>5648.4</v>
      </c>
      <c r="S52" s="6">
        <v>17877.79</v>
      </c>
      <c r="T52" s="6">
        <v>41175.08</v>
      </c>
      <c r="U52" s="57">
        <v>45505</v>
      </c>
      <c r="V52" s="60">
        <f t="shared" si="14"/>
        <v>72.899612236105128</v>
      </c>
      <c r="W52" s="60">
        <f t="shared" si="1"/>
        <v>128.51116885007937</v>
      </c>
      <c r="X52" s="60">
        <f t="shared" si="2"/>
        <v>121.84406665994216</v>
      </c>
      <c r="Y52" s="60">
        <f t="shared" si="3"/>
        <v>117.43656512618523</v>
      </c>
    </row>
    <row r="53" spans="12:25" x14ac:dyDescent="0.25">
      <c r="P53" s="57">
        <v>45536</v>
      </c>
      <c r="Q53" s="6">
        <v>17.440000000000001</v>
      </c>
      <c r="R53" s="6">
        <v>5751.07</v>
      </c>
      <c r="S53" s="6">
        <v>18137.849999999999</v>
      </c>
      <c r="T53" s="6">
        <v>42313</v>
      </c>
      <c r="U53" s="57">
        <v>45536</v>
      </c>
      <c r="V53" s="60">
        <f t="shared" si="14"/>
        <v>75.140025850926335</v>
      </c>
      <c r="W53" s="60">
        <f t="shared" si="1"/>
        <v>130.84709436984389</v>
      </c>
      <c r="X53" s="60">
        <f t="shared" si="2"/>
        <v>123.61647633561148</v>
      </c>
      <c r="Y53" s="60">
        <f t="shared" si="3"/>
        <v>120.68205769568088</v>
      </c>
    </row>
    <row r="54" spans="12:25" x14ac:dyDescent="0.25">
      <c r="P54" s="57">
        <v>45566</v>
      </c>
      <c r="Q54" s="6">
        <v>19.54</v>
      </c>
      <c r="R54" s="6">
        <v>5728.8</v>
      </c>
      <c r="S54" s="6">
        <v>18518.61</v>
      </c>
      <c r="T54" s="6">
        <v>42052.19</v>
      </c>
      <c r="U54" s="57">
        <v>45566</v>
      </c>
      <c r="V54" s="60">
        <f t="shared" si="14"/>
        <v>84.187850064627312</v>
      </c>
      <c r="W54" s="60">
        <f t="shared" si="1"/>
        <v>130.34041217129362</v>
      </c>
      <c r="X54" s="60">
        <f t="shared" si="2"/>
        <v>126.21150328365371</v>
      </c>
      <c r="Y54" s="60">
        <f t="shared" si="3"/>
        <v>119.93819440384124</v>
      </c>
    </row>
    <row r="55" spans="12:25" x14ac:dyDescent="0.25">
      <c r="P55" s="57">
        <v>45597</v>
      </c>
      <c r="Q55" s="6">
        <v>18.36</v>
      </c>
      <c r="R55" s="6">
        <v>5969.34</v>
      </c>
      <c r="S55" s="6">
        <v>19003.650000000001</v>
      </c>
      <c r="T55" s="6">
        <v>44296.51</v>
      </c>
      <c r="U55" s="57">
        <v>45597</v>
      </c>
      <c r="V55" s="60">
        <f t="shared" si="14"/>
        <v>79.103834554071511</v>
      </c>
      <c r="W55" s="60">
        <f t="shared" si="1"/>
        <v>135.81312595841882</v>
      </c>
      <c r="X55" s="60">
        <f t="shared" si="2"/>
        <v>129.51723884116603</v>
      </c>
      <c r="Y55" s="60">
        <f t="shared" si="3"/>
        <v>126.33928049387433</v>
      </c>
    </row>
    <row r="56" spans="12:25" x14ac:dyDescent="0.25">
      <c r="P56" s="57">
        <v>45627</v>
      </c>
      <c r="Q56" s="6">
        <v>16.5</v>
      </c>
      <c r="R56" s="6">
        <v>5942.47</v>
      </c>
      <c r="S56" s="6">
        <v>19722.03</v>
      </c>
      <c r="T56" s="6">
        <v>42840.26</v>
      </c>
      <c r="U56" s="57">
        <v>45627</v>
      </c>
      <c r="V56" s="60">
        <f t="shared" si="14"/>
        <v>71.090047393364927</v>
      </c>
      <c r="W56" s="60">
        <f t="shared" si="1"/>
        <v>135.20178555989861</v>
      </c>
      <c r="X56" s="60">
        <f t="shared" si="2"/>
        <v>134.41327692009912</v>
      </c>
      <c r="Y56" s="60">
        <f t="shared" si="3"/>
        <v>122.18587027669912</v>
      </c>
    </row>
    <row r="57" spans="12:25" x14ac:dyDescent="0.25">
      <c r="P57" s="57">
        <v>45658</v>
      </c>
      <c r="Q57" s="6">
        <v>14.6</v>
      </c>
      <c r="R57" s="6">
        <v>6040.53</v>
      </c>
      <c r="S57" s="6">
        <v>19627.439999999999</v>
      </c>
      <c r="T57" s="6">
        <v>44424.25</v>
      </c>
      <c r="U57" s="57">
        <v>45658</v>
      </c>
      <c r="V57" s="60">
        <f t="shared" si="14"/>
        <v>62.903920723825934</v>
      </c>
      <c r="W57" s="60">
        <f t="shared" si="1"/>
        <v>137.43282536186709</v>
      </c>
      <c r="X57" s="60">
        <f t="shared" si="2"/>
        <v>133.76860941559414</v>
      </c>
      <c r="Y57" s="60">
        <f t="shared" si="3"/>
        <v>126.70361122083878</v>
      </c>
    </row>
    <row r="58" spans="12:25" x14ac:dyDescent="0.25">
      <c r="P58" s="57">
        <v>45689</v>
      </c>
      <c r="Q58" s="6">
        <v>15.5</v>
      </c>
      <c r="R58" s="6">
        <v>5954.5</v>
      </c>
      <c r="S58" s="6">
        <v>19524.009999999998</v>
      </c>
      <c r="T58" s="6">
        <v>43840.91</v>
      </c>
      <c r="U58" s="57">
        <v>45689</v>
      </c>
      <c r="V58" s="60">
        <f t="shared" si="14"/>
        <v>66.781559672554934</v>
      </c>
      <c r="W58" s="60">
        <f t="shared" si="1"/>
        <v>135.47548950460268</v>
      </c>
      <c r="X58" s="60">
        <f t="shared" si="2"/>
        <v>133.06369388550695</v>
      </c>
      <c r="Y58" s="60">
        <f t="shared" si="3"/>
        <v>125.03985134713098</v>
      </c>
    </row>
    <row r="59" spans="12:25" x14ac:dyDescent="0.25">
      <c r="P59" s="57">
        <v>45717</v>
      </c>
      <c r="Q59" s="6">
        <v>13.3</v>
      </c>
      <c r="R59" s="6">
        <v>5074.08</v>
      </c>
      <c r="S59" s="6">
        <v>15587.79</v>
      </c>
      <c r="T59" s="6">
        <v>38314.86</v>
      </c>
      <c r="U59" s="57">
        <v>45717</v>
      </c>
      <c r="V59" s="60">
        <f t="shared" si="14"/>
        <v>57.30288668677295</v>
      </c>
      <c r="W59" s="60">
        <f t="shared" si="1"/>
        <v>115.4443650660029</v>
      </c>
      <c r="X59" s="60">
        <f t="shared" si="2"/>
        <v>106.23682926363827</v>
      </c>
      <c r="Y59" s="60">
        <f t="shared" si="3"/>
        <v>109.27885390121087</v>
      </c>
    </row>
    <row r="60" spans="12:25" x14ac:dyDescent="0.25">
      <c r="P60" s="57">
        <v>45748</v>
      </c>
      <c r="Q60" s="6">
        <v>12.78</v>
      </c>
      <c r="R60" s="6">
        <v>5282.7</v>
      </c>
      <c r="S60" s="6">
        <v>16286.45</v>
      </c>
      <c r="T60" s="6">
        <v>39142.230000000003</v>
      </c>
      <c r="U60" s="57">
        <v>45748</v>
      </c>
      <c r="V60" s="60">
        <f t="shared" si="14"/>
        <v>55.062473071951743</v>
      </c>
      <c r="W60" s="60">
        <f t="shared" si="1"/>
        <v>120.19084195246697</v>
      </c>
      <c r="X60" s="60">
        <f t="shared" si="2"/>
        <v>110.99846790088792</v>
      </c>
      <c r="Y60" s="60">
        <f t="shared" si="3"/>
        <v>111.63861837254771</v>
      </c>
    </row>
    <row r="61" spans="12:25" x14ac:dyDescent="0.25">
      <c r="P61" s="57">
        <v>45778</v>
      </c>
      <c r="Q61" s="6">
        <v>12.26</v>
      </c>
      <c r="R61" s="6">
        <v>5802.82</v>
      </c>
      <c r="S61" s="6">
        <v>19113.77</v>
      </c>
      <c r="T61" s="6">
        <v>41603.07</v>
      </c>
      <c r="U61" s="57">
        <v>45778</v>
      </c>
      <c r="V61" s="60">
        <f t="shared" si="14"/>
        <v>52.822059457130543</v>
      </c>
      <c r="W61" s="60">
        <f t="shared" si="1"/>
        <v>132.024499119506</v>
      </c>
      <c r="X61" s="60">
        <f t="shared" si="2"/>
        <v>130.26774931369047</v>
      </c>
      <c r="Y61" s="60">
        <f t="shared" si="3"/>
        <v>118.65724704127454</v>
      </c>
    </row>
    <row r="62" spans="12:25" x14ac:dyDescent="0.25">
      <c r="P62" s="57">
        <v>45809</v>
      </c>
      <c r="Q62" s="6">
        <v>11.56</v>
      </c>
      <c r="R62" s="6">
        <v>6279.35</v>
      </c>
      <c r="S62" s="6">
        <v>19447.41</v>
      </c>
      <c r="T62" s="6">
        <v>42206.82</v>
      </c>
      <c r="U62" s="57">
        <v>45809</v>
      </c>
      <c r="V62" s="60">
        <f t="shared" si="14"/>
        <v>49.806118052563555</v>
      </c>
      <c r="W62" s="60">
        <f t="shared" si="1"/>
        <v>142.8664060829166</v>
      </c>
      <c r="X62" s="60">
        <f t="shared" si="2"/>
        <v>132.54163520229434</v>
      </c>
      <c r="Y62" s="60">
        <f t="shared" si="3"/>
        <v>120.37921883088454</v>
      </c>
    </row>
    <row r="63" spans="12:25" x14ac:dyDescent="0.25">
      <c r="P63" s="57">
        <v>45839</v>
      </c>
      <c r="Q63" s="6">
        <v>10.47</v>
      </c>
      <c r="R63" s="6">
        <v>6238.01</v>
      </c>
      <c r="S63" s="6">
        <v>20650.13</v>
      </c>
      <c r="T63" s="6">
        <v>44901.919999999998</v>
      </c>
      <c r="U63" s="57">
        <v>45839</v>
      </c>
      <c r="V63" s="60">
        <f t="shared" si="14"/>
        <v>45.109866436880658</v>
      </c>
      <c r="W63" s="60">
        <f t="shared" si="1"/>
        <v>141.92584739014302</v>
      </c>
      <c r="X63" s="60">
        <f t="shared" si="2"/>
        <v>140.73863806748324</v>
      </c>
      <c r="Y63" s="60">
        <f t="shared" si="3"/>
        <v>128.065986814616</v>
      </c>
    </row>
    <row r="64" spans="12:25" x14ac:dyDescent="0.25">
      <c r="P64" s="57">
        <v>45870</v>
      </c>
      <c r="Q64" s="6">
        <v>10.61</v>
      </c>
      <c r="R64" s="6">
        <v>6460.26</v>
      </c>
      <c r="S64" s="6">
        <v>21496.54</v>
      </c>
      <c r="T64" s="6">
        <v>45544.88</v>
      </c>
      <c r="U64" s="57">
        <v>45870</v>
      </c>
      <c r="V64" s="60">
        <f t="shared" si="14"/>
        <v>45.713054717794051</v>
      </c>
      <c r="W64" s="60">
        <f t="shared" si="1"/>
        <v>146.9824310734746</v>
      </c>
      <c r="X64" s="60">
        <f t="shared" si="2"/>
        <v>146.50725020923241</v>
      </c>
      <c r="Y64" s="60">
        <f t="shared" si="3"/>
        <v>129.89979051125803</v>
      </c>
    </row>
    <row r="65" spans="16:25" x14ac:dyDescent="0.25">
      <c r="P65" s="57">
        <v>45901</v>
      </c>
      <c r="Q65" s="6">
        <v>9.5500000000000007</v>
      </c>
      <c r="R65" s="6">
        <v>6715.79</v>
      </c>
      <c r="S65" s="6">
        <v>22780.51</v>
      </c>
      <c r="T65" s="6">
        <v>46758.28</v>
      </c>
      <c r="U65" s="57">
        <v>45901</v>
      </c>
      <c r="V65" s="60">
        <f t="shared" si="14"/>
        <v>41.146057733735461</v>
      </c>
      <c r="W65" s="60">
        <f t="shared" si="1"/>
        <v>152.79619408180628</v>
      </c>
      <c r="X65" s="60">
        <f t="shared" si="2"/>
        <v>155.25800330955215</v>
      </c>
      <c r="Y65" s="60">
        <f t="shared" si="3"/>
        <v>133.36056164088578</v>
      </c>
    </row>
    <row r="66" spans="16:25" x14ac:dyDescent="0.25">
      <c r="P66" s="57">
        <v>45931</v>
      </c>
      <c r="Q66" s="6">
        <v>8.98</v>
      </c>
      <c r="R66" s="6">
        <v>6840.2</v>
      </c>
      <c r="S66" s="6">
        <v>23204.87</v>
      </c>
      <c r="T66" s="6">
        <v>47207.12</v>
      </c>
      <c r="U66" s="57">
        <v>45931</v>
      </c>
      <c r="V66" s="60">
        <f t="shared" si="14"/>
        <v>38.690219732873757</v>
      </c>
      <c r="W66" s="60">
        <f t="shared" si="1"/>
        <v>155.62674335534189</v>
      </c>
      <c r="X66" s="60">
        <f t="shared" si="2"/>
        <v>158.15018115300001</v>
      </c>
      <c r="Y66" s="60">
        <f t="shared" si="3"/>
        <v>134.64071040783992</v>
      </c>
    </row>
    <row r="67" spans="16:25" x14ac:dyDescent="0.25">
      <c r="P67" s="57">
        <v>45962</v>
      </c>
      <c r="Q67" s="6">
        <v>8.4499999999999993</v>
      </c>
      <c r="R67" s="6">
        <v>6849.09</v>
      </c>
      <c r="S67" s="6">
        <v>23365.69</v>
      </c>
      <c r="T67" s="6">
        <v>46245.41</v>
      </c>
      <c r="U67" s="57">
        <v>45962</v>
      </c>
      <c r="V67" s="60">
        <f t="shared" si="14"/>
        <v>36.406721240844462</v>
      </c>
      <c r="W67" s="60">
        <f t="shared" si="1"/>
        <v>155.82900670267514</v>
      </c>
      <c r="X67" s="60">
        <f t="shared" si="2"/>
        <v>159.24623177224612</v>
      </c>
      <c r="Y67" s="60">
        <f t="shared" si="3"/>
        <v>131.89779117009942</v>
      </c>
    </row>
    <row r="68" spans="16:25" x14ac:dyDescent="0.25">
      <c r="P68" s="57">
        <v>45992</v>
      </c>
      <c r="Q68" s="6">
        <v>8.17</v>
      </c>
      <c r="R68" s="6">
        <v>6929.94</v>
      </c>
      <c r="S68" s="6">
        <v>23593.1</v>
      </c>
      <c r="T68" s="6">
        <v>48134.89</v>
      </c>
      <c r="U68" s="57">
        <v>45992</v>
      </c>
      <c r="V68" s="60">
        <f t="shared" si="14"/>
        <v>35.200344679017661</v>
      </c>
      <c r="W68" s="60">
        <f t="shared" si="1"/>
        <v>157.66848832606033</v>
      </c>
      <c r="X68" s="60">
        <f t="shared" si="2"/>
        <v>160.7961190457367</v>
      </c>
      <c r="Y68" s="60">
        <f t="shared" si="3"/>
        <v>137.28682844882783</v>
      </c>
    </row>
    <row r="69" spans="16:25" x14ac:dyDescent="0.25">
      <c r="P69" s="57">
        <v>46023</v>
      </c>
      <c r="Q69" s="6">
        <v>8.42</v>
      </c>
      <c r="R69" s="6">
        <v>6939.03</v>
      </c>
      <c r="S69" s="6">
        <v>23461.82</v>
      </c>
      <c r="T69" s="6">
        <v>49098.71</v>
      </c>
      <c r="U69" s="57">
        <v>46023</v>
      </c>
      <c r="V69" s="60">
        <f t="shared" si="14"/>
        <v>36.277466609220163</v>
      </c>
      <c r="W69" s="60">
        <f t="shared" si="1"/>
        <v>157.87530202991402</v>
      </c>
      <c r="X69" s="60">
        <f t="shared" si="2"/>
        <v>159.90139497351541</v>
      </c>
      <c r="Y69" s="60">
        <f t="shared" si="3"/>
        <v>140.03576567493451</v>
      </c>
    </row>
    <row r="70" spans="16:25" x14ac:dyDescent="0.25">
      <c r="P70" s="57">
        <v>46054</v>
      </c>
      <c r="Q70" s="6">
        <v>7.66</v>
      </c>
      <c r="R70" s="6">
        <v>6909.51</v>
      </c>
      <c r="S70" s="6">
        <v>22668.21</v>
      </c>
      <c r="T70" s="6">
        <v>48977.919999999998</v>
      </c>
      <c r="U70" s="57">
        <v>46054</v>
      </c>
      <c r="V70" s="60">
        <f t="shared" si="14"/>
        <v>33.00301594140457</v>
      </c>
      <c r="W70" s="60">
        <f t="shared" si="1"/>
        <v>157.20366940749807</v>
      </c>
      <c r="X70" s="60">
        <f t="shared" si="2"/>
        <v>154.49263529225743</v>
      </c>
      <c r="Y70" s="60">
        <f t="shared" si="3"/>
        <v>139.69125723192499</v>
      </c>
    </row>
    <row r="71" spans="16:25" x14ac:dyDescent="0.25">
      <c r="P71" s="57">
        <v>46082</v>
      </c>
      <c r="Q71" s="6">
        <v>6.8</v>
      </c>
      <c r="R71" s="6">
        <v>6368.85</v>
      </c>
      <c r="S71" s="6">
        <v>20948.36</v>
      </c>
      <c r="T71" s="6">
        <v>45577.47</v>
      </c>
      <c r="U71" s="57">
        <v>46082</v>
      </c>
      <c r="V71" s="60">
        <f t="shared" si="14"/>
        <v>29.297716501507971</v>
      </c>
      <c r="W71" s="60">
        <f t="shared" si="1"/>
        <v>144.90269062581055</v>
      </c>
      <c r="X71" s="60">
        <f t="shared" si="2"/>
        <v>142.77119108438268</v>
      </c>
      <c r="Y71" s="60">
        <f t="shared" si="3"/>
        <v>129.99274133630715</v>
      </c>
    </row>
    <row r="72" spans="16:25" x14ac:dyDescent="0.25">
      <c r="P72" s="57">
        <v>46113</v>
      </c>
      <c r="Q72" s="6">
        <v>6.95</v>
      </c>
      <c r="R72" s="6">
        <v>7123.06</v>
      </c>
      <c r="S72" s="6">
        <v>24468.48</v>
      </c>
      <c r="T72" s="6">
        <v>49447.43</v>
      </c>
      <c r="U72" s="57">
        <v>46113</v>
      </c>
      <c r="V72" s="60">
        <f t="shared" si="14"/>
        <v>29.943989659629473</v>
      </c>
      <c r="W72" s="60">
        <f t="shared" si="1"/>
        <v>162.06231258219083</v>
      </c>
      <c r="X72" s="60">
        <f t="shared" si="2"/>
        <v>166.76217296363035</v>
      </c>
      <c r="Y72" s="60">
        <f t="shared" si="3"/>
        <v>141.0303594678501</v>
      </c>
    </row>
    <row r="73" spans="16:25" x14ac:dyDescent="0.25">
      <c r="P73" s="57">
        <v>46143</v>
      </c>
      <c r="Q73" s="6">
        <v>7.81</v>
      </c>
      <c r="R73" s="6">
        <v>7473.47</v>
      </c>
      <c r="S73" s="6">
        <v>26343.97</v>
      </c>
      <c r="T73" s="6">
        <v>50579.7</v>
      </c>
      <c r="U73" s="57">
        <v>46143</v>
      </c>
      <c r="V73" s="60">
        <f t="shared" si="14"/>
        <v>33.649289099526065</v>
      </c>
      <c r="W73" s="60">
        <f t="shared" si="1"/>
        <v>170.03476472381612</v>
      </c>
      <c r="X73" s="60">
        <f t="shared" si="2"/>
        <v>179.54436408345308</v>
      </c>
      <c r="Y73" s="60">
        <f t="shared" si="3"/>
        <v>144.25973751873488</v>
      </c>
    </row>
    <row r="74" spans="16:25" x14ac:dyDescent="0.25">
      <c r="P74" s="57">
        <v>46174</v>
      </c>
      <c r="Q74" s="6">
        <v>6.8</v>
      </c>
      <c r="R74" s="6">
        <v>7425.29</v>
      </c>
      <c r="S74" s="6">
        <v>25883.49</v>
      </c>
      <c r="T74" s="6">
        <v>51200.15</v>
      </c>
      <c r="U74" s="57">
        <v>46174</v>
      </c>
      <c r="V74" s="60">
        <f t="shared" si="14"/>
        <v>29.297716501507971</v>
      </c>
      <c r="W74" s="60">
        <f t="shared" si="1"/>
        <v>168.93858383804371</v>
      </c>
      <c r="X74" s="60">
        <f t="shared" si="2"/>
        <v>176.40601444316923</v>
      </c>
      <c r="Y74" s="60">
        <f t="shared" si="3"/>
        <v>146.02933983238046</v>
      </c>
    </row>
    <row r="75" spans="16:25" x14ac:dyDescent="0.25">
      <c r="P75" s="57">
        <v>46204</v>
      </c>
      <c r="Q75" s="61">
        <v>8.6</v>
      </c>
      <c r="R75" s="6">
        <v>7483.24</v>
      </c>
      <c r="S75" s="6">
        <v>25832.67</v>
      </c>
      <c r="T75" s="6">
        <v>52900.07</v>
      </c>
      <c r="U75" s="57">
        <v>46204</v>
      </c>
      <c r="V75" s="60">
        <f t="shared" si="14"/>
        <v>37.052994398965957</v>
      </c>
      <c r="W75" s="60">
        <f t="shared" si="1"/>
        <v>170.25704963983927</v>
      </c>
      <c r="X75" s="60">
        <f t="shared" si="2"/>
        <v>176.0596564499464</v>
      </c>
      <c r="Y75" s="60">
        <f t="shared" si="3"/>
        <v>150.87772788139713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2BF1C-BE7D-481C-AC11-4A2F7795A306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63</v>
      </c>
    </row>
    <row r="5" spans="1:26" x14ac:dyDescent="0.25">
      <c r="A5" s="37" t="s">
        <v>1</v>
      </c>
      <c r="B5" s="38"/>
      <c r="C5" s="39"/>
      <c r="P5" t="s">
        <v>58</v>
      </c>
    </row>
    <row r="6" spans="1:26" x14ac:dyDescent="0.25">
      <c r="A6" s="40" t="s">
        <v>2</v>
      </c>
      <c r="B6" s="31">
        <v>0.31</v>
      </c>
      <c r="C6" s="41"/>
      <c r="P6" t="s">
        <v>59</v>
      </c>
      <c r="Q6" t="s">
        <v>60</v>
      </c>
      <c r="S6" t="s">
        <v>61</v>
      </c>
      <c r="T6" t="s">
        <v>62</v>
      </c>
    </row>
    <row r="7" spans="1:26" x14ac:dyDescent="0.25">
      <c r="A7" s="40" t="s">
        <v>3</v>
      </c>
      <c r="B7" s="32">
        <v>3.9600000000000003E-2</v>
      </c>
      <c r="C7" s="41"/>
      <c r="P7">
        <v>2026</v>
      </c>
      <c r="Q7" s="26">
        <f>D28</f>
        <v>106673000</v>
      </c>
      <c r="R7" s="26"/>
      <c r="S7" t="s">
        <v>41</v>
      </c>
      <c r="T7" s="16">
        <f>B40</f>
        <v>2.3850043384664765</v>
      </c>
    </row>
    <row r="8" spans="1:26" x14ac:dyDescent="0.25">
      <c r="A8" s="40" t="s">
        <v>4</v>
      </c>
      <c r="B8" s="32">
        <v>1.4999999999999999E-2</v>
      </c>
      <c r="C8" s="41"/>
      <c r="P8">
        <v>2027</v>
      </c>
      <c r="Q8" s="26">
        <f>E28</f>
        <v>107739730</v>
      </c>
      <c r="R8" s="26"/>
      <c r="S8" t="s">
        <v>73</v>
      </c>
      <c r="T8" s="16">
        <v>6.61</v>
      </c>
    </row>
    <row r="9" spans="1:26" x14ac:dyDescent="0.25">
      <c r="A9" s="40" t="s">
        <v>5</v>
      </c>
      <c r="B9" s="33" t="s">
        <v>87</v>
      </c>
      <c r="C9" s="41"/>
      <c r="P9">
        <v>2028</v>
      </c>
      <c r="Q9" s="26">
        <f>F28</f>
        <v>108817127.29999995</v>
      </c>
      <c r="R9" s="26"/>
      <c r="S9" t="s">
        <v>8</v>
      </c>
      <c r="T9" s="16">
        <f>B12</f>
        <v>9</v>
      </c>
    </row>
    <row r="10" spans="1:26" x14ac:dyDescent="0.25">
      <c r="A10" s="40" t="s">
        <v>6</v>
      </c>
      <c r="B10" s="34">
        <v>46205</v>
      </c>
      <c r="C10" s="41"/>
      <c r="P10">
        <v>2029</v>
      </c>
      <c r="Q10" s="26">
        <f>G28</f>
        <v>109905298.57300003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111004351.55872996</v>
      </c>
      <c r="R11" s="26"/>
    </row>
    <row r="12" spans="1:26" x14ac:dyDescent="0.25">
      <c r="A12" s="40" t="s">
        <v>8</v>
      </c>
      <c r="B12" s="35">
        <v>9</v>
      </c>
      <c r="C12" s="41" t="s">
        <v>82</v>
      </c>
      <c r="P12">
        <v>2031</v>
      </c>
      <c r="Q12" s="26">
        <f>I28</f>
        <v>112114395.07431723</v>
      </c>
      <c r="R12" s="26"/>
    </row>
    <row r="13" spans="1:26" x14ac:dyDescent="0.25">
      <c r="A13" s="40" t="s">
        <v>9</v>
      </c>
      <c r="B13" s="36">
        <v>190480000</v>
      </c>
      <c r="C13" s="41"/>
    </row>
    <row r="14" spans="1:26" x14ac:dyDescent="0.25">
      <c r="A14" s="40" t="s">
        <v>10</v>
      </c>
      <c r="B14" s="35">
        <v>4120000000</v>
      </c>
      <c r="C14" s="41"/>
      <c r="P14" s="6" t="s">
        <v>16</v>
      </c>
      <c r="Q14" s="6" t="s">
        <v>91</v>
      </c>
      <c r="R14" s="6" t="s">
        <v>64</v>
      </c>
      <c r="S14" s="6" t="s">
        <v>70</v>
      </c>
      <c r="T14" s="6" t="s">
        <v>65</v>
      </c>
      <c r="U14" s="6" t="s">
        <v>16</v>
      </c>
      <c r="V14" s="6" t="s">
        <v>92</v>
      </c>
      <c r="W14" s="6" t="s">
        <v>66</v>
      </c>
      <c r="X14" s="6" t="s">
        <v>71</v>
      </c>
      <c r="Y14" s="6" t="s">
        <v>67</v>
      </c>
      <c r="Z14" t="s">
        <v>68</v>
      </c>
    </row>
    <row r="15" spans="1:26" x14ac:dyDescent="0.25">
      <c r="A15" s="40" t="s">
        <v>11</v>
      </c>
      <c r="B15" s="35">
        <v>298740000</v>
      </c>
      <c r="C15" s="41"/>
      <c r="P15" s="57">
        <v>44378</v>
      </c>
      <c r="Q15" s="58">
        <v>23.21</v>
      </c>
      <c r="R15" s="6">
        <v>4395.26</v>
      </c>
      <c r="S15" s="6">
        <v>14672.68</v>
      </c>
      <c r="T15" s="6">
        <v>35061.550000000003</v>
      </c>
      <c r="U15" s="57">
        <v>44378</v>
      </c>
      <c r="V15" s="59">
        <f t="shared" ref="V15:V75" si="0">(Q15/$Q$15)*100</f>
        <v>100</v>
      </c>
      <c r="W15" s="59">
        <f>(R15/$R$15)*100</f>
        <v>100</v>
      </c>
      <c r="X15" s="59">
        <f>(S15/$S$15)*100</f>
        <v>100</v>
      </c>
      <c r="Y15" s="59">
        <f>(T15/$T$15)*100</f>
        <v>100</v>
      </c>
      <c r="Z15" t="s">
        <v>69</v>
      </c>
    </row>
    <row r="16" spans="1:26" x14ac:dyDescent="0.25">
      <c r="A16" s="40" t="s">
        <v>12</v>
      </c>
      <c r="B16" s="35" t="s">
        <v>124</v>
      </c>
      <c r="C16" s="41"/>
      <c r="P16" s="57">
        <v>44409</v>
      </c>
      <c r="Q16" s="6">
        <v>22.9</v>
      </c>
      <c r="R16" s="6">
        <v>4509.37</v>
      </c>
      <c r="S16" s="6">
        <v>14714.66</v>
      </c>
      <c r="T16" s="6">
        <v>35120.080000000002</v>
      </c>
      <c r="U16" s="57">
        <v>44409</v>
      </c>
      <c r="V16" s="60">
        <f t="shared" si="0"/>
        <v>98.664368806548893</v>
      </c>
      <c r="W16" s="60">
        <f>(R16/$R$15)*100</f>
        <v>102.59620591273327</v>
      </c>
      <c r="X16" s="60">
        <f>(S16/$S$15)*100</f>
        <v>100.28610996764054</v>
      </c>
      <c r="Y16" s="60">
        <f>(T16/$T$15)*100</f>
        <v>100.16693500429959</v>
      </c>
      <c r="Z16" t="s">
        <v>74</v>
      </c>
    </row>
    <row r="17" spans="1:25" x14ac:dyDescent="0.25">
      <c r="A17" s="42" t="s">
        <v>79</v>
      </c>
      <c r="B17" s="43"/>
      <c r="C17" s="44"/>
      <c r="P17" s="57">
        <v>44440</v>
      </c>
      <c r="Q17" s="6">
        <v>22.3</v>
      </c>
      <c r="R17" s="6">
        <v>4455.4799999999996</v>
      </c>
      <c r="S17" s="6">
        <v>15047.7</v>
      </c>
      <c r="T17" s="6">
        <v>34326.46</v>
      </c>
      <c r="U17" s="57">
        <v>44440</v>
      </c>
      <c r="V17" s="60">
        <f t="shared" si="0"/>
        <v>96.079276174062898</v>
      </c>
      <c r="W17" s="60">
        <f>(R17/$R$15)*100</f>
        <v>101.37011234830247</v>
      </c>
      <c r="X17" s="60">
        <f>(S17/$S$15)*100</f>
        <v>102.55590662373881</v>
      </c>
      <c r="Y17" s="60">
        <f>(T17/$T$15)*100</f>
        <v>97.903429825549622</v>
      </c>
    </row>
    <row r="18" spans="1:25" x14ac:dyDescent="0.25">
      <c r="P18" s="57">
        <v>44470</v>
      </c>
      <c r="Q18" s="6">
        <v>22.59</v>
      </c>
      <c r="R18" s="6">
        <v>4544.8999999999996</v>
      </c>
      <c r="S18" s="6">
        <v>15498.39</v>
      </c>
      <c r="T18" s="6">
        <v>35677.019999999997</v>
      </c>
      <c r="U18" s="57">
        <v>44470</v>
      </c>
      <c r="V18" s="60">
        <f t="shared" si="0"/>
        <v>97.328737613097786</v>
      </c>
      <c r="W18" s="60">
        <f t="shared" ref="W18:W75" si="1">(R18/$R$15)*100</f>
        <v>103.40457674858823</v>
      </c>
      <c r="X18" s="60">
        <f t="shared" ref="X18:X75" si="2">(S18/$S$15)*100</f>
        <v>105.62753362030656</v>
      </c>
      <c r="Y18" s="60">
        <f t="shared" ref="Y18:Y75" si="3">(T18/$T$15)*100</f>
        <v>101.75539872025053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7">
        <v>44501</v>
      </c>
      <c r="Q19" s="6">
        <v>21.32</v>
      </c>
      <c r="R19" s="6">
        <v>4594.62</v>
      </c>
      <c r="S19" s="6">
        <v>15085.47</v>
      </c>
      <c r="T19" s="6">
        <v>34889.339999999997</v>
      </c>
      <c r="U19" s="57">
        <v>44501</v>
      </c>
      <c r="V19" s="60">
        <f t="shared" si="0"/>
        <v>91.856958207669109</v>
      </c>
      <c r="W19" s="60">
        <f t="shared" si="1"/>
        <v>104.53579537956799</v>
      </c>
      <c r="X19" s="60">
        <f t="shared" si="2"/>
        <v>102.81332380996517</v>
      </c>
      <c r="Y19" s="60">
        <f t="shared" si="3"/>
        <v>99.508835176995873</v>
      </c>
    </row>
    <row r="20" spans="1:25" x14ac:dyDescent="0.25">
      <c r="A20" t="s">
        <v>16</v>
      </c>
      <c r="C20" s="7">
        <v>46205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4625858170.7492666</v>
      </c>
      <c r="P20" s="57">
        <v>44531</v>
      </c>
      <c r="Q20" s="6">
        <v>23.33</v>
      </c>
      <c r="R20" s="6">
        <v>4766.18</v>
      </c>
      <c r="S20" s="6">
        <v>15653.37</v>
      </c>
      <c r="T20" s="6">
        <v>35950.559999999998</v>
      </c>
      <c r="U20" s="57">
        <v>44531</v>
      </c>
      <c r="V20" s="60">
        <f t="shared" si="0"/>
        <v>100.5170185264972</v>
      </c>
      <c r="W20" s="60">
        <f t="shared" si="1"/>
        <v>108.43909120279574</v>
      </c>
      <c r="X20" s="60">
        <f t="shared" si="2"/>
        <v>106.68378237649836</v>
      </c>
      <c r="Y20" s="60">
        <f t="shared" si="3"/>
        <v>102.53556959119035</v>
      </c>
    </row>
    <row r="21" spans="1:25" x14ac:dyDescent="0.25">
      <c r="A21" t="s">
        <v>18</v>
      </c>
      <c r="D21" s="5">
        <v>2177000000</v>
      </c>
      <c r="E21" s="5">
        <f>D21*1.01</f>
        <v>2198770000</v>
      </c>
      <c r="F21" s="5">
        <f>E21*1.01</f>
        <v>2220757700</v>
      </c>
      <c r="G21" s="5">
        <f>F21*1.01</f>
        <v>2242965277</v>
      </c>
      <c r="H21" s="5">
        <f>G21*1.01</f>
        <v>2265394929.77</v>
      </c>
      <c r="I21" s="5">
        <f>H21*1.01</f>
        <v>2288048879.0676999</v>
      </c>
      <c r="L21" t="s">
        <v>19</v>
      </c>
      <c r="M21" s="13">
        <f>(I22+I25)*10</f>
        <v>3660878206.5083194</v>
      </c>
      <c r="P21" s="57">
        <v>44562</v>
      </c>
      <c r="Q21" s="6">
        <v>22.69</v>
      </c>
      <c r="R21" s="6">
        <v>4500.53</v>
      </c>
      <c r="S21" s="6">
        <v>13770.57</v>
      </c>
      <c r="T21" s="6">
        <v>34725.47</v>
      </c>
      <c r="U21" s="57">
        <v>44562</v>
      </c>
      <c r="V21" s="60">
        <f t="shared" si="0"/>
        <v>97.759586385178807</v>
      </c>
      <c r="W21" s="60">
        <f t="shared" si="1"/>
        <v>102.39508015453009</v>
      </c>
      <c r="X21" s="60">
        <f t="shared" si="2"/>
        <v>93.851770773982665</v>
      </c>
      <c r="Y21" s="60">
        <f t="shared" si="3"/>
        <v>99.041457094737666</v>
      </c>
    </row>
    <row r="22" spans="1:25" x14ac:dyDescent="0.25">
      <c r="A22" t="s">
        <v>77</v>
      </c>
      <c r="B22" t="s">
        <v>125</v>
      </c>
      <c r="C22" s="25">
        <v>0.1</v>
      </c>
      <c r="D22" s="5">
        <f>D21*$C$22</f>
        <v>217700000</v>
      </c>
      <c r="E22" s="5">
        <f t="shared" ref="E22:I22" si="4">E21*$C$22</f>
        <v>219877000</v>
      </c>
      <c r="F22" s="5">
        <f t="shared" si="4"/>
        <v>222075770</v>
      </c>
      <c r="G22" s="5">
        <f t="shared" si="4"/>
        <v>224296527.70000002</v>
      </c>
      <c r="H22" s="5">
        <f t="shared" si="4"/>
        <v>226539492.977</v>
      </c>
      <c r="I22" s="5">
        <f t="shared" si="4"/>
        <v>228804887.90676999</v>
      </c>
      <c r="L22" t="s">
        <v>20</v>
      </c>
      <c r="M22" s="13">
        <f>(M20+M21)/2</f>
        <v>4143368188.6287928</v>
      </c>
      <c r="P22" s="57">
        <v>44593</v>
      </c>
      <c r="Q22" s="6">
        <v>22.72</v>
      </c>
      <c r="R22" s="6">
        <v>4384.6499999999996</v>
      </c>
      <c r="S22" s="6">
        <v>13313.44</v>
      </c>
      <c r="T22" s="6">
        <v>34058.75</v>
      </c>
      <c r="U22" s="57">
        <v>44593</v>
      </c>
      <c r="V22" s="60">
        <f t="shared" si="0"/>
        <v>97.888841016803099</v>
      </c>
      <c r="W22" s="60">
        <f t="shared" si="1"/>
        <v>99.758603586590993</v>
      </c>
      <c r="X22" s="60">
        <f t="shared" si="2"/>
        <v>90.736252681854992</v>
      </c>
      <c r="Y22" s="60">
        <f t="shared" si="3"/>
        <v>97.139886856114458</v>
      </c>
    </row>
    <row r="23" spans="1:25" x14ac:dyDescent="0.25">
      <c r="A23" t="s">
        <v>21</v>
      </c>
      <c r="B23" t="s">
        <v>22</v>
      </c>
      <c r="C23" s="25"/>
      <c r="D23" s="5">
        <f>D22*$B$6</f>
        <v>67487000</v>
      </c>
      <c r="E23" s="30">
        <f t="shared" ref="E23:I23" si="5">E22*$B$6</f>
        <v>68161870</v>
      </c>
      <c r="F23" s="5">
        <f t="shared" si="5"/>
        <v>68843488.700000003</v>
      </c>
      <c r="G23" s="30">
        <f t="shared" si="5"/>
        <v>69531923.587000012</v>
      </c>
      <c r="H23" s="30">
        <f t="shared" si="5"/>
        <v>70227242.822870001</v>
      </c>
      <c r="I23" s="5">
        <f t="shared" si="5"/>
        <v>70929515.251098692</v>
      </c>
      <c r="P23" s="57">
        <v>44621</v>
      </c>
      <c r="Q23" s="6">
        <v>21.92</v>
      </c>
      <c r="R23" s="6">
        <v>4543.0600000000004</v>
      </c>
      <c r="S23" s="6">
        <v>14169.3</v>
      </c>
      <c r="T23" s="6">
        <v>34861.24</v>
      </c>
      <c r="U23" s="57">
        <v>44621</v>
      </c>
      <c r="V23" s="60">
        <f t="shared" si="0"/>
        <v>94.442050840155105</v>
      </c>
      <c r="W23" s="60">
        <f t="shared" si="1"/>
        <v>103.36271346860026</v>
      </c>
      <c r="X23" s="60">
        <f t="shared" si="2"/>
        <v>96.569270235567046</v>
      </c>
      <c r="Y23" s="60">
        <f t="shared" si="3"/>
        <v>99.428690403019814</v>
      </c>
    </row>
    <row r="24" spans="1:25" x14ac:dyDescent="0.25">
      <c r="A24" t="s">
        <v>23</v>
      </c>
      <c r="B24" t="s">
        <v>24</v>
      </c>
      <c r="C24" s="25"/>
      <c r="D24" s="5">
        <f>D22*(1-$B$6)</f>
        <v>150213000</v>
      </c>
      <c r="E24" s="5">
        <f t="shared" ref="E24:I24" si="6">E22*(1-$B$6)</f>
        <v>151715130</v>
      </c>
      <c r="F24" s="5">
        <f t="shared" si="6"/>
        <v>153232281.29999998</v>
      </c>
      <c r="G24" s="5">
        <f t="shared" si="6"/>
        <v>154764604.11300001</v>
      </c>
      <c r="H24" s="5">
        <f t="shared" si="6"/>
        <v>156312250.15412998</v>
      </c>
      <c r="I24" s="5">
        <f t="shared" si="6"/>
        <v>157875372.65567127</v>
      </c>
      <c r="P24" s="57">
        <v>44652</v>
      </c>
      <c r="Q24" s="6">
        <v>19.760000000000002</v>
      </c>
      <c r="R24" s="6">
        <v>4271.78</v>
      </c>
      <c r="S24" s="6">
        <v>12839.29</v>
      </c>
      <c r="T24" s="6">
        <v>33811.4</v>
      </c>
      <c r="U24" s="57">
        <v>44652</v>
      </c>
      <c r="V24" s="60">
        <f t="shared" si="0"/>
        <v>85.135717363205515</v>
      </c>
      <c r="W24" s="60">
        <f t="shared" si="1"/>
        <v>97.190609884284413</v>
      </c>
      <c r="X24" s="60">
        <f t="shared" si="2"/>
        <v>87.504736694318979</v>
      </c>
      <c r="Y24" s="60">
        <f t="shared" si="3"/>
        <v>96.434413196222067</v>
      </c>
    </row>
    <row r="25" spans="1:25" x14ac:dyDescent="0.25">
      <c r="A25" s="4" t="s">
        <v>25</v>
      </c>
      <c r="B25" s="8" t="s">
        <v>120</v>
      </c>
      <c r="C25" s="25">
        <v>0.06</v>
      </c>
      <c r="D25" s="12">
        <f>D21*$C$25</f>
        <v>130620000</v>
      </c>
      <c r="E25" s="12">
        <f t="shared" ref="E25:I25" si="7">E21*$C$25</f>
        <v>131926200</v>
      </c>
      <c r="F25" s="12">
        <f t="shared" si="7"/>
        <v>133245462</v>
      </c>
      <c r="G25" s="12">
        <f t="shared" si="7"/>
        <v>134577916.62</v>
      </c>
      <c r="H25" s="12">
        <f t="shared" si="7"/>
        <v>135923695.78619999</v>
      </c>
      <c r="I25" s="12">
        <f t="shared" si="7"/>
        <v>137282932.74406198</v>
      </c>
      <c r="P25" s="57">
        <v>44682</v>
      </c>
      <c r="Q25" s="6">
        <v>18.89</v>
      </c>
      <c r="R25" s="6">
        <v>4158.24</v>
      </c>
      <c r="S25" s="6">
        <v>11354.62</v>
      </c>
      <c r="T25" s="6">
        <v>33212.959999999999</v>
      </c>
      <c r="U25" s="57">
        <v>44682</v>
      </c>
      <c r="V25" s="60">
        <f t="shared" si="0"/>
        <v>81.387333046100821</v>
      </c>
      <c r="W25" s="60">
        <f t="shared" si="1"/>
        <v>94.607372487634393</v>
      </c>
      <c r="X25" s="60">
        <f t="shared" si="2"/>
        <v>77.386135320882076</v>
      </c>
      <c r="Y25" s="60">
        <f t="shared" si="3"/>
        <v>94.727586201979079</v>
      </c>
    </row>
    <row r="26" spans="1:25" x14ac:dyDescent="0.25">
      <c r="A26" t="s">
        <v>26</v>
      </c>
      <c r="B26" t="s">
        <v>85</v>
      </c>
      <c r="C26" s="25">
        <v>7.0000000000000007E-2</v>
      </c>
      <c r="D26" s="10">
        <f>D21*$C$26</f>
        <v>152390000</v>
      </c>
      <c r="E26" s="10">
        <f t="shared" ref="E26:I26" si="8">E21*$C$26</f>
        <v>153913900</v>
      </c>
      <c r="F26" s="10">
        <f t="shared" si="8"/>
        <v>155453039</v>
      </c>
      <c r="G26" s="10">
        <f t="shared" si="8"/>
        <v>157007569.39000002</v>
      </c>
      <c r="H26" s="10">
        <f t="shared" si="8"/>
        <v>158577645.0839</v>
      </c>
      <c r="I26" s="10">
        <f t="shared" si="8"/>
        <v>160163421.53473902</v>
      </c>
      <c r="P26" s="57">
        <v>44713</v>
      </c>
      <c r="Q26" s="6">
        <v>19.36</v>
      </c>
      <c r="R26" s="6">
        <v>3911.74</v>
      </c>
      <c r="S26" s="6">
        <v>11127.85</v>
      </c>
      <c r="T26" s="6">
        <v>31097.26</v>
      </c>
      <c r="U26" s="57">
        <v>44713</v>
      </c>
      <c r="V26" s="60">
        <f t="shared" si="0"/>
        <v>83.412322274881518</v>
      </c>
      <c r="W26" s="60">
        <f t="shared" si="1"/>
        <v>88.999058076200271</v>
      </c>
      <c r="X26" s="60">
        <f t="shared" si="2"/>
        <v>75.840609895397435</v>
      </c>
      <c r="Y26" s="60">
        <f t="shared" si="3"/>
        <v>88.693340710835642</v>
      </c>
    </row>
    <row r="27" spans="1:25" x14ac:dyDescent="0.25">
      <c r="A27" t="s">
        <v>27</v>
      </c>
      <c r="B27" t="s">
        <v>123</v>
      </c>
      <c r="C27" s="25">
        <v>0.01</v>
      </c>
      <c r="D27" s="10">
        <f>D21*$C$27</f>
        <v>21770000</v>
      </c>
      <c r="E27" s="10">
        <f t="shared" ref="E27:I27" si="9">E21*$C$27</f>
        <v>21987700</v>
      </c>
      <c r="F27" s="10">
        <f t="shared" si="9"/>
        <v>22207577</v>
      </c>
      <c r="G27" s="10">
        <f t="shared" si="9"/>
        <v>22429652.77</v>
      </c>
      <c r="H27" s="10">
        <f t="shared" si="9"/>
        <v>22653949.297699999</v>
      </c>
      <c r="I27" s="10">
        <f t="shared" si="9"/>
        <v>22880488.790677</v>
      </c>
      <c r="P27" s="57">
        <v>44743</v>
      </c>
      <c r="Q27" s="60">
        <v>21.03</v>
      </c>
      <c r="R27" s="6">
        <v>4130.29</v>
      </c>
      <c r="S27" s="6">
        <v>12390.69</v>
      </c>
      <c r="T27" s="6">
        <v>32845.129999999997</v>
      </c>
      <c r="U27" s="57">
        <v>44743</v>
      </c>
      <c r="V27" s="60">
        <f t="shared" si="0"/>
        <v>90.607496768634206</v>
      </c>
      <c r="W27" s="60">
        <f t="shared" si="1"/>
        <v>93.971460163903842</v>
      </c>
      <c r="X27" s="60">
        <f t="shared" si="2"/>
        <v>84.447353857645638</v>
      </c>
      <c r="Y27" s="60">
        <f t="shared" si="3"/>
        <v>93.678488258505382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106673000</v>
      </c>
      <c r="E28" s="12">
        <f t="shared" ref="E28:I28" si="10">E24+E25-E26-E27</f>
        <v>107739730</v>
      </c>
      <c r="F28" s="12">
        <f t="shared" si="10"/>
        <v>108817127.29999995</v>
      </c>
      <c r="G28" s="12">
        <f t="shared" si="10"/>
        <v>109905298.57300003</v>
      </c>
      <c r="H28" s="12">
        <f t="shared" si="10"/>
        <v>111004351.55872996</v>
      </c>
      <c r="I28" s="12">
        <f t="shared" si="10"/>
        <v>112114395.07431723</v>
      </c>
      <c r="P28" s="57">
        <v>44774</v>
      </c>
      <c r="Q28" s="6">
        <v>21.15</v>
      </c>
      <c r="R28" s="6">
        <v>3924.26</v>
      </c>
      <c r="S28" s="6">
        <v>12141.71</v>
      </c>
      <c r="T28" s="6">
        <v>31318.44</v>
      </c>
      <c r="U28" s="57">
        <v>44774</v>
      </c>
      <c r="V28" s="60">
        <f t="shared" si="0"/>
        <v>91.124515295131403</v>
      </c>
      <c r="W28" s="60">
        <f t="shared" si="1"/>
        <v>89.28391039437939</v>
      </c>
      <c r="X28" s="60">
        <f t="shared" si="2"/>
        <v>82.750458675579367</v>
      </c>
      <c r="Y28" s="60">
        <f t="shared" si="3"/>
        <v>89.324174202224356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7">
        <v>44805</v>
      </c>
      <c r="Q29" s="6">
        <v>19.07</v>
      </c>
      <c r="R29" s="6">
        <v>3585.62</v>
      </c>
      <c r="S29" s="6">
        <v>10867.93</v>
      </c>
      <c r="T29" s="6">
        <v>30822.42</v>
      </c>
      <c r="U29" s="57">
        <v>44805</v>
      </c>
      <c r="V29" s="60">
        <f t="shared" si="0"/>
        <v>82.162860835846615</v>
      </c>
      <c r="W29" s="60">
        <f t="shared" si="1"/>
        <v>81.579246733981606</v>
      </c>
      <c r="X29" s="60">
        <f t="shared" si="2"/>
        <v>74.069154373979401</v>
      </c>
      <c r="Y29" s="60">
        <f t="shared" si="3"/>
        <v>87.90946207455174</v>
      </c>
    </row>
    <row r="30" spans="1:25" x14ac:dyDescent="0.25">
      <c r="A30" t="s">
        <v>36</v>
      </c>
      <c r="C30" s="13">
        <f>-G39</f>
        <v>-5535580000</v>
      </c>
      <c r="D30" s="5">
        <f>D28</f>
        <v>106673000</v>
      </c>
      <c r="E30" s="5">
        <f t="shared" ref="E30:I30" si="11">E28</f>
        <v>107739730</v>
      </c>
      <c r="F30" s="5">
        <f t="shared" si="11"/>
        <v>108817127.29999995</v>
      </c>
      <c r="G30" s="5">
        <f t="shared" si="11"/>
        <v>109905298.57300003</v>
      </c>
      <c r="H30" s="5">
        <f t="shared" si="11"/>
        <v>111004351.55872996</v>
      </c>
      <c r="I30" s="5">
        <f t="shared" si="11"/>
        <v>112114395.07431723</v>
      </c>
      <c r="J30" s="13">
        <f>I28+M22</f>
        <v>4255482583.7031102</v>
      </c>
      <c r="K30" t="s">
        <v>38</v>
      </c>
      <c r="P30" s="57">
        <v>44835</v>
      </c>
      <c r="Q30" s="6">
        <v>20.97</v>
      </c>
      <c r="R30" s="6">
        <v>3901.06</v>
      </c>
      <c r="S30" s="6">
        <v>11102.45</v>
      </c>
      <c r="T30" s="6">
        <v>32861.800000000003</v>
      </c>
      <c r="U30" s="57">
        <v>44835</v>
      </c>
      <c r="V30" s="60">
        <f t="shared" si="0"/>
        <v>90.348987505385608</v>
      </c>
      <c r="W30" s="60">
        <f t="shared" si="1"/>
        <v>88.756069038009116</v>
      </c>
      <c r="X30" s="60">
        <f t="shared" si="2"/>
        <v>75.667499052661142</v>
      </c>
      <c r="Y30" s="60">
        <f t="shared" si="3"/>
        <v>93.726033218725362</v>
      </c>
    </row>
    <row r="31" spans="1:25" x14ac:dyDescent="0.25">
      <c r="A31" t="s">
        <v>37</v>
      </c>
      <c r="D31" s="6">
        <f>1/(1+$B$7)^D29</f>
        <v>0.9807693033113416</v>
      </c>
      <c r="E31" s="6">
        <f t="shared" ref="E31:I31" si="12">1/(1+$B$7)^E29</f>
        <v>0.94341025712903193</v>
      </c>
      <c r="F31" s="6">
        <f t="shared" si="12"/>
        <v>0.90747427580707174</v>
      </c>
      <c r="G31" s="6">
        <f t="shared" si="12"/>
        <v>0.87290715256547879</v>
      </c>
      <c r="H31" s="6">
        <f t="shared" si="12"/>
        <v>0.83965674544582414</v>
      </c>
      <c r="I31" s="6">
        <f t="shared" si="12"/>
        <v>0.82350956125156938</v>
      </c>
      <c r="J31" t="s">
        <v>39</v>
      </c>
      <c r="P31" s="57">
        <v>44866</v>
      </c>
      <c r="Q31" s="6">
        <v>23.01</v>
      </c>
      <c r="R31" s="6">
        <v>4026.12</v>
      </c>
      <c r="S31" s="6">
        <v>11226.36</v>
      </c>
      <c r="T31" s="6">
        <v>34429.879999999997</v>
      </c>
      <c r="U31" s="57">
        <v>44866</v>
      </c>
      <c r="V31" s="60">
        <f t="shared" si="0"/>
        <v>99.138302455838001</v>
      </c>
      <c r="W31" s="60">
        <f t="shared" si="1"/>
        <v>91.601406970236113</v>
      </c>
      <c r="X31" s="60">
        <f t="shared" si="2"/>
        <v>76.511993718938882</v>
      </c>
      <c r="Y31" s="60">
        <f t="shared" si="3"/>
        <v>98.198396819307746</v>
      </c>
    </row>
    <row r="32" spans="1:25" x14ac:dyDescent="0.25">
      <c r="A32" t="s">
        <v>40</v>
      </c>
      <c r="C32" s="13">
        <f>-G39</f>
        <v>-5535580000</v>
      </c>
      <c r="D32" s="5">
        <f>D30*D31</f>
        <v>104621603.89213075</v>
      </c>
      <c r="E32" s="5">
        <f t="shared" ref="E32:I32" si="13">E30*E31</f>
        <v>101642766.38231248</v>
      </c>
      <c r="F32" s="5">
        <f t="shared" si="13"/>
        <v>98748743.791973397</v>
      </c>
      <c r="G32" s="5">
        <f t="shared" si="13"/>
        <v>95937121.229216233</v>
      </c>
      <c r="H32" s="5">
        <f t="shared" si="13"/>
        <v>93205552.560127288</v>
      </c>
      <c r="I32" s="5">
        <f t="shared" si="13"/>
        <v>92327276.297636092</v>
      </c>
      <c r="J32" s="14">
        <f>M22</f>
        <v>4143368188.6287928</v>
      </c>
      <c r="P32" s="57">
        <v>44896</v>
      </c>
      <c r="Q32" s="6">
        <v>22.63</v>
      </c>
      <c r="R32" s="6">
        <v>3839.5</v>
      </c>
      <c r="S32" s="6">
        <v>10466.48</v>
      </c>
      <c r="T32" s="6">
        <v>33203.93</v>
      </c>
      <c r="U32" s="57">
        <v>44896</v>
      </c>
      <c r="V32" s="60">
        <f t="shared" si="0"/>
        <v>97.501077121930194</v>
      </c>
      <c r="W32" s="60">
        <f t="shared" si="1"/>
        <v>87.355469301019724</v>
      </c>
      <c r="X32" s="60">
        <f t="shared" si="2"/>
        <v>71.333117058369695</v>
      </c>
      <c r="Y32" s="60">
        <f t="shared" si="3"/>
        <v>94.701831493473605</v>
      </c>
    </row>
    <row r="33" spans="1:25" x14ac:dyDescent="0.25">
      <c r="A33" t="s">
        <v>56</v>
      </c>
      <c r="C33" s="29">
        <v>-5536</v>
      </c>
      <c r="D33" s="45">
        <v>105</v>
      </c>
      <c r="E33" s="24">
        <v>102</v>
      </c>
      <c r="F33" s="24">
        <v>99</v>
      </c>
      <c r="G33" s="24">
        <v>96</v>
      </c>
      <c r="H33" s="24">
        <v>93</v>
      </c>
      <c r="I33" s="24">
        <v>92</v>
      </c>
      <c r="J33" s="24">
        <v>4143</v>
      </c>
      <c r="P33" s="57">
        <v>44927</v>
      </c>
      <c r="Q33" s="6">
        <v>22.28</v>
      </c>
      <c r="R33" s="6">
        <v>4070.56</v>
      </c>
      <c r="S33" s="6">
        <v>11140.43</v>
      </c>
      <c r="T33" s="6">
        <v>33375.49</v>
      </c>
      <c r="U33" s="57">
        <v>44927</v>
      </c>
      <c r="V33" s="60">
        <f t="shared" si="0"/>
        <v>95.993106419646708</v>
      </c>
      <c r="W33" s="60">
        <f t="shared" si="1"/>
        <v>92.61249618907641</v>
      </c>
      <c r="X33" s="60">
        <f t="shared" si="2"/>
        <v>75.92634747026446</v>
      </c>
      <c r="Y33" s="60">
        <f t="shared" si="3"/>
        <v>95.19114243380568</v>
      </c>
    </row>
    <row r="34" spans="1:25" x14ac:dyDescent="0.25">
      <c r="P34" s="57">
        <v>44958</v>
      </c>
      <c r="Q34" s="6">
        <v>22.5</v>
      </c>
      <c r="R34" s="6">
        <v>4045.64</v>
      </c>
      <c r="S34" s="6">
        <v>11689.01</v>
      </c>
      <c r="T34" s="6">
        <v>32816.92</v>
      </c>
      <c r="U34" s="57">
        <v>44958</v>
      </c>
      <c r="V34" s="60">
        <f t="shared" si="0"/>
        <v>96.940973718224896</v>
      </c>
      <c r="W34" s="60">
        <f t="shared" si="1"/>
        <v>92.045521766630415</v>
      </c>
      <c r="X34" s="60">
        <f t="shared" si="2"/>
        <v>79.665132750117905</v>
      </c>
      <c r="Y34" s="60">
        <f t="shared" si="3"/>
        <v>93.598029750538686</v>
      </c>
    </row>
    <row r="35" spans="1:25" x14ac:dyDescent="0.25">
      <c r="A35" s="3" t="s">
        <v>41</v>
      </c>
      <c r="F35" s="3" t="s">
        <v>31</v>
      </c>
      <c r="P35" s="57">
        <v>44986</v>
      </c>
      <c r="Q35" s="6">
        <v>21.02</v>
      </c>
      <c r="R35" s="6">
        <v>3970.99</v>
      </c>
      <c r="S35" s="6">
        <v>11823.96</v>
      </c>
      <c r="T35" s="6">
        <v>33274.15</v>
      </c>
      <c r="U35" s="57">
        <v>44986</v>
      </c>
      <c r="V35" s="60">
        <f t="shared" si="0"/>
        <v>90.564411891426104</v>
      </c>
      <c r="W35" s="60">
        <f t="shared" si="1"/>
        <v>90.347101195378642</v>
      </c>
      <c r="X35" s="60">
        <f t="shared" si="2"/>
        <v>80.584869294498347</v>
      </c>
      <c r="Y35" s="60">
        <f t="shared" si="3"/>
        <v>94.902107864598108</v>
      </c>
    </row>
    <row r="36" spans="1:25" x14ac:dyDescent="0.25">
      <c r="A36" s="13" t="s">
        <v>42</v>
      </c>
      <c r="B36" s="17">
        <f>SUM(D32:I32)</f>
        <v>586483064.15339613</v>
      </c>
      <c r="C36" t="s">
        <v>45</v>
      </c>
      <c r="F36" t="s">
        <v>33</v>
      </c>
      <c r="G36" s="15">
        <f>B13*B12</f>
        <v>1714320000</v>
      </c>
      <c r="H36" t="s">
        <v>34</v>
      </c>
      <c r="L36" s="3" t="s">
        <v>51</v>
      </c>
      <c r="P36" s="57">
        <v>45017</v>
      </c>
      <c r="Q36" s="6">
        <v>22.66</v>
      </c>
      <c r="R36" s="6">
        <v>4133.5200000000004</v>
      </c>
      <c r="S36" s="6">
        <v>12072.46</v>
      </c>
      <c r="T36" s="6">
        <v>33808.959999999999</v>
      </c>
      <c r="U36" s="57">
        <v>45017</v>
      </c>
      <c r="V36" s="60">
        <f t="shared" si="0"/>
        <v>97.630331753554501</v>
      </c>
      <c r="W36" s="60">
        <f t="shared" si="1"/>
        <v>94.044948421708852</v>
      </c>
      <c r="X36" s="60">
        <f t="shared" si="2"/>
        <v>82.278493090560133</v>
      </c>
      <c r="Y36" s="60">
        <f t="shared" si="3"/>
        <v>96.427454005883931</v>
      </c>
    </row>
    <row r="37" spans="1:25" x14ac:dyDescent="0.25">
      <c r="A37" t="s">
        <v>11</v>
      </c>
      <c r="B37" s="19">
        <f>B15</f>
        <v>298740000</v>
      </c>
      <c r="F37" t="s">
        <v>10</v>
      </c>
      <c r="G37" s="14">
        <f>B14</f>
        <v>4120000000</v>
      </c>
      <c r="L37" t="s">
        <v>52</v>
      </c>
      <c r="M37" s="21">
        <f>(B40/B12)-1</f>
        <v>-0.7349995179481692</v>
      </c>
      <c r="P37" s="57">
        <v>45047</v>
      </c>
      <c r="Q37" s="6">
        <v>22.75</v>
      </c>
      <c r="R37" s="6">
        <v>4282.37</v>
      </c>
      <c r="S37" s="6">
        <v>13240.77</v>
      </c>
      <c r="T37" s="6">
        <v>33093.339999999997</v>
      </c>
      <c r="U37" s="57">
        <v>45047</v>
      </c>
      <c r="V37" s="60">
        <f t="shared" si="0"/>
        <v>98.018095648427391</v>
      </c>
      <c r="W37" s="60">
        <f t="shared" si="1"/>
        <v>97.431551262041367</v>
      </c>
      <c r="X37" s="60">
        <f t="shared" si="2"/>
        <v>90.24097847155393</v>
      </c>
      <c r="Y37" s="60">
        <f t="shared" si="3"/>
        <v>94.386414747779241</v>
      </c>
    </row>
    <row r="38" spans="1:25" x14ac:dyDescent="0.25">
      <c r="A38" t="s">
        <v>10</v>
      </c>
      <c r="B38" s="19">
        <f>B14</f>
        <v>4120000000</v>
      </c>
      <c r="C38" s="3"/>
      <c r="F38" t="s">
        <v>11</v>
      </c>
      <c r="G38" s="14">
        <f>B15</f>
        <v>298740000</v>
      </c>
      <c r="L38" t="s">
        <v>53</v>
      </c>
      <c r="M38" s="23">
        <f>IRR(C33:J33)</f>
        <v>-2.3643649220402407E-2</v>
      </c>
      <c r="N38" t="s">
        <v>57</v>
      </c>
      <c r="P38" s="57">
        <v>45078</v>
      </c>
      <c r="Q38" s="6">
        <v>21.75</v>
      </c>
      <c r="R38" s="6">
        <v>4450.38</v>
      </c>
      <c r="S38" s="6">
        <v>13492.52</v>
      </c>
      <c r="T38" s="6">
        <v>33727.43</v>
      </c>
      <c r="U38" s="57">
        <v>45078</v>
      </c>
      <c r="V38" s="60">
        <f t="shared" si="0"/>
        <v>93.709607927617398</v>
      </c>
      <c r="W38" s="60">
        <f t="shared" si="1"/>
        <v>101.25407825703144</v>
      </c>
      <c r="X38" s="60">
        <f t="shared" si="2"/>
        <v>91.956752277020968</v>
      </c>
      <c r="Y38" s="60">
        <f t="shared" si="3"/>
        <v>96.194920076265873</v>
      </c>
    </row>
    <row r="39" spans="1:25" x14ac:dyDescent="0.25">
      <c r="A39" t="s">
        <v>44</v>
      </c>
      <c r="B39" s="17">
        <f>(((B36+B37)-B38)+(M22))/2</f>
        <v>454295626.39109445</v>
      </c>
      <c r="C39" t="s">
        <v>75</v>
      </c>
      <c r="F39" t="s">
        <v>30</v>
      </c>
      <c r="G39" s="13">
        <f>G36+G37-G38</f>
        <v>5535580000</v>
      </c>
      <c r="H39" t="s">
        <v>32</v>
      </c>
      <c r="P39" s="57">
        <v>45108</v>
      </c>
      <c r="Q39" s="6">
        <v>21.59</v>
      </c>
      <c r="R39" s="6">
        <v>4582.2299999999996</v>
      </c>
      <c r="S39" s="6">
        <v>14032.81</v>
      </c>
      <c r="T39" s="6">
        <v>35065.620000000003</v>
      </c>
      <c r="U39" s="57">
        <v>45108</v>
      </c>
      <c r="V39" s="60">
        <f t="shared" si="0"/>
        <v>93.020249892287794</v>
      </c>
      <c r="W39" s="60">
        <f t="shared" si="1"/>
        <v>104.25390079312713</v>
      </c>
      <c r="X39" s="60">
        <f t="shared" si="2"/>
        <v>95.639037994422281</v>
      </c>
      <c r="Y39" s="60">
        <f t="shared" si="3"/>
        <v>100.01160815765418</v>
      </c>
    </row>
    <row r="40" spans="1:25" x14ac:dyDescent="0.25">
      <c r="A40" t="s">
        <v>72</v>
      </c>
      <c r="B40" s="20">
        <f>B39/B13</f>
        <v>2.3850043384664765</v>
      </c>
      <c r="C40" t="s">
        <v>76</v>
      </c>
      <c r="F40" t="s">
        <v>48</v>
      </c>
      <c r="G40" s="16">
        <f>G39/B13</f>
        <v>29.061213775724486</v>
      </c>
      <c r="H40" t="s">
        <v>49</v>
      </c>
      <c r="L40" s="47" t="s">
        <v>86</v>
      </c>
      <c r="M40" s="48"/>
      <c r="P40" s="57">
        <v>45139</v>
      </c>
      <c r="Q40" s="6">
        <v>20.18</v>
      </c>
      <c r="R40" s="6">
        <v>4515.7700000000004</v>
      </c>
      <c r="S40" s="6">
        <v>13590.65</v>
      </c>
      <c r="T40" s="6">
        <v>34837.71</v>
      </c>
      <c r="U40" s="57">
        <v>45139</v>
      </c>
      <c r="V40" s="60">
        <f t="shared" si="0"/>
        <v>86.945282205945702</v>
      </c>
      <c r="W40" s="60">
        <f t="shared" si="1"/>
        <v>102.74181732138715</v>
      </c>
      <c r="X40" s="60">
        <f t="shared" si="2"/>
        <v>92.625546253308869</v>
      </c>
      <c r="Y40" s="60">
        <f t="shared" si="3"/>
        <v>99.361579850291832</v>
      </c>
    </row>
    <row r="41" spans="1:25" x14ac:dyDescent="0.25">
      <c r="A41" t="s">
        <v>46</v>
      </c>
      <c r="B41" s="22">
        <f>(B40/B12)-1</f>
        <v>-0.7349995179481692</v>
      </c>
      <c r="C41" t="s">
        <v>47</v>
      </c>
      <c r="F41" t="s">
        <v>46</v>
      </c>
      <c r="G41" s="21">
        <f>(G40/B12)-1</f>
        <v>2.2290237528582764</v>
      </c>
      <c r="H41" t="s">
        <v>50</v>
      </c>
      <c r="L41" s="49" t="s">
        <v>41</v>
      </c>
      <c r="M41" s="50">
        <f>B40</f>
        <v>2.3850043384664765</v>
      </c>
      <c r="P41" s="57">
        <v>45170</v>
      </c>
      <c r="Q41" s="6">
        <v>20.41</v>
      </c>
      <c r="R41" s="6">
        <v>4320.0600000000004</v>
      </c>
      <c r="S41" s="6">
        <v>13211.81</v>
      </c>
      <c r="T41" s="6">
        <v>33507.5</v>
      </c>
      <c r="U41" s="57">
        <v>45170</v>
      </c>
      <c r="V41" s="60">
        <f t="shared" si="0"/>
        <v>87.936234381732021</v>
      </c>
      <c r="W41" s="60">
        <f t="shared" si="1"/>
        <v>98.289065948317059</v>
      </c>
      <c r="X41" s="60">
        <f t="shared" si="2"/>
        <v>90.04360484928452</v>
      </c>
      <c r="Y41" s="60">
        <f t="shared" si="3"/>
        <v>95.567651743861859</v>
      </c>
    </row>
    <row r="42" spans="1:25" x14ac:dyDescent="0.25">
      <c r="L42" s="49" t="s">
        <v>8</v>
      </c>
      <c r="M42" s="50">
        <f>B12</f>
        <v>9</v>
      </c>
      <c r="P42" s="57">
        <v>45200</v>
      </c>
      <c r="Q42" s="6">
        <v>19.03</v>
      </c>
      <c r="R42" s="6">
        <v>4117.37</v>
      </c>
      <c r="S42" s="6">
        <v>12643.01</v>
      </c>
      <c r="T42" s="6">
        <v>34061.32</v>
      </c>
      <c r="U42" s="57">
        <v>45200</v>
      </c>
      <c r="V42" s="60">
        <f t="shared" si="0"/>
        <v>81.990521327014221</v>
      </c>
      <c r="W42" s="60">
        <f t="shared" si="1"/>
        <v>93.677507132683829</v>
      </c>
      <c r="X42" s="60">
        <f t="shared" si="2"/>
        <v>86.16701243399298</v>
      </c>
      <c r="Y42" s="60">
        <f t="shared" si="3"/>
        <v>97.147216822986991</v>
      </c>
    </row>
    <row r="43" spans="1:25" x14ac:dyDescent="0.25">
      <c r="L43" s="49" t="s">
        <v>93</v>
      </c>
      <c r="M43" s="50">
        <f>(B40-B12)</f>
        <v>-6.6149956615335235</v>
      </c>
      <c r="P43" s="57">
        <v>45231</v>
      </c>
      <c r="Q43" s="6">
        <v>19.54</v>
      </c>
      <c r="R43" s="6">
        <v>4559.34</v>
      </c>
      <c r="S43" s="6">
        <v>14250.85</v>
      </c>
      <c r="T43" s="6">
        <v>36245.5</v>
      </c>
      <c r="U43" s="57">
        <v>45231</v>
      </c>
      <c r="V43" s="60">
        <f t="shared" si="0"/>
        <v>84.187850064627312</v>
      </c>
      <c r="W43" s="60">
        <f t="shared" si="1"/>
        <v>103.73311248936355</v>
      </c>
      <c r="X43" s="60">
        <f t="shared" si="2"/>
        <v>97.125065086950713</v>
      </c>
      <c r="Y43" s="60">
        <f t="shared" si="3"/>
        <v>103.37677598394821</v>
      </c>
    </row>
    <row r="44" spans="1:25" x14ac:dyDescent="0.25">
      <c r="L44" s="49" t="s">
        <v>94</v>
      </c>
      <c r="M44" s="55">
        <f>((B40-B12)/(B12))</f>
        <v>-0.73499951794816931</v>
      </c>
      <c r="P44" s="57">
        <v>45261</v>
      </c>
      <c r="Q44" s="6">
        <v>19.79</v>
      </c>
      <c r="R44" s="6">
        <v>4769.83</v>
      </c>
      <c r="S44" s="6">
        <v>14992.97</v>
      </c>
      <c r="T44" s="6">
        <v>37689.54</v>
      </c>
      <c r="U44" s="57">
        <v>45261</v>
      </c>
      <c r="V44" s="60">
        <f t="shared" si="0"/>
        <v>85.264971994829807</v>
      </c>
      <c r="W44" s="60">
        <f t="shared" si="1"/>
        <v>108.52213520929364</v>
      </c>
      <c r="X44" s="60">
        <f t="shared" si="2"/>
        <v>102.18290046535465</v>
      </c>
      <c r="Y44" s="60">
        <f t="shared" si="3"/>
        <v>107.4953617281609</v>
      </c>
    </row>
    <row r="45" spans="1:25" x14ac:dyDescent="0.25">
      <c r="L45" s="52"/>
      <c r="M45" s="51"/>
      <c r="P45" s="57">
        <v>45292</v>
      </c>
      <c r="Q45" s="6">
        <v>19.07</v>
      </c>
      <c r="R45" s="6">
        <v>4958.6099999999997</v>
      </c>
      <c r="S45" s="6">
        <v>15628.95</v>
      </c>
      <c r="T45" s="6">
        <v>38109.43</v>
      </c>
      <c r="U45" s="57">
        <v>45292</v>
      </c>
      <c r="V45" s="60">
        <f t="shared" si="0"/>
        <v>82.162860835846615</v>
      </c>
      <c r="W45" s="60">
        <f t="shared" si="1"/>
        <v>112.8172167289307</v>
      </c>
      <c r="X45" s="60">
        <f t="shared" si="2"/>
        <v>106.51735061352119</v>
      </c>
      <c r="Y45" s="60">
        <f t="shared" si="3"/>
        <v>108.69294141302936</v>
      </c>
    </row>
    <row r="46" spans="1:25" x14ac:dyDescent="0.25">
      <c r="L46" s="52" t="s">
        <v>54</v>
      </c>
      <c r="M46" s="50"/>
      <c r="P46" s="57">
        <v>45323</v>
      </c>
      <c r="Q46" s="6">
        <v>18.43</v>
      </c>
      <c r="R46" s="6">
        <v>5137.08</v>
      </c>
      <c r="S46" s="6">
        <v>16274.94</v>
      </c>
      <c r="T46" s="6">
        <v>39087.379999999997</v>
      </c>
      <c r="U46" s="57">
        <v>45323</v>
      </c>
      <c r="V46" s="60">
        <f t="shared" si="0"/>
        <v>79.405428694528212</v>
      </c>
      <c r="W46" s="60">
        <f t="shared" si="1"/>
        <v>116.87772736993942</v>
      </c>
      <c r="X46" s="60">
        <f t="shared" si="2"/>
        <v>110.92002279065582</v>
      </c>
      <c r="Y46" s="60">
        <f t="shared" si="3"/>
        <v>111.48217919629906</v>
      </c>
    </row>
    <row r="47" spans="1:25" x14ac:dyDescent="0.25">
      <c r="L47" s="49" t="s">
        <v>41</v>
      </c>
      <c r="M47" s="50">
        <f>B40</f>
        <v>2.3850043384664765</v>
      </c>
      <c r="P47" s="57">
        <v>45352</v>
      </c>
      <c r="Q47" s="6">
        <v>18.57</v>
      </c>
      <c r="R47" s="6">
        <v>5234.18</v>
      </c>
      <c r="S47" s="6">
        <v>16428.82</v>
      </c>
      <c r="T47" s="6">
        <v>39807.370000000003</v>
      </c>
      <c r="U47" s="57">
        <v>45352</v>
      </c>
      <c r="V47" s="60">
        <f t="shared" si="0"/>
        <v>80.008616975441612</v>
      </c>
      <c r="W47" s="60">
        <f t="shared" si="1"/>
        <v>119.08692546060983</v>
      </c>
      <c r="X47" s="60">
        <f t="shared" si="2"/>
        <v>111.96877462058737</v>
      </c>
      <c r="Y47" s="60">
        <f t="shared" si="3"/>
        <v>113.53568225021426</v>
      </c>
    </row>
    <row r="48" spans="1:25" x14ac:dyDescent="0.25">
      <c r="L48" s="49" t="s">
        <v>31</v>
      </c>
      <c r="M48" s="50">
        <f>G40</f>
        <v>29.061213775724486</v>
      </c>
      <c r="P48" s="57">
        <v>45383</v>
      </c>
      <c r="Q48" s="6">
        <v>20.14</v>
      </c>
      <c r="R48" s="6">
        <v>4967.2299999999996</v>
      </c>
      <c r="S48" s="6">
        <v>15282.01</v>
      </c>
      <c r="T48" s="6">
        <v>37986.400000000001</v>
      </c>
      <c r="U48" s="57">
        <v>45383</v>
      </c>
      <c r="V48" s="60">
        <f t="shared" si="0"/>
        <v>86.772942697113308</v>
      </c>
      <c r="W48" s="60">
        <f t="shared" si="1"/>
        <v>113.01333709496137</v>
      </c>
      <c r="X48" s="60">
        <f t="shared" si="2"/>
        <v>104.15282007104361</v>
      </c>
      <c r="Y48" s="60">
        <f t="shared" si="3"/>
        <v>108.34204420511928</v>
      </c>
    </row>
    <row r="49" spans="12:25" x14ac:dyDescent="0.25">
      <c r="L49" s="49" t="s">
        <v>93</v>
      </c>
      <c r="M49" s="50">
        <f>-(G40-B40)</f>
        <v>-26.676209437258009</v>
      </c>
      <c r="P49" s="57">
        <v>45413</v>
      </c>
      <c r="Q49" s="6">
        <v>18.39</v>
      </c>
      <c r="R49" s="6">
        <v>5277.51</v>
      </c>
      <c r="S49" s="6">
        <v>16735.02</v>
      </c>
      <c r="T49" s="6">
        <v>38686.32</v>
      </c>
      <c r="U49" s="57">
        <v>45413</v>
      </c>
      <c r="V49" s="60">
        <f t="shared" si="0"/>
        <v>79.233089185695817</v>
      </c>
      <c r="W49" s="60">
        <f t="shared" si="1"/>
        <v>120.07276020076172</v>
      </c>
      <c r="X49" s="60">
        <f t="shared" si="2"/>
        <v>114.05564627593596</v>
      </c>
      <c r="Y49" s="60">
        <f t="shared" si="3"/>
        <v>110.33830506637612</v>
      </c>
    </row>
    <row r="50" spans="12:25" x14ac:dyDescent="0.25">
      <c r="L50" s="53" t="s">
        <v>94</v>
      </c>
      <c r="M50" s="56">
        <f>((B40-G40)/(G40))</f>
        <v>-0.91793170247903666</v>
      </c>
      <c r="P50" s="57">
        <v>45444</v>
      </c>
      <c r="Q50" s="6">
        <v>16.670000000000002</v>
      </c>
      <c r="R50" s="6">
        <v>5464.62</v>
      </c>
      <c r="S50" s="6">
        <v>17689.36</v>
      </c>
      <c r="T50" s="6">
        <v>39150.33</v>
      </c>
      <c r="U50" s="57">
        <v>45444</v>
      </c>
      <c r="V50" s="60">
        <f t="shared" si="0"/>
        <v>71.822490305902633</v>
      </c>
      <c r="W50" s="60">
        <f t="shared" si="1"/>
        <v>124.32984624345316</v>
      </c>
      <c r="X50" s="60">
        <f t="shared" si="2"/>
        <v>120.55984319156418</v>
      </c>
      <c r="Y50" s="60">
        <f t="shared" si="3"/>
        <v>111.66172060276855</v>
      </c>
    </row>
    <row r="51" spans="12:25" x14ac:dyDescent="0.25">
      <c r="P51" s="57">
        <v>45474</v>
      </c>
      <c r="Q51" s="6">
        <v>16.88</v>
      </c>
      <c r="R51" s="6">
        <v>5459.1</v>
      </c>
      <c r="S51" s="6">
        <v>17357.88</v>
      </c>
      <c r="T51" s="6">
        <v>40287.53</v>
      </c>
      <c r="U51" s="57">
        <v>45474</v>
      </c>
      <c r="V51" s="60">
        <f t="shared" si="0"/>
        <v>72.72727272727272</v>
      </c>
      <c r="W51" s="60">
        <f t="shared" si="1"/>
        <v>124.20425640348923</v>
      </c>
      <c r="X51" s="60">
        <f t="shared" si="2"/>
        <v>118.30067853998042</v>
      </c>
      <c r="Y51" s="60">
        <f t="shared" si="3"/>
        <v>114.90515964068902</v>
      </c>
    </row>
    <row r="52" spans="12:25" x14ac:dyDescent="0.25">
      <c r="P52" s="57">
        <v>45505</v>
      </c>
      <c r="Q52" s="6">
        <v>16.920000000000002</v>
      </c>
      <c r="R52" s="6">
        <v>5648.4</v>
      </c>
      <c r="S52" s="6">
        <v>17877.79</v>
      </c>
      <c r="T52" s="6">
        <v>41175.08</v>
      </c>
      <c r="U52" s="57">
        <v>45505</v>
      </c>
      <c r="V52" s="60">
        <f t="shared" si="0"/>
        <v>72.899612236105128</v>
      </c>
      <c r="W52" s="60">
        <f t="shared" si="1"/>
        <v>128.51116885007937</v>
      </c>
      <c r="X52" s="60">
        <f t="shared" si="2"/>
        <v>121.84406665994216</v>
      </c>
      <c r="Y52" s="60">
        <f t="shared" si="3"/>
        <v>117.43656512618523</v>
      </c>
    </row>
    <row r="53" spans="12:25" x14ac:dyDescent="0.25">
      <c r="P53" s="57">
        <v>45536</v>
      </c>
      <c r="Q53" s="6">
        <v>17.440000000000001</v>
      </c>
      <c r="R53" s="6">
        <v>5751.07</v>
      </c>
      <c r="S53" s="6">
        <v>18137.849999999999</v>
      </c>
      <c r="T53" s="6">
        <v>42313</v>
      </c>
      <c r="U53" s="57">
        <v>45536</v>
      </c>
      <c r="V53" s="60">
        <f t="shared" si="0"/>
        <v>75.140025850926335</v>
      </c>
      <c r="W53" s="60">
        <f t="shared" si="1"/>
        <v>130.84709436984389</v>
      </c>
      <c r="X53" s="60">
        <f t="shared" si="2"/>
        <v>123.61647633561148</v>
      </c>
      <c r="Y53" s="60">
        <f t="shared" si="3"/>
        <v>120.68205769568088</v>
      </c>
    </row>
    <row r="54" spans="12:25" x14ac:dyDescent="0.25">
      <c r="P54" s="57">
        <v>45566</v>
      </c>
      <c r="Q54" s="6">
        <v>19.54</v>
      </c>
      <c r="R54" s="6">
        <v>5728.8</v>
      </c>
      <c r="S54" s="6">
        <v>18518.61</v>
      </c>
      <c r="T54" s="6">
        <v>42052.19</v>
      </c>
      <c r="U54" s="57">
        <v>45566</v>
      </c>
      <c r="V54" s="60">
        <f t="shared" si="0"/>
        <v>84.187850064627312</v>
      </c>
      <c r="W54" s="60">
        <f t="shared" si="1"/>
        <v>130.34041217129362</v>
      </c>
      <c r="X54" s="60">
        <f t="shared" si="2"/>
        <v>126.21150328365371</v>
      </c>
      <c r="Y54" s="60">
        <f t="shared" si="3"/>
        <v>119.93819440384124</v>
      </c>
    </row>
    <row r="55" spans="12:25" x14ac:dyDescent="0.25">
      <c r="P55" s="57">
        <v>45597</v>
      </c>
      <c r="Q55" s="6">
        <v>18.36</v>
      </c>
      <c r="R55" s="6">
        <v>5969.34</v>
      </c>
      <c r="S55" s="6">
        <v>19003.650000000001</v>
      </c>
      <c r="T55" s="6">
        <v>44296.51</v>
      </c>
      <c r="U55" s="57">
        <v>45597</v>
      </c>
      <c r="V55" s="60">
        <f t="shared" si="0"/>
        <v>79.103834554071511</v>
      </c>
      <c r="W55" s="60">
        <f t="shared" si="1"/>
        <v>135.81312595841882</v>
      </c>
      <c r="X55" s="60">
        <f t="shared" si="2"/>
        <v>129.51723884116603</v>
      </c>
      <c r="Y55" s="60">
        <f t="shared" si="3"/>
        <v>126.33928049387433</v>
      </c>
    </row>
    <row r="56" spans="12:25" x14ac:dyDescent="0.25">
      <c r="P56" s="57">
        <v>45627</v>
      </c>
      <c r="Q56" s="6">
        <v>16.5</v>
      </c>
      <c r="R56" s="6">
        <v>5942.47</v>
      </c>
      <c r="S56" s="6">
        <v>19722.03</v>
      </c>
      <c r="T56" s="6">
        <v>42840.26</v>
      </c>
      <c r="U56" s="57">
        <v>45627</v>
      </c>
      <c r="V56" s="60">
        <f t="shared" si="0"/>
        <v>71.090047393364927</v>
      </c>
      <c r="W56" s="60">
        <f t="shared" si="1"/>
        <v>135.20178555989861</v>
      </c>
      <c r="X56" s="60">
        <f t="shared" si="2"/>
        <v>134.41327692009912</v>
      </c>
      <c r="Y56" s="60">
        <f t="shared" si="3"/>
        <v>122.18587027669912</v>
      </c>
    </row>
    <row r="57" spans="12:25" x14ac:dyDescent="0.25">
      <c r="P57" s="57">
        <v>45658</v>
      </c>
      <c r="Q57" s="6">
        <v>14.6</v>
      </c>
      <c r="R57" s="6">
        <v>6040.53</v>
      </c>
      <c r="S57" s="6">
        <v>19627.439999999999</v>
      </c>
      <c r="T57" s="6">
        <v>44424.25</v>
      </c>
      <c r="U57" s="57">
        <v>45658</v>
      </c>
      <c r="V57" s="60">
        <f t="shared" si="0"/>
        <v>62.903920723825934</v>
      </c>
      <c r="W57" s="60">
        <f t="shared" si="1"/>
        <v>137.43282536186709</v>
      </c>
      <c r="X57" s="60">
        <f t="shared" si="2"/>
        <v>133.76860941559414</v>
      </c>
      <c r="Y57" s="60">
        <f t="shared" si="3"/>
        <v>126.70361122083878</v>
      </c>
    </row>
    <row r="58" spans="12:25" x14ac:dyDescent="0.25">
      <c r="P58" s="57">
        <v>45689</v>
      </c>
      <c r="Q58" s="6">
        <v>15.5</v>
      </c>
      <c r="R58" s="6">
        <v>5954.5</v>
      </c>
      <c r="S58" s="6">
        <v>19524.009999999998</v>
      </c>
      <c r="T58" s="6">
        <v>43840.91</v>
      </c>
      <c r="U58" s="57">
        <v>45689</v>
      </c>
      <c r="V58" s="60">
        <f t="shared" si="0"/>
        <v>66.781559672554934</v>
      </c>
      <c r="W58" s="60">
        <f t="shared" si="1"/>
        <v>135.47548950460268</v>
      </c>
      <c r="X58" s="60">
        <f t="shared" si="2"/>
        <v>133.06369388550695</v>
      </c>
      <c r="Y58" s="60">
        <f t="shared" si="3"/>
        <v>125.03985134713098</v>
      </c>
    </row>
    <row r="59" spans="12:25" x14ac:dyDescent="0.25">
      <c r="P59" s="57">
        <v>45717</v>
      </c>
      <c r="Q59" s="6">
        <v>13.3</v>
      </c>
      <c r="R59" s="6">
        <v>5074.08</v>
      </c>
      <c r="S59" s="6">
        <v>15587.79</v>
      </c>
      <c r="T59" s="6">
        <v>38314.86</v>
      </c>
      <c r="U59" s="57">
        <v>45717</v>
      </c>
      <c r="V59" s="60">
        <f t="shared" si="0"/>
        <v>57.30288668677295</v>
      </c>
      <c r="W59" s="60">
        <f t="shared" si="1"/>
        <v>115.4443650660029</v>
      </c>
      <c r="X59" s="60">
        <f t="shared" si="2"/>
        <v>106.23682926363827</v>
      </c>
      <c r="Y59" s="60">
        <f t="shared" si="3"/>
        <v>109.27885390121087</v>
      </c>
    </row>
    <row r="60" spans="12:25" x14ac:dyDescent="0.25">
      <c r="P60" s="57">
        <v>45748</v>
      </c>
      <c r="Q60" s="6">
        <v>12.78</v>
      </c>
      <c r="R60" s="6">
        <v>5282.7</v>
      </c>
      <c r="S60" s="6">
        <v>16286.45</v>
      </c>
      <c r="T60" s="6">
        <v>39142.230000000003</v>
      </c>
      <c r="U60" s="57">
        <v>45748</v>
      </c>
      <c r="V60" s="60">
        <f t="shared" si="0"/>
        <v>55.062473071951743</v>
      </c>
      <c r="W60" s="60">
        <f t="shared" si="1"/>
        <v>120.19084195246697</v>
      </c>
      <c r="X60" s="60">
        <f t="shared" si="2"/>
        <v>110.99846790088792</v>
      </c>
      <c r="Y60" s="60">
        <f t="shared" si="3"/>
        <v>111.63861837254771</v>
      </c>
    </row>
    <row r="61" spans="12:25" x14ac:dyDescent="0.25">
      <c r="P61" s="57">
        <v>45778</v>
      </c>
      <c r="Q61" s="6">
        <v>12.26</v>
      </c>
      <c r="R61" s="6">
        <v>5802.82</v>
      </c>
      <c r="S61" s="6">
        <v>19113.77</v>
      </c>
      <c r="T61" s="6">
        <v>41603.07</v>
      </c>
      <c r="U61" s="57">
        <v>45778</v>
      </c>
      <c r="V61" s="60">
        <f t="shared" si="0"/>
        <v>52.822059457130543</v>
      </c>
      <c r="W61" s="60">
        <f t="shared" si="1"/>
        <v>132.024499119506</v>
      </c>
      <c r="X61" s="60">
        <f t="shared" si="2"/>
        <v>130.26774931369047</v>
      </c>
      <c r="Y61" s="60">
        <f t="shared" si="3"/>
        <v>118.65724704127454</v>
      </c>
    </row>
    <row r="62" spans="12:25" x14ac:dyDescent="0.25">
      <c r="P62" s="57">
        <v>45809</v>
      </c>
      <c r="Q62" s="6">
        <v>11.56</v>
      </c>
      <c r="R62" s="6">
        <v>6279.35</v>
      </c>
      <c r="S62" s="6">
        <v>19447.41</v>
      </c>
      <c r="T62" s="6">
        <v>42206.82</v>
      </c>
      <c r="U62" s="57">
        <v>45809</v>
      </c>
      <c r="V62" s="60">
        <f t="shared" si="0"/>
        <v>49.806118052563555</v>
      </c>
      <c r="W62" s="60">
        <f t="shared" si="1"/>
        <v>142.8664060829166</v>
      </c>
      <c r="X62" s="60">
        <f t="shared" si="2"/>
        <v>132.54163520229434</v>
      </c>
      <c r="Y62" s="60">
        <f t="shared" si="3"/>
        <v>120.37921883088454</v>
      </c>
    </row>
    <row r="63" spans="12:25" x14ac:dyDescent="0.25">
      <c r="P63" s="57">
        <v>45839</v>
      </c>
      <c r="Q63" s="6">
        <v>10.47</v>
      </c>
      <c r="R63" s="6">
        <v>6238.01</v>
      </c>
      <c r="S63" s="6">
        <v>20650.13</v>
      </c>
      <c r="T63" s="6">
        <v>44901.919999999998</v>
      </c>
      <c r="U63" s="57">
        <v>45839</v>
      </c>
      <c r="V63" s="60">
        <f t="shared" si="0"/>
        <v>45.109866436880658</v>
      </c>
      <c r="W63" s="60">
        <f t="shared" si="1"/>
        <v>141.92584739014302</v>
      </c>
      <c r="X63" s="60">
        <f t="shared" si="2"/>
        <v>140.73863806748324</v>
      </c>
      <c r="Y63" s="60">
        <f t="shared" si="3"/>
        <v>128.065986814616</v>
      </c>
    </row>
    <row r="64" spans="12:25" x14ac:dyDescent="0.25">
      <c r="P64" s="57">
        <v>45870</v>
      </c>
      <c r="Q64" s="6">
        <v>10.61</v>
      </c>
      <c r="R64" s="6">
        <v>6460.26</v>
      </c>
      <c r="S64" s="6">
        <v>21496.54</v>
      </c>
      <c r="T64" s="6">
        <v>45544.88</v>
      </c>
      <c r="U64" s="57">
        <v>45870</v>
      </c>
      <c r="V64" s="60">
        <f t="shared" si="0"/>
        <v>45.713054717794051</v>
      </c>
      <c r="W64" s="60">
        <f t="shared" si="1"/>
        <v>146.9824310734746</v>
      </c>
      <c r="X64" s="60">
        <f t="shared" si="2"/>
        <v>146.50725020923241</v>
      </c>
      <c r="Y64" s="60">
        <f t="shared" si="3"/>
        <v>129.89979051125803</v>
      </c>
    </row>
    <row r="65" spans="16:25" x14ac:dyDescent="0.25">
      <c r="P65" s="57">
        <v>45901</v>
      </c>
      <c r="Q65" s="6">
        <v>9.5500000000000007</v>
      </c>
      <c r="R65" s="6">
        <v>6715.79</v>
      </c>
      <c r="S65" s="6">
        <v>22780.51</v>
      </c>
      <c r="T65" s="6">
        <v>46758.28</v>
      </c>
      <c r="U65" s="57">
        <v>45901</v>
      </c>
      <c r="V65" s="60">
        <f t="shared" si="0"/>
        <v>41.146057733735461</v>
      </c>
      <c r="W65" s="60">
        <f t="shared" si="1"/>
        <v>152.79619408180628</v>
      </c>
      <c r="X65" s="60">
        <f t="shared" si="2"/>
        <v>155.25800330955215</v>
      </c>
      <c r="Y65" s="60">
        <f t="shared" si="3"/>
        <v>133.36056164088578</v>
      </c>
    </row>
    <row r="66" spans="16:25" x14ac:dyDescent="0.25">
      <c r="P66" s="57">
        <v>45931</v>
      </c>
      <c r="Q66" s="6">
        <v>8.98</v>
      </c>
      <c r="R66" s="6">
        <v>6840.2</v>
      </c>
      <c r="S66" s="6">
        <v>23204.87</v>
      </c>
      <c r="T66" s="6">
        <v>47207.12</v>
      </c>
      <c r="U66" s="57">
        <v>45931</v>
      </c>
      <c r="V66" s="60">
        <f t="shared" si="0"/>
        <v>38.690219732873757</v>
      </c>
      <c r="W66" s="60">
        <f t="shared" si="1"/>
        <v>155.62674335534189</v>
      </c>
      <c r="X66" s="60">
        <f t="shared" si="2"/>
        <v>158.15018115300001</v>
      </c>
      <c r="Y66" s="60">
        <f t="shared" si="3"/>
        <v>134.64071040783992</v>
      </c>
    </row>
    <row r="67" spans="16:25" x14ac:dyDescent="0.25">
      <c r="P67" s="57">
        <v>45962</v>
      </c>
      <c r="Q67" s="6">
        <v>8.4499999999999993</v>
      </c>
      <c r="R67" s="6">
        <v>6849.09</v>
      </c>
      <c r="S67" s="6">
        <v>23365.69</v>
      </c>
      <c r="T67" s="6">
        <v>46245.41</v>
      </c>
      <c r="U67" s="57">
        <v>45962</v>
      </c>
      <c r="V67" s="60">
        <f t="shared" si="0"/>
        <v>36.406721240844462</v>
      </c>
      <c r="W67" s="60">
        <f t="shared" si="1"/>
        <v>155.82900670267514</v>
      </c>
      <c r="X67" s="60">
        <f t="shared" si="2"/>
        <v>159.24623177224612</v>
      </c>
      <c r="Y67" s="60">
        <f t="shared" si="3"/>
        <v>131.89779117009942</v>
      </c>
    </row>
    <row r="68" spans="16:25" x14ac:dyDescent="0.25">
      <c r="P68" s="57">
        <v>45992</v>
      </c>
      <c r="Q68" s="6">
        <v>8.17</v>
      </c>
      <c r="R68" s="6">
        <v>6929.94</v>
      </c>
      <c r="S68" s="6">
        <v>23593.1</v>
      </c>
      <c r="T68" s="6">
        <v>48134.89</v>
      </c>
      <c r="U68" s="57">
        <v>45992</v>
      </c>
      <c r="V68" s="60">
        <f t="shared" si="0"/>
        <v>35.200344679017661</v>
      </c>
      <c r="W68" s="60">
        <f t="shared" si="1"/>
        <v>157.66848832606033</v>
      </c>
      <c r="X68" s="60">
        <f t="shared" si="2"/>
        <v>160.7961190457367</v>
      </c>
      <c r="Y68" s="60">
        <f t="shared" si="3"/>
        <v>137.28682844882783</v>
      </c>
    </row>
    <row r="69" spans="16:25" x14ac:dyDescent="0.25">
      <c r="P69" s="57">
        <v>46023</v>
      </c>
      <c r="Q69" s="6">
        <v>8.42</v>
      </c>
      <c r="R69" s="6">
        <v>6939.03</v>
      </c>
      <c r="S69" s="6">
        <v>23461.82</v>
      </c>
      <c r="T69" s="6">
        <v>49098.71</v>
      </c>
      <c r="U69" s="57">
        <v>46023</v>
      </c>
      <c r="V69" s="60">
        <f t="shared" si="0"/>
        <v>36.277466609220163</v>
      </c>
      <c r="W69" s="60">
        <f t="shared" si="1"/>
        <v>157.87530202991402</v>
      </c>
      <c r="X69" s="60">
        <f t="shared" si="2"/>
        <v>159.90139497351541</v>
      </c>
      <c r="Y69" s="60">
        <f t="shared" si="3"/>
        <v>140.03576567493451</v>
      </c>
    </row>
    <row r="70" spans="16:25" x14ac:dyDescent="0.25">
      <c r="P70" s="57">
        <v>46054</v>
      </c>
      <c r="Q70" s="6">
        <v>7.66</v>
      </c>
      <c r="R70" s="6">
        <v>6909.51</v>
      </c>
      <c r="S70" s="6">
        <v>22668.21</v>
      </c>
      <c r="T70" s="6">
        <v>48977.919999999998</v>
      </c>
      <c r="U70" s="57">
        <v>46054</v>
      </c>
      <c r="V70" s="60">
        <f t="shared" si="0"/>
        <v>33.00301594140457</v>
      </c>
      <c r="W70" s="60">
        <f t="shared" si="1"/>
        <v>157.20366940749807</v>
      </c>
      <c r="X70" s="60">
        <f t="shared" si="2"/>
        <v>154.49263529225743</v>
      </c>
      <c r="Y70" s="60">
        <f t="shared" si="3"/>
        <v>139.69125723192499</v>
      </c>
    </row>
    <row r="71" spans="16:25" x14ac:dyDescent="0.25">
      <c r="P71" s="57">
        <v>46082</v>
      </c>
      <c r="Q71" s="6">
        <v>6.8</v>
      </c>
      <c r="R71" s="6">
        <v>6368.85</v>
      </c>
      <c r="S71" s="6">
        <v>20948.36</v>
      </c>
      <c r="T71" s="6">
        <v>45577.47</v>
      </c>
      <c r="U71" s="57">
        <v>46082</v>
      </c>
      <c r="V71" s="60">
        <f t="shared" si="0"/>
        <v>29.297716501507971</v>
      </c>
      <c r="W71" s="60">
        <f t="shared" si="1"/>
        <v>144.90269062581055</v>
      </c>
      <c r="X71" s="60">
        <f t="shared" si="2"/>
        <v>142.77119108438268</v>
      </c>
      <c r="Y71" s="60">
        <f t="shared" si="3"/>
        <v>129.99274133630715</v>
      </c>
    </row>
    <row r="72" spans="16:25" x14ac:dyDescent="0.25">
      <c r="P72" s="57">
        <v>46113</v>
      </c>
      <c r="Q72" s="6">
        <v>6.95</v>
      </c>
      <c r="R72" s="6">
        <v>7123.06</v>
      </c>
      <c r="S72" s="6">
        <v>24468.48</v>
      </c>
      <c r="T72" s="6">
        <v>49447.43</v>
      </c>
      <c r="U72" s="57">
        <v>46113</v>
      </c>
      <c r="V72" s="60">
        <f t="shared" si="0"/>
        <v>29.943989659629473</v>
      </c>
      <c r="W72" s="60">
        <f t="shared" si="1"/>
        <v>162.06231258219083</v>
      </c>
      <c r="X72" s="60">
        <f t="shared" si="2"/>
        <v>166.76217296363035</v>
      </c>
      <c r="Y72" s="60">
        <f t="shared" si="3"/>
        <v>141.0303594678501</v>
      </c>
    </row>
    <row r="73" spans="16:25" x14ac:dyDescent="0.25">
      <c r="P73" s="57">
        <v>46143</v>
      </c>
      <c r="Q73" s="6">
        <v>7.81</v>
      </c>
      <c r="R73" s="6">
        <v>7473.47</v>
      </c>
      <c r="S73" s="6">
        <v>26343.97</v>
      </c>
      <c r="T73" s="6">
        <v>50579.7</v>
      </c>
      <c r="U73" s="57">
        <v>46143</v>
      </c>
      <c r="V73" s="60">
        <f t="shared" si="0"/>
        <v>33.649289099526065</v>
      </c>
      <c r="W73" s="60">
        <f t="shared" si="1"/>
        <v>170.03476472381612</v>
      </c>
      <c r="X73" s="60">
        <f t="shared" si="2"/>
        <v>179.54436408345308</v>
      </c>
      <c r="Y73" s="60">
        <f t="shared" si="3"/>
        <v>144.25973751873488</v>
      </c>
    </row>
    <row r="74" spans="16:25" x14ac:dyDescent="0.25">
      <c r="P74" s="57">
        <v>46174</v>
      </c>
      <c r="Q74" s="6">
        <v>6.8</v>
      </c>
      <c r="R74" s="6">
        <v>7425.29</v>
      </c>
      <c r="S74" s="6">
        <v>25883.49</v>
      </c>
      <c r="T74" s="6">
        <v>51200.15</v>
      </c>
      <c r="U74" s="57">
        <v>46174</v>
      </c>
      <c r="V74" s="60">
        <f t="shared" si="0"/>
        <v>29.297716501507971</v>
      </c>
      <c r="W74" s="60">
        <f t="shared" si="1"/>
        <v>168.93858383804371</v>
      </c>
      <c r="X74" s="60">
        <f t="shared" si="2"/>
        <v>176.40601444316923</v>
      </c>
      <c r="Y74" s="60">
        <f t="shared" si="3"/>
        <v>146.02933983238046</v>
      </c>
    </row>
    <row r="75" spans="16:25" x14ac:dyDescent="0.25">
      <c r="P75" s="57">
        <v>46204</v>
      </c>
      <c r="Q75" s="61">
        <v>8.6</v>
      </c>
      <c r="R75" s="6">
        <v>7483.24</v>
      </c>
      <c r="S75" s="6">
        <v>25832.67</v>
      </c>
      <c r="T75" s="6">
        <v>52900.07</v>
      </c>
      <c r="U75" s="57">
        <v>46204</v>
      </c>
      <c r="V75" s="60">
        <f t="shared" si="0"/>
        <v>37.052994398965957</v>
      </c>
      <c r="W75" s="60">
        <f t="shared" si="1"/>
        <v>170.25704963983927</v>
      </c>
      <c r="X75" s="60">
        <f t="shared" si="2"/>
        <v>176.0596564499464</v>
      </c>
      <c r="Y75" s="60">
        <f t="shared" si="3"/>
        <v>150.87772788139713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94358-B07F-4ABB-AEDB-1F063F738648}">
  <dimension ref="A1:Z75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63</v>
      </c>
    </row>
    <row r="5" spans="1:26" x14ac:dyDescent="0.25">
      <c r="A5" s="37" t="s">
        <v>1</v>
      </c>
      <c r="B5" s="38"/>
      <c r="C5" s="39"/>
      <c r="P5" t="s">
        <v>58</v>
      </c>
    </row>
    <row r="6" spans="1:26" x14ac:dyDescent="0.25">
      <c r="A6" s="40" t="s">
        <v>2</v>
      </c>
      <c r="B6" s="31">
        <v>0.25</v>
      </c>
      <c r="C6" s="41"/>
      <c r="P6" t="s">
        <v>59</v>
      </c>
      <c r="Q6" t="s">
        <v>60</v>
      </c>
      <c r="S6" t="s">
        <v>61</v>
      </c>
      <c r="T6" t="s">
        <v>62</v>
      </c>
    </row>
    <row r="7" spans="1:26" x14ac:dyDescent="0.25">
      <c r="A7" s="40" t="s">
        <v>3</v>
      </c>
      <c r="B7" s="32">
        <v>3.4599999999999999E-2</v>
      </c>
      <c r="C7" s="41" t="s">
        <v>126</v>
      </c>
      <c r="P7">
        <v>2026</v>
      </c>
      <c r="Q7" s="26">
        <f>D28</f>
        <v>228585000</v>
      </c>
      <c r="R7" s="26"/>
      <c r="S7" t="s">
        <v>41</v>
      </c>
      <c r="T7" s="16">
        <f>B40</f>
        <v>38.065356011820768</v>
      </c>
    </row>
    <row r="8" spans="1:26" x14ac:dyDescent="0.25">
      <c r="A8" s="40" t="s">
        <v>4</v>
      </c>
      <c r="B8" s="32">
        <v>2.5000000000000001E-2</v>
      </c>
      <c r="C8" s="41"/>
      <c r="P8">
        <v>2027</v>
      </c>
      <c r="Q8" s="26">
        <f>E28</f>
        <v>235442550</v>
      </c>
      <c r="R8" s="26"/>
      <c r="S8" t="s">
        <v>55</v>
      </c>
      <c r="T8" s="16">
        <v>29.07</v>
      </c>
    </row>
    <row r="9" spans="1:26" x14ac:dyDescent="0.25">
      <c r="A9" s="40" t="s">
        <v>5</v>
      </c>
      <c r="B9" s="33" t="s">
        <v>89</v>
      </c>
      <c r="C9" s="41"/>
      <c r="P9">
        <v>2028</v>
      </c>
      <c r="Q9" s="26">
        <f>F28</f>
        <v>242505826.5</v>
      </c>
      <c r="R9" s="26"/>
      <c r="S9" t="s">
        <v>8</v>
      </c>
      <c r="T9" s="16">
        <f>B12</f>
        <v>9</v>
      </c>
    </row>
    <row r="10" spans="1:26" x14ac:dyDescent="0.25">
      <c r="A10" s="40" t="s">
        <v>6</v>
      </c>
      <c r="B10" s="34">
        <v>46205</v>
      </c>
      <c r="C10" s="41"/>
      <c r="P10">
        <v>2029</v>
      </c>
      <c r="Q10" s="26">
        <f>G28</f>
        <v>249781001.29500002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254776621.32090002</v>
      </c>
      <c r="R11" s="26"/>
    </row>
    <row r="12" spans="1:26" x14ac:dyDescent="0.25">
      <c r="A12" s="40" t="s">
        <v>8</v>
      </c>
      <c r="B12" s="35">
        <v>9</v>
      </c>
      <c r="C12" s="41" t="s">
        <v>82</v>
      </c>
      <c r="P12">
        <v>2031</v>
      </c>
      <c r="Q12" s="26">
        <f>I28</f>
        <v>259872153.747318</v>
      </c>
      <c r="R12" s="26"/>
    </row>
    <row r="13" spans="1:26" x14ac:dyDescent="0.25">
      <c r="A13" s="40" t="s">
        <v>9</v>
      </c>
      <c r="B13" s="36">
        <v>190480000</v>
      </c>
      <c r="C13" s="41"/>
    </row>
    <row r="14" spans="1:26" x14ac:dyDescent="0.25">
      <c r="A14" s="40" t="s">
        <v>10</v>
      </c>
      <c r="B14" s="35">
        <v>4120000000</v>
      </c>
      <c r="C14" s="41"/>
      <c r="P14" s="6" t="s">
        <v>16</v>
      </c>
      <c r="Q14" s="6" t="s">
        <v>91</v>
      </c>
      <c r="R14" s="6" t="s">
        <v>64</v>
      </c>
      <c r="S14" s="6" t="s">
        <v>70</v>
      </c>
      <c r="T14" s="6" t="s">
        <v>65</v>
      </c>
      <c r="U14" s="6" t="s">
        <v>16</v>
      </c>
      <c r="V14" s="6" t="s">
        <v>92</v>
      </c>
      <c r="W14" s="6" t="s">
        <v>66</v>
      </c>
      <c r="X14" s="6" t="s">
        <v>71</v>
      </c>
      <c r="Y14" s="6" t="s">
        <v>67</v>
      </c>
      <c r="Z14" t="s">
        <v>68</v>
      </c>
    </row>
    <row r="15" spans="1:26" x14ac:dyDescent="0.25">
      <c r="A15" s="40" t="s">
        <v>11</v>
      </c>
      <c r="B15" s="35">
        <v>298740000</v>
      </c>
      <c r="C15" s="41"/>
      <c r="P15" s="57">
        <v>44378</v>
      </c>
      <c r="Q15" s="58">
        <v>23.21</v>
      </c>
      <c r="R15" s="6">
        <v>4395.26</v>
      </c>
      <c r="S15" s="6">
        <v>14672.68</v>
      </c>
      <c r="T15" s="6">
        <v>35061.550000000003</v>
      </c>
      <c r="U15" s="57">
        <v>44378</v>
      </c>
      <c r="V15" s="59">
        <f t="shared" ref="V15:V75" si="0">(Q15/$Q$15)*100</f>
        <v>100</v>
      </c>
      <c r="W15" s="59">
        <f>(R15/$R$15)*100</f>
        <v>100</v>
      </c>
      <c r="X15" s="59">
        <f>(S15/$S$15)*100</f>
        <v>100</v>
      </c>
      <c r="Y15" s="59">
        <f>(T15/$T$15)*100</f>
        <v>100</v>
      </c>
      <c r="Z15" t="s">
        <v>69</v>
      </c>
    </row>
    <row r="16" spans="1:26" x14ac:dyDescent="0.25">
      <c r="A16" s="40" t="s">
        <v>12</v>
      </c>
      <c r="B16" s="35" t="s">
        <v>88</v>
      </c>
      <c r="C16" s="41"/>
      <c r="P16" s="57">
        <v>44409</v>
      </c>
      <c r="Q16" s="6">
        <v>22.9</v>
      </c>
      <c r="R16" s="6">
        <v>4509.37</v>
      </c>
      <c r="S16" s="6">
        <v>14714.66</v>
      </c>
      <c r="T16" s="6">
        <v>35120.080000000002</v>
      </c>
      <c r="U16" s="57">
        <v>44409</v>
      </c>
      <c r="V16" s="60">
        <f t="shared" si="0"/>
        <v>98.664368806548893</v>
      </c>
      <c r="W16" s="60">
        <f>(R16/$R$15)*100</f>
        <v>102.59620591273327</v>
      </c>
      <c r="X16" s="60">
        <f>(S16/$S$15)*100</f>
        <v>100.28610996764054</v>
      </c>
      <c r="Y16" s="60">
        <f>(T16/$T$15)*100</f>
        <v>100.16693500429959</v>
      </c>
      <c r="Z16" t="s">
        <v>74</v>
      </c>
    </row>
    <row r="17" spans="1:25" x14ac:dyDescent="0.25">
      <c r="A17" s="42" t="s">
        <v>80</v>
      </c>
      <c r="B17" s="43"/>
      <c r="C17" s="44"/>
      <c r="P17" s="57">
        <v>44440</v>
      </c>
      <c r="Q17" s="6">
        <v>22.3</v>
      </c>
      <c r="R17" s="6">
        <v>4455.4799999999996</v>
      </c>
      <c r="S17" s="6">
        <v>15047.7</v>
      </c>
      <c r="T17" s="6">
        <v>34326.46</v>
      </c>
      <c r="U17" s="57">
        <v>44440</v>
      </c>
      <c r="V17" s="60">
        <f t="shared" si="0"/>
        <v>96.079276174062898</v>
      </c>
      <c r="W17" s="60">
        <f>(R17/$R$15)*100</f>
        <v>101.37011234830247</v>
      </c>
      <c r="X17" s="60">
        <f>(S17/$S$15)*100</f>
        <v>102.55590662373881</v>
      </c>
      <c r="Y17" s="60">
        <f>(T17/$T$15)*100</f>
        <v>97.903429825549622</v>
      </c>
    </row>
    <row r="18" spans="1:25" x14ac:dyDescent="0.25">
      <c r="P18" s="57">
        <v>44470</v>
      </c>
      <c r="Q18" s="6">
        <v>22.59</v>
      </c>
      <c r="R18" s="6">
        <v>4544.8999999999996</v>
      </c>
      <c r="S18" s="6">
        <v>15498.39</v>
      </c>
      <c r="T18" s="6">
        <v>35677.019999999997</v>
      </c>
      <c r="U18" s="57">
        <v>44470</v>
      </c>
      <c r="V18" s="60">
        <f t="shared" si="0"/>
        <v>97.328737613097786</v>
      </c>
      <c r="W18" s="60">
        <f t="shared" ref="W18:W75" si="1">(R18/$R$15)*100</f>
        <v>103.40457674858823</v>
      </c>
      <c r="X18" s="60">
        <f t="shared" ref="X18:X75" si="2">(S18/$S$15)*100</f>
        <v>105.62753362030656</v>
      </c>
      <c r="Y18" s="60">
        <f t="shared" ref="Y18:Y75" si="3">(T18/$T$15)*100</f>
        <v>101.75539872025053</v>
      </c>
    </row>
    <row r="19" spans="1:25" x14ac:dyDescent="0.25">
      <c r="A19" s="11" t="s">
        <v>43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57">
        <v>44501</v>
      </c>
      <c r="Q19" s="6">
        <v>21.32</v>
      </c>
      <c r="R19" s="6">
        <v>4594.62</v>
      </c>
      <c r="S19" s="6">
        <v>15085.47</v>
      </c>
      <c r="T19" s="6">
        <v>34889.339999999997</v>
      </c>
      <c r="U19" s="57">
        <v>44501</v>
      </c>
      <c r="V19" s="60">
        <f t="shared" si="0"/>
        <v>91.856958207669109</v>
      </c>
      <c r="W19" s="60">
        <f t="shared" si="1"/>
        <v>104.53579537956799</v>
      </c>
      <c r="X19" s="60">
        <f t="shared" si="2"/>
        <v>102.81332380996517</v>
      </c>
      <c r="Y19" s="60">
        <f t="shared" si="3"/>
        <v>99.508835176995873</v>
      </c>
    </row>
    <row r="20" spans="1:25" x14ac:dyDescent="0.25">
      <c r="A20" t="s">
        <v>16</v>
      </c>
      <c r="C20" s="7">
        <v>46205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27746766415.729271</v>
      </c>
      <c r="P20" s="57">
        <v>44531</v>
      </c>
      <c r="Q20" s="6">
        <v>23.33</v>
      </c>
      <c r="R20" s="6">
        <v>4766.18</v>
      </c>
      <c r="S20" s="6">
        <v>15653.37</v>
      </c>
      <c r="T20" s="6">
        <v>35950.559999999998</v>
      </c>
      <c r="U20" s="57">
        <v>44531</v>
      </c>
      <c r="V20" s="60">
        <f t="shared" si="0"/>
        <v>100.5170185264972</v>
      </c>
      <c r="W20" s="60">
        <f t="shared" si="1"/>
        <v>108.43909120279574</v>
      </c>
      <c r="X20" s="60">
        <f t="shared" si="2"/>
        <v>106.68378237649836</v>
      </c>
      <c r="Y20" s="60">
        <f t="shared" si="3"/>
        <v>102.53556959119035</v>
      </c>
    </row>
    <row r="21" spans="1:25" x14ac:dyDescent="0.25">
      <c r="A21" t="s">
        <v>18</v>
      </c>
      <c r="D21" s="5">
        <v>2177000000</v>
      </c>
      <c r="E21" s="5">
        <f>D21*1.03</f>
        <v>2242310000</v>
      </c>
      <c r="F21" s="5">
        <f>E21*1.03</f>
        <v>2309579300</v>
      </c>
      <c r="G21" s="5">
        <f>F21*1.03</f>
        <v>2378866679</v>
      </c>
      <c r="H21" s="5">
        <f>G21*1.02</f>
        <v>2426444012.5799999</v>
      </c>
      <c r="I21" s="5">
        <f>H21*1.02</f>
        <v>2474972892.8316002</v>
      </c>
      <c r="L21" t="s">
        <v>19</v>
      </c>
      <c r="M21" s="13">
        <f>(I22+I25)*14</f>
        <v>6236931689.9356327</v>
      </c>
      <c r="P21" s="57">
        <v>44562</v>
      </c>
      <c r="Q21" s="6">
        <v>22.69</v>
      </c>
      <c r="R21" s="6">
        <v>4500.53</v>
      </c>
      <c r="S21" s="6">
        <v>13770.57</v>
      </c>
      <c r="T21" s="6">
        <v>34725.47</v>
      </c>
      <c r="U21" s="57">
        <v>44562</v>
      </c>
      <c r="V21" s="60">
        <f t="shared" si="0"/>
        <v>97.759586385178807</v>
      </c>
      <c r="W21" s="60">
        <f t="shared" si="1"/>
        <v>102.39508015453009</v>
      </c>
      <c r="X21" s="60">
        <f t="shared" si="2"/>
        <v>93.851770773982665</v>
      </c>
      <c r="Y21" s="60">
        <f t="shared" si="3"/>
        <v>99.041457094737666</v>
      </c>
    </row>
    <row r="22" spans="1:25" x14ac:dyDescent="0.25">
      <c r="A22" t="s">
        <v>77</v>
      </c>
      <c r="B22" t="s">
        <v>125</v>
      </c>
      <c r="C22" s="25">
        <v>0.1</v>
      </c>
      <c r="D22" s="5">
        <f>D21*$C$22</f>
        <v>217700000</v>
      </c>
      <c r="E22" s="5">
        <f t="shared" ref="E22:I22" si="4">E21*$C$22</f>
        <v>224231000</v>
      </c>
      <c r="F22" s="5">
        <f t="shared" si="4"/>
        <v>230957930</v>
      </c>
      <c r="G22" s="5">
        <f t="shared" si="4"/>
        <v>237886667.90000001</v>
      </c>
      <c r="H22" s="5">
        <f t="shared" si="4"/>
        <v>242644401.25800002</v>
      </c>
      <c r="I22" s="5">
        <f t="shared" si="4"/>
        <v>247497289.28316003</v>
      </c>
      <c r="L22" t="s">
        <v>20</v>
      </c>
      <c r="M22" s="13">
        <f>(M20+M21)/2</f>
        <v>16991849052.832451</v>
      </c>
      <c r="P22" s="57">
        <v>44593</v>
      </c>
      <c r="Q22" s="6">
        <v>22.72</v>
      </c>
      <c r="R22" s="6">
        <v>4384.6499999999996</v>
      </c>
      <c r="S22" s="6">
        <v>13313.44</v>
      </c>
      <c r="T22" s="6">
        <v>34058.75</v>
      </c>
      <c r="U22" s="57">
        <v>44593</v>
      </c>
      <c r="V22" s="60">
        <f t="shared" si="0"/>
        <v>97.888841016803099</v>
      </c>
      <c r="W22" s="60">
        <f t="shared" si="1"/>
        <v>99.758603586590993</v>
      </c>
      <c r="X22" s="60">
        <f t="shared" si="2"/>
        <v>90.736252681854992</v>
      </c>
      <c r="Y22" s="60">
        <f t="shared" si="3"/>
        <v>97.139886856114458</v>
      </c>
    </row>
    <row r="23" spans="1:25" x14ac:dyDescent="0.25">
      <c r="A23" t="s">
        <v>21</v>
      </c>
      <c r="B23" t="s">
        <v>22</v>
      </c>
      <c r="C23" s="25"/>
      <c r="D23" s="5">
        <f>D22*$B$6</f>
        <v>54425000</v>
      </c>
      <c r="E23" s="30">
        <f t="shared" ref="E23:I23" si="5">E22*$B$6</f>
        <v>56057750</v>
      </c>
      <c r="F23" s="5">
        <f t="shared" si="5"/>
        <v>57739482.5</v>
      </c>
      <c r="G23" s="30">
        <f t="shared" si="5"/>
        <v>59471666.975000001</v>
      </c>
      <c r="H23" s="30">
        <f t="shared" si="5"/>
        <v>60661100.314500004</v>
      </c>
      <c r="I23" s="5">
        <f t="shared" si="5"/>
        <v>61874322.320790008</v>
      </c>
      <c r="P23" s="57">
        <v>44621</v>
      </c>
      <c r="Q23" s="6">
        <v>21.92</v>
      </c>
      <c r="R23" s="6">
        <v>4543.0600000000004</v>
      </c>
      <c r="S23" s="6">
        <v>14169.3</v>
      </c>
      <c r="T23" s="6">
        <v>34861.24</v>
      </c>
      <c r="U23" s="57">
        <v>44621</v>
      </c>
      <c r="V23" s="60">
        <f t="shared" si="0"/>
        <v>94.442050840155105</v>
      </c>
      <c r="W23" s="60">
        <f t="shared" si="1"/>
        <v>103.36271346860026</v>
      </c>
      <c r="X23" s="60">
        <f t="shared" si="2"/>
        <v>96.569270235567046</v>
      </c>
      <c r="Y23" s="60">
        <f t="shared" si="3"/>
        <v>99.428690403019814</v>
      </c>
    </row>
    <row r="24" spans="1:25" x14ac:dyDescent="0.25">
      <c r="A24" t="s">
        <v>23</v>
      </c>
      <c r="B24" t="s">
        <v>24</v>
      </c>
      <c r="C24" s="25"/>
      <c r="D24" s="5">
        <f>D22*(1-$B$6)</f>
        <v>163275000</v>
      </c>
      <c r="E24" s="5">
        <f t="shared" ref="E24:I24" si="6">E22*(1-$B$6)</f>
        <v>168173250</v>
      </c>
      <c r="F24" s="5">
        <f t="shared" si="6"/>
        <v>173218447.5</v>
      </c>
      <c r="G24" s="5">
        <f t="shared" si="6"/>
        <v>178415000.92500001</v>
      </c>
      <c r="H24" s="5">
        <f t="shared" si="6"/>
        <v>181983300.94350001</v>
      </c>
      <c r="I24" s="5">
        <f t="shared" si="6"/>
        <v>185622966.96237004</v>
      </c>
      <c r="P24" s="57">
        <v>44652</v>
      </c>
      <c r="Q24" s="6">
        <v>19.760000000000002</v>
      </c>
      <c r="R24" s="6">
        <v>4271.78</v>
      </c>
      <c r="S24" s="6">
        <v>12839.29</v>
      </c>
      <c r="T24" s="6">
        <v>33811.4</v>
      </c>
      <c r="U24" s="57">
        <v>44652</v>
      </c>
      <c r="V24" s="60">
        <f t="shared" si="0"/>
        <v>85.135717363205515</v>
      </c>
      <c r="W24" s="60">
        <f t="shared" si="1"/>
        <v>97.190609884284413</v>
      </c>
      <c r="X24" s="60">
        <f t="shared" si="2"/>
        <v>87.504736694318979</v>
      </c>
      <c r="Y24" s="60">
        <f t="shared" si="3"/>
        <v>96.434413196222067</v>
      </c>
    </row>
    <row r="25" spans="1:25" x14ac:dyDescent="0.25">
      <c r="A25" s="4" t="s">
        <v>25</v>
      </c>
      <c r="B25" s="8" t="s">
        <v>83</v>
      </c>
      <c r="C25" s="25">
        <v>0.08</v>
      </c>
      <c r="D25" s="12">
        <f>D21*$C$25</f>
        <v>174160000</v>
      </c>
      <c r="E25" s="12">
        <f t="shared" ref="E25:I25" si="7">E21*$C$25</f>
        <v>179384800</v>
      </c>
      <c r="F25" s="12">
        <f t="shared" si="7"/>
        <v>184766344</v>
      </c>
      <c r="G25" s="12">
        <f t="shared" si="7"/>
        <v>190309334.31999999</v>
      </c>
      <c r="H25" s="12">
        <f t="shared" si="7"/>
        <v>194115521.00639999</v>
      </c>
      <c r="I25" s="12">
        <f t="shared" si="7"/>
        <v>197997831.42652801</v>
      </c>
      <c r="P25" s="57">
        <v>44682</v>
      </c>
      <c r="Q25" s="6">
        <v>18.89</v>
      </c>
      <c r="R25" s="6">
        <v>4158.24</v>
      </c>
      <c r="S25" s="6">
        <v>11354.62</v>
      </c>
      <c r="T25" s="6">
        <v>33212.959999999999</v>
      </c>
      <c r="U25" s="57">
        <v>44682</v>
      </c>
      <c r="V25" s="60">
        <f t="shared" si="0"/>
        <v>81.387333046100821</v>
      </c>
      <c r="W25" s="60">
        <f t="shared" si="1"/>
        <v>94.607372487634393</v>
      </c>
      <c r="X25" s="60">
        <f t="shared" si="2"/>
        <v>77.386135320882076</v>
      </c>
      <c r="Y25" s="60">
        <f t="shared" si="3"/>
        <v>94.727586201979079</v>
      </c>
    </row>
    <row r="26" spans="1:25" x14ac:dyDescent="0.25">
      <c r="A26" t="s">
        <v>26</v>
      </c>
      <c r="B26" t="s">
        <v>84</v>
      </c>
      <c r="C26" s="25">
        <v>0.05</v>
      </c>
      <c r="D26" s="10">
        <f>D21*$C$26</f>
        <v>108850000</v>
      </c>
      <c r="E26" s="10">
        <f t="shared" ref="E26:I26" si="8">E21*$C$26</f>
        <v>112115500</v>
      </c>
      <c r="F26" s="10">
        <f t="shared" si="8"/>
        <v>115478965</v>
      </c>
      <c r="G26" s="10">
        <f t="shared" si="8"/>
        <v>118943333.95</v>
      </c>
      <c r="H26" s="10">
        <f t="shared" si="8"/>
        <v>121322200.62900001</v>
      </c>
      <c r="I26" s="10">
        <f t="shared" si="8"/>
        <v>123748644.64158002</v>
      </c>
      <c r="P26" s="57">
        <v>44713</v>
      </c>
      <c r="Q26" s="6">
        <v>19.36</v>
      </c>
      <c r="R26" s="6">
        <v>3911.74</v>
      </c>
      <c r="S26" s="6">
        <v>11127.85</v>
      </c>
      <c r="T26" s="6">
        <v>31097.26</v>
      </c>
      <c r="U26" s="57">
        <v>44713</v>
      </c>
      <c r="V26" s="60">
        <f t="shared" si="0"/>
        <v>83.412322274881518</v>
      </c>
      <c r="W26" s="60">
        <f t="shared" si="1"/>
        <v>88.999058076200271</v>
      </c>
      <c r="X26" s="60">
        <f t="shared" si="2"/>
        <v>75.840609895397435</v>
      </c>
      <c r="Y26" s="60">
        <f t="shared" si="3"/>
        <v>88.693340710835642</v>
      </c>
    </row>
    <row r="27" spans="1:25" x14ac:dyDescent="0.25">
      <c r="A27" t="s">
        <v>27</v>
      </c>
      <c r="B27" t="s">
        <v>121</v>
      </c>
      <c r="C27" s="71">
        <v>0</v>
      </c>
      <c r="D27" s="10">
        <f>D21*$C$27</f>
        <v>0</v>
      </c>
      <c r="E27" s="10">
        <f t="shared" ref="E27:I27" si="9">E21*$C$27</f>
        <v>0</v>
      </c>
      <c r="F27" s="10">
        <f t="shared" si="9"/>
        <v>0</v>
      </c>
      <c r="G27" s="10">
        <f t="shared" si="9"/>
        <v>0</v>
      </c>
      <c r="H27" s="10">
        <f t="shared" si="9"/>
        <v>0</v>
      </c>
      <c r="I27" s="10">
        <f t="shared" si="9"/>
        <v>0</v>
      </c>
      <c r="P27" s="57">
        <v>44743</v>
      </c>
      <c r="Q27" s="60">
        <v>21.03</v>
      </c>
      <c r="R27" s="6">
        <v>4130.29</v>
      </c>
      <c r="S27" s="6">
        <v>12390.69</v>
      </c>
      <c r="T27" s="6">
        <v>32845.129999999997</v>
      </c>
      <c r="U27" s="57">
        <v>44743</v>
      </c>
      <c r="V27" s="60">
        <f t="shared" si="0"/>
        <v>90.607496768634206</v>
      </c>
      <c r="W27" s="60">
        <f t="shared" si="1"/>
        <v>93.971460163903842</v>
      </c>
      <c r="X27" s="60">
        <f t="shared" si="2"/>
        <v>84.447353857645638</v>
      </c>
      <c r="Y27" s="60">
        <f t="shared" si="3"/>
        <v>93.678488258505382</v>
      </c>
    </row>
    <row r="28" spans="1:25" ht="30" x14ac:dyDescent="0.25">
      <c r="A28" s="8" t="s">
        <v>28</v>
      </c>
      <c r="B28" s="9" t="s">
        <v>29</v>
      </c>
      <c r="C28" s="18"/>
      <c r="D28" s="12">
        <f>D24+D25-D26-D27</f>
        <v>228585000</v>
      </c>
      <c r="E28" s="12">
        <f t="shared" ref="E28:I28" si="10">E24+E25-E26-E27</f>
        <v>235442550</v>
      </c>
      <c r="F28" s="12">
        <f t="shared" si="10"/>
        <v>242505826.5</v>
      </c>
      <c r="G28" s="12">
        <f t="shared" si="10"/>
        <v>249781001.29500002</v>
      </c>
      <c r="H28" s="12">
        <f t="shared" si="10"/>
        <v>254776621.32090002</v>
      </c>
      <c r="I28" s="12">
        <f t="shared" si="10"/>
        <v>259872153.747318</v>
      </c>
      <c r="P28" s="57">
        <v>44774</v>
      </c>
      <c r="Q28" s="6">
        <v>21.15</v>
      </c>
      <c r="R28" s="6">
        <v>3924.26</v>
      </c>
      <c r="S28" s="6">
        <v>12141.71</v>
      </c>
      <c r="T28" s="6">
        <v>31318.44</v>
      </c>
      <c r="U28" s="57">
        <v>44774</v>
      </c>
      <c r="V28" s="60">
        <f t="shared" si="0"/>
        <v>91.124515295131403</v>
      </c>
      <c r="W28" s="60">
        <f t="shared" si="1"/>
        <v>89.28391039437939</v>
      </c>
      <c r="X28" s="60">
        <f t="shared" si="2"/>
        <v>82.750458675579367</v>
      </c>
      <c r="Y28" s="60">
        <f t="shared" si="3"/>
        <v>89.324174202224356</v>
      </c>
    </row>
    <row r="29" spans="1:25" x14ac:dyDescent="0.25">
      <c r="A29" t="s">
        <v>35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57">
        <v>44805</v>
      </c>
      <c r="Q29" s="6">
        <v>19.07</v>
      </c>
      <c r="R29" s="6">
        <v>3585.62</v>
      </c>
      <c r="S29" s="6">
        <v>10867.93</v>
      </c>
      <c r="T29" s="6">
        <v>30822.42</v>
      </c>
      <c r="U29" s="57">
        <v>44805</v>
      </c>
      <c r="V29" s="60">
        <f t="shared" si="0"/>
        <v>82.162860835846615</v>
      </c>
      <c r="W29" s="60">
        <f t="shared" si="1"/>
        <v>81.579246733981606</v>
      </c>
      <c r="X29" s="60">
        <f t="shared" si="2"/>
        <v>74.069154373979401</v>
      </c>
      <c r="Y29" s="60">
        <f t="shared" si="3"/>
        <v>87.90946207455174</v>
      </c>
    </row>
    <row r="30" spans="1:25" x14ac:dyDescent="0.25">
      <c r="A30" t="s">
        <v>36</v>
      </c>
      <c r="C30" s="13">
        <f>-G39</f>
        <v>-5535580000</v>
      </c>
      <c r="D30" s="5">
        <f>D28</f>
        <v>228585000</v>
      </c>
      <c r="E30" s="5">
        <f t="shared" ref="E30:I30" si="11">E28</f>
        <v>235442550</v>
      </c>
      <c r="F30" s="5">
        <f t="shared" si="11"/>
        <v>242505826.5</v>
      </c>
      <c r="G30" s="5">
        <f t="shared" si="11"/>
        <v>249781001.29500002</v>
      </c>
      <c r="H30" s="5">
        <f t="shared" si="11"/>
        <v>254776621.32090002</v>
      </c>
      <c r="I30" s="5">
        <f t="shared" si="11"/>
        <v>259872153.747318</v>
      </c>
      <c r="J30" s="13">
        <f>I28+M22</f>
        <v>17251721206.579769</v>
      </c>
      <c r="K30" t="s">
        <v>38</v>
      </c>
      <c r="P30" s="57">
        <v>44835</v>
      </c>
      <c r="Q30" s="6">
        <v>20.97</v>
      </c>
      <c r="R30" s="6">
        <v>3901.06</v>
      </c>
      <c r="S30" s="6">
        <v>11102.45</v>
      </c>
      <c r="T30" s="6">
        <v>32861.800000000003</v>
      </c>
      <c r="U30" s="57">
        <v>44835</v>
      </c>
      <c r="V30" s="60">
        <f t="shared" si="0"/>
        <v>90.348987505385608</v>
      </c>
      <c r="W30" s="60">
        <f t="shared" si="1"/>
        <v>88.756069038009116</v>
      </c>
      <c r="X30" s="60">
        <f t="shared" si="2"/>
        <v>75.667499052661142</v>
      </c>
      <c r="Y30" s="60">
        <f t="shared" si="3"/>
        <v>93.726033218725362</v>
      </c>
    </row>
    <row r="31" spans="1:25" x14ac:dyDescent="0.25">
      <c r="A31" t="s">
        <v>37</v>
      </c>
      <c r="D31" s="6">
        <f>1/(1+$B$7)^D29</f>
        <v>0.98313637076755545</v>
      </c>
      <c r="E31" s="6">
        <f t="shared" ref="E31:I31" si="12">1/(1+$B$7)^E29</f>
        <v>0.95025746256287991</v>
      </c>
      <c r="F31" s="6">
        <f t="shared" si="12"/>
        <v>0.91847811962389325</v>
      </c>
      <c r="G31" s="6">
        <f t="shared" si="12"/>
        <v>0.88776156932523997</v>
      </c>
      <c r="H31" s="6">
        <f t="shared" si="12"/>
        <v>0.85807226882393195</v>
      </c>
      <c r="I31" s="6">
        <f t="shared" si="12"/>
        <v>0.84360205622784268</v>
      </c>
      <c r="J31" t="s">
        <v>39</v>
      </c>
      <c r="P31" s="57">
        <v>44866</v>
      </c>
      <c r="Q31" s="6">
        <v>23.01</v>
      </c>
      <c r="R31" s="6">
        <v>4026.12</v>
      </c>
      <c r="S31" s="6">
        <v>11226.36</v>
      </c>
      <c r="T31" s="6">
        <v>34429.879999999997</v>
      </c>
      <c r="U31" s="57">
        <v>44866</v>
      </c>
      <c r="V31" s="60">
        <f t="shared" si="0"/>
        <v>99.138302455838001</v>
      </c>
      <c r="W31" s="60">
        <f t="shared" si="1"/>
        <v>91.601406970236113</v>
      </c>
      <c r="X31" s="60">
        <f t="shared" si="2"/>
        <v>76.511993718938882</v>
      </c>
      <c r="Y31" s="60">
        <f t="shared" si="3"/>
        <v>98.198396819307746</v>
      </c>
    </row>
    <row r="32" spans="1:25" x14ac:dyDescent="0.25">
      <c r="A32" t="s">
        <v>40</v>
      </c>
      <c r="C32" s="13">
        <f>-G39</f>
        <v>-5535580000</v>
      </c>
      <c r="D32" s="5">
        <f>D30*D31</f>
        <v>224730227.31190166</v>
      </c>
      <c r="E32" s="5">
        <f t="shared" ref="E32:I32" si="13">E30*E31</f>
        <v>223731040.14233398</v>
      </c>
      <c r="F32" s="5">
        <f t="shared" si="13"/>
        <v>222736295.52155811</v>
      </c>
      <c r="G32" s="5">
        <f t="shared" si="13"/>
        <v>221745973.69727901</v>
      </c>
      <c r="H32" s="5">
        <f t="shared" si="13"/>
        <v>218616753.50012043</v>
      </c>
      <c r="I32" s="5">
        <f t="shared" si="13"/>
        <v>219228683.25759554</v>
      </c>
      <c r="J32" s="14">
        <f>M22</f>
        <v>16991849052.832451</v>
      </c>
      <c r="P32" s="57">
        <v>44896</v>
      </c>
      <c r="Q32" s="6">
        <v>22.63</v>
      </c>
      <c r="R32" s="6">
        <v>3839.5</v>
      </c>
      <c r="S32" s="6">
        <v>10466.48</v>
      </c>
      <c r="T32" s="6">
        <v>33203.93</v>
      </c>
      <c r="U32" s="57">
        <v>44896</v>
      </c>
      <c r="V32" s="60">
        <f t="shared" si="0"/>
        <v>97.501077121930194</v>
      </c>
      <c r="W32" s="60">
        <f t="shared" si="1"/>
        <v>87.355469301019724</v>
      </c>
      <c r="X32" s="60">
        <f t="shared" si="2"/>
        <v>71.333117058369695</v>
      </c>
      <c r="Y32" s="60">
        <f t="shared" si="3"/>
        <v>94.701831493473605</v>
      </c>
    </row>
    <row r="33" spans="1:25" x14ac:dyDescent="0.25">
      <c r="A33" t="s">
        <v>56</v>
      </c>
      <c r="C33" s="29">
        <v>-5536</v>
      </c>
      <c r="D33" s="45">
        <v>225</v>
      </c>
      <c r="E33" s="24">
        <v>224</v>
      </c>
      <c r="F33" s="24">
        <v>223</v>
      </c>
      <c r="G33" s="24">
        <v>222</v>
      </c>
      <c r="H33" s="24">
        <v>219</v>
      </c>
      <c r="I33" s="24">
        <v>219</v>
      </c>
      <c r="J33" s="24">
        <v>16992</v>
      </c>
      <c r="P33" s="57">
        <v>44927</v>
      </c>
      <c r="Q33" s="6">
        <v>22.28</v>
      </c>
      <c r="R33" s="6">
        <v>4070.56</v>
      </c>
      <c r="S33" s="6">
        <v>11140.43</v>
      </c>
      <c r="T33" s="6">
        <v>33375.49</v>
      </c>
      <c r="U33" s="57">
        <v>44927</v>
      </c>
      <c r="V33" s="60">
        <f t="shared" si="0"/>
        <v>95.993106419646708</v>
      </c>
      <c r="W33" s="60">
        <f t="shared" si="1"/>
        <v>92.61249618907641</v>
      </c>
      <c r="X33" s="60">
        <f t="shared" si="2"/>
        <v>75.92634747026446</v>
      </c>
      <c r="Y33" s="60">
        <f t="shared" si="3"/>
        <v>95.19114243380568</v>
      </c>
    </row>
    <row r="34" spans="1:25" x14ac:dyDescent="0.25">
      <c r="P34" s="57">
        <v>44958</v>
      </c>
      <c r="Q34" s="6">
        <v>22.5</v>
      </c>
      <c r="R34" s="6">
        <v>4045.64</v>
      </c>
      <c r="S34" s="6">
        <v>11689.01</v>
      </c>
      <c r="T34" s="6">
        <v>32816.92</v>
      </c>
      <c r="U34" s="57">
        <v>44958</v>
      </c>
      <c r="V34" s="60">
        <f t="shared" si="0"/>
        <v>96.940973718224896</v>
      </c>
      <c r="W34" s="60">
        <f t="shared" si="1"/>
        <v>92.045521766630415</v>
      </c>
      <c r="X34" s="60">
        <f t="shared" si="2"/>
        <v>79.665132750117905</v>
      </c>
      <c r="Y34" s="60">
        <f t="shared" si="3"/>
        <v>93.598029750538686</v>
      </c>
    </row>
    <row r="35" spans="1:25" x14ac:dyDescent="0.25">
      <c r="A35" s="3" t="s">
        <v>41</v>
      </c>
      <c r="F35" s="3" t="s">
        <v>31</v>
      </c>
      <c r="P35" s="57">
        <v>44986</v>
      </c>
      <c r="Q35" s="6">
        <v>21.02</v>
      </c>
      <c r="R35" s="6">
        <v>3970.99</v>
      </c>
      <c r="S35" s="6">
        <v>11823.96</v>
      </c>
      <c r="T35" s="6">
        <v>33274.15</v>
      </c>
      <c r="U35" s="57">
        <v>44986</v>
      </c>
      <c r="V35" s="60">
        <f t="shared" si="0"/>
        <v>90.564411891426104</v>
      </c>
      <c r="W35" s="60">
        <f t="shared" si="1"/>
        <v>90.347101195378642</v>
      </c>
      <c r="X35" s="60">
        <f t="shared" si="2"/>
        <v>80.584869294498347</v>
      </c>
      <c r="Y35" s="60">
        <f t="shared" si="3"/>
        <v>94.902107864598108</v>
      </c>
    </row>
    <row r="36" spans="1:25" x14ac:dyDescent="0.25">
      <c r="A36" s="13" t="s">
        <v>42</v>
      </c>
      <c r="B36" s="17">
        <f>SUM(D32:I32)</f>
        <v>1330788973.4307888</v>
      </c>
      <c r="C36" t="s">
        <v>45</v>
      </c>
      <c r="F36" t="s">
        <v>33</v>
      </c>
      <c r="G36" s="15">
        <f>B13*B12</f>
        <v>1714320000</v>
      </c>
      <c r="H36" t="s">
        <v>34</v>
      </c>
      <c r="L36" s="3" t="s">
        <v>51</v>
      </c>
      <c r="P36" s="57">
        <v>45017</v>
      </c>
      <c r="Q36" s="6">
        <v>22.66</v>
      </c>
      <c r="R36" s="6">
        <v>4133.5200000000004</v>
      </c>
      <c r="S36" s="6">
        <v>12072.46</v>
      </c>
      <c r="T36" s="6">
        <v>33808.959999999999</v>
      </c>
      <c r="U36" s="57">
        <v>45017</v>
      </c>
      <c r="V36" s="60">
        <f t="shared" si="0"/>
        <v>97.630331753554501</v>
      </c>
      <c r="W36" s="60">
        <f t="shared" si="1"/>
        <v>94.044948421708852</v>
      </c>
      <c r="X36" s="60">
        <f t="shared" si="2"/>
        <v>82.278493090560133</v>
      </c>
      <c r="Y36" s="60">
        <f t="shared" si="3"/>
        <v>96.427454005883931</v>
      </c>
    </row>
    <row r="37" spans="1:25" x14ac:dyDescent="0.25">
      <c r="A37" t="s">
        <v>11</v>
      </c>
      <c r="B37" s="19">
        <f>B15</f>
        <v>298740000</v>
      </c>
      <c r="F37" t="s">
        <v>10</v>
      </c>
      <c r="G37" s="14">
        <f>B14</f>
        <v>4120000000</v>
      </c>
      <c r="L37" t="s">
        <v>52</v>
      </c>
      <c r="M37" s="21">
        <f>(B40/B12)-1</f>
        <v>3.229484001313419</v>
      </c>
      <c r="P37" s="57">
        <v>45047</v>
      </c>
      <c r="Q37" s="6">
        <v>22.75</v>
      </c>
      <c r="R37" s="6">
        <v>4282.37</v>
      </c>
      <c r="S37" s="6">
        <v>13240.77</v>
      </c>
      <c r="T37" s="6">
        <v>33093.339999999997</v>
      </c>
      <c r="U37" s="57">
        <v>45047</v>
      </c>
      <c r="V37" s="60">
        <f t="shared" si="0"/>
        <v>98.018095648427391</v>
      </c>
      <c r="W37" s="60">
        <f t="shared" si="1"/>
        <v>97.431551262041367</v>
      </c>
      <c r="X37" s="60">
        <f t="shared" si="2"/>
        <v>90.24097847155393</v>
      </c>
      <c r="Y37" s="60">
        <f t="shared" si="3"/>
        <v>94.386414747779241</v>
      </c>
    </row>
    <row r="38" spans="1:25" x14ac:dyDescent="0.25">
      <c r="A38" t="s">
        <v>10</v>
      </c>
      <c r="B38" s="19">
        <f>B14</f>
        <v>4120000000</v>
      </c>
      <c r="C38" s="3"/>
      <c r="F38" t="s">
        <v>11</v>
      </c>
      <c r="G38" s="14">
        <f>B15</f>
        <v>298740000</v>
      </c>
      <c r="L38" t="s">
        <v>53</v>
      </c>
      <c r="M38" s="23">
        <f>IRR(C33:J33)</f>
        <v>0.19820240864616601</v>
      </c>
      <c r="N38" t="s">
        <v>57</v>
      </c>
      <c r="P38" s="57">
        <v>45078</v>
      </c>
      <c r="Q38" s="6">
        <v>21.75</v>
      </c>
      <c r="R38" s="6">
        <v>4450.38</v>
      </c>
      <c r="S38" s="6">
        <v>13492.52</v>
      </c>
      <c r="T38" s="6">
        <v>33727.43</v>
      </c>
      <c r="U38" s="57">
        <v>45078</v>
      </c>
      <c r="V38" s="60">
        <f t="shared" si="0"/>
        <v>93.709607927617398</v>
      </c>
      <c r="W38" s="60">
        <f t="shared" si="1"/>
        <v>101.25407825703144</v>
      </c>
      <c r="X38" s="60">
        <f t="shared" si="2"/>
        <v>91.956752277020968</v>
      </c>
      <c r="Y38" s="60">
        <f t="shared" si="3"/>
        <v>96.194920076265873</v>
      </c>
    </row>
    <row r="39" spans="1:25" x14ac:dyDescent="0.25">
      <c r="A39" t="s">
        <v>44</v>
      </c>
      <c r="B39" s="17">
        <f>(((B36+B37)-B38)+(M22))/2</f>
        <v>7250689013.1316204</v>
      </c>
      <c r="C39" t="s">
        <v>75</v>
      </c>
      <c r="F39" t="s">
        <v>30</v>
      </c>
      <c r="G39" s="13">
        <f>G36+G37-G38</f>
        <v>5535580000</v>
      </c>
      <c r="H39" t="s">
        <v>32</v>
      </c>
      <c r="P39" s="57">
        <v>45108</v>
      </c>
      <c r="Q39" s="6">
        <v>21.59</v>
      </c>
      <c r="R39" s="6">
        <v>4582.2299999999996</v>
      </c>
      <c r="S39" s="6">
        <v>14032.81</v>
      </c>
      <c r="T39" s="6">
        <v>35065.620000000003</v>
      </c>
      <c r="U39" s="57">
        <v>45108</v>
      </c>
      <c r="V39" s="60">
        <f t="shared" si="0"/>
        <v>93.020249892287794</v>
      </c>
      <c r="W39" s="60">
        <f t="shared" si="1"/>
        <v>104.25390079312713</v>
      </c>
      <c r="X39" s="60">
        <f t="shared" si="2"/>
        <v>95.639037994422281</v>
      </c>
      <c r="Y39" s="60">
        <f t="shared" si="3"/>
        <v>100.01160815765418</v>
      </c>
    </row>
    <row r="40" spans="1:25" x14ac:dyDescent="0.25">
      <c r="A40" t="s">
        <v>72</v>
      </c>
      <c r="B40" s="20">
        <f>B39/B13</f>
        <v>38.065356011820768</v>
      </c>
      <c r="C40" t="s">
        <v>76</v>
      </c>
      <c r="F40" t="s">
        <v>48</v>
      </c>
      <c r="G40" s="16">
        <f>G39/B13</f>
        <v>29.061213775724486</v>
      </c>
      <c r="H40" t="s">
        <v>49</v>
      </c>
      <c r="L40" s="47" t="s">
        <v>86</v>
      </c>
      <c r="M40" s="48"/>
      <c r="P40" s="57">
        <v>45139</v>
      </c>
      <c r="Q40" s="6">
        <v>20.18</v>
      </c>
      <c r="R40" s="6">
        <v>4515.7700000000004</v>
      </c>
      <c r="S40" s="6">
        <v>13590.65</v>
      </c>
      <c r="T40" s="6">
        <v>34837.71</v>
      </c>
      <c r="U40" s="57">
        <v>45139</v>
      </c>
      <c r="V40" s="60">
        <f t="shared" si="0"/>
        <v>86.945282205945702</v>
      </c>
      <c r="W40" s="60">
        <f t="shared" si="1"/>
        <v>102.74181732138715</v>
      </c>
      <c r="X40" s="60">
        <f t="shared" si="2"/>
        <v>92.625546253308869</v>
      </c>
      <c r="Y40" s="60">
        <f t="shared" si="3"/>
        <v>99.361579850291832</v>
      </c>
    </row>
    <row r="41" spans="1:25" x14ac:dyDescent="0.25">
      <c r="A41" t="s">
        <v>46</v>
      </c>
      <c r="B41" s="22">
        <f>(B40/B12)-1</f>
        <v>3.229484001313419</v>
      </c>
      <c r="C41" t="s">
        <v>47</v>
      </c>
      <c r="F41" t="s">
        <v>46</v>
      </c>
      <c r="G41" s="21">
        <f>(G40/B12)-1</f>
        <v>2.2290237528582764</v>
      </c>
      <c r="H41" t="s">
        <v>50</v>
      </c>
      <c r="L41" s="49" t="s">
        <v>41</v>
      </c>
      <c r="M41" s="50">
        <f>B40</f>
        <v>38.065356011820768</v>
      </c>
      <c r="P41" s="57">
        <v>45170</v>
      </c>
      <c r="Q41" s="6">
        <v>20.41</v>
      </c>
      <c r="R41" s="6">
        <v>4320.0600000000004</v>
      </c>
      <c r="S41" s="6">
        <v>13211.81</v>
      </c>
      <c r="T41" s="6">
        <v>33507.5</v>
      </c>
      <c r="U41" s="57">
        <v>45170</v>
      </c>
      <c r="V41" s="60">
        <f t="shared" si="0"/>
        <v>87.936234381732021</v>
      </c>
      <c r="W41" s="60">
        <f t="shared" si="1"/>
        <v>98.289065948317059</v>
      </c>
      <c r="X41" s="60">
        <f t="shared" si="2"/>
        <v>90.04360484928452</v>
      </c>
      <c r="Y41" s="60">
        <f t="shared" si="3"/>
        <v>95.567651743861859</v>
      </c>
    </row>
    <row r="42" spans="1:25" x14ac:dyDescent="0.25">
      <c r="L42" s="49" t="s">
        <v>8</v>
      </c>
      <c r="M42" s="50">
        <f>B12</f>
        <v>9</v>
      </c>
      <c r="P42" s="57">
        <v>45200</v>
      </c>
      <c r="Q42" s="6">
        <v>19.03</v>
      </c>
      <c r="R42" s="6">
        <v>4117.37</v>
      </c>
      <c r="S42" s="6">
        <v>12643.01</v>
      </c>
      <c r="T42" s="6">
        <v>34061.32</v>
      </c>
      <c r="U42" s="57">
        <v>45200</v>
      </c>
      <c r="V42" s="60">
        <f t="shared" si="0"/>
        <v>81.990521327014221</v>
      </c>
      <c r="W42" s="60">
        <f t="shared" si="1"/>
        <v>93.677507132683829</v>
      </c>
      <c r="X42" s="60">
        <f t="shared" si="2"/>
        <v>86.16701243399298</v>
      </c>
      <c r="Y42" s="60">
        <f t="shared" si="3"/>
        <v>97.147216822986991</v>
      </c>
    </row>
    <row r="43" spans="1:25" x14ac:dyDescent="0.25">
      <c r="L43" s="49" t="s">
        <v>93</v>
      </c>
      <c r="M43" s="54">
        <f>(B40-B12)</f>
        <v>29.065356011820768</v>
      </c>
      <c r="P43" s="57">
        <v>45231</v>
      </c>
      <c r="Q43" s="6">
        <v>19.54</v>
      </c>
      <c r="R43" s="6">
        <v>4559.34</v>
      </c>
      <c r="S43" s="6">
        <v>14250.85</v>
      </c>
      <c r="T43" s="6">
        <v>36245.5</v>
      </c>
      <c r="U43" s="57">
        <v>45231</v>
      </c>
      <c r="V43" s="60">
        <f t="shared" si="0"/>
        <v>84.187850064627312</v>
      </c>
      <c r="W43" s="60">
        <f t="shared" si="1"/>
        <v>103.73311248936355</v>
      </c>
      <c r="X43" s="60">
        <f t="shared" si="2"/>
        <v>97.125065086950713</v>
      </c>
      <c r="Y43" s="60">
        <f t="shared" si="3"/>
        <v>103.37677598394821</v>
      </c>
    </row>
    <row r="44" spans="1:25" x14ac:dyDescent="0.25">
      <c r="L44" s="49" t="s">
        <v>94</v>
      </c>
      <c r="M44" s="55">
        <f>((B40-B12)/(B12))</f>
        <v>3.2294840013134185</v>
      </c>
      <c r="P44" s="57">
        <v>45261</v>
      </c>
      <c r="Q44" s="6">
        <v>19.79</v>
      </c>
      <c r="R44" s="6">
        <v>4769.83</v>
      </c>
      <c r="S44" s="6">
        <v>14992.97</v>
      </c>
      <c r="T44" s="6">
        <v>37689.54</v>
      </c>
      <c r="U44" s="57">
        <v>45261</v>
      </c>
      <c r="V44" s="60">
        <f t="shared" si="0"/>
        <v>85.264971994829807</v>
      </c>
      <c r="W44" s="60">
        <f t="shared" si="1"/>
        <v>108.52213520929364</v>
      </c>
      <c r="X44" s="60">
        <f t="shared" si="2"/>
        <v>102.18290046535465</v>
      </c>
      <c r="Y44" s="60">
        <f t="shared" si="3"/>
        <v>107.4953617281609</v>
      </c>
    </row>
    <row r="45" spans="1:25" x14ac:dyDescent="0.25">
      <c r="L45" s="52"/>
      <c r="M45" s="51"/>
      <c r="P45" s="57">
        <v>45292</v>
      </c>
      <c r="Q45" s="6">
        <v>19.07</v>
      </c>
      <c r="R45" s="6">
        <v>4958.6099999999997</v>
      </c>
      <c r="S45" s="6">
        <v>15628.95</v>
      </c>
      <c r="T45" s="6">
        <v>38109.43</v>
      </c>
      <c r="U45" s="57">
        <v>45292</v>
      </c>
      <c r="V45" s="60">
        <f t="shared" si="0"/>
        <v>82.162860835846615</v>
      </c>
      <c r="W45" s="60">
        <f t="shared" si="1"/>
        <v>112.8172167289307</v>
      </c>
      <c r="X45" s="60">
        <f t="shared" si="2"/>
        <v>106.51735061352119</v>
      </c>
      <c r="Y45" s="60">
        <f t="shared" si="3"/>
        <v>108.69294141302936</v>
      </c>
    </row>
    <row r="46" spans="1:25" x14ac:dyDescent="0.25">
      <c r="L46" s="52" t="s">
        <v>54</v>
      </c>
      <c r="M46" s="50"/>
      <c r="P46" s="57">
        <v>45323</v>
      </c>
      <c r="Q46" s="6">
        <v>18.43</v>
      </c>
      <c r="R46" s="6">
        <v>5137.08</v>
      </c>
      <c r="S46" s="6">
        <v>16274.94</v>
      </c>
      <c r="T46" s="6">
        <v>39087.379999999997</v>
      </c>
      <c r="U46" s="57">
        <v>45323</v>
      </c>
      <c r="V46" s="60">
        <f t="shared" si="0"/>
        <v>79.405428694528212</v>
      </c>
      <c r="W46" s="60">
        <f t="shared" si="1"/>
        <v>116.87772736993942</v>
      </c>
      <c r="X46" s="60">
        <f t="shared" si="2"/>
        <v>110.92002279065582</v>
      </c>
      <c r="Y46" s="60">
        <f t="shared" si="3"/>
        <v>111.48217919629906</v>
      </c>
    </row>
    <row r="47" spans="1:25" x14ac:dyDescent="0.25">
      <c r="L47" s="49" t="s">
        <v>41</v>
      </c>
      <c r="M47" s="50">
        <f>B40</f>
        <v>38.065356011820768</v>
      </c>
      <c r="P47" s="57">
        <v>45352</v>
      </c>
      <c r="Q47" s="6">
        <v>18.57</v>
      </c>
      <c r="R47" s="6">
        <v>5234.18</v>
      </c>
      <c r="S47" s="6">
        <v>16428.82</v>
      </c>
      <c r="T47" s="6">
        <v>39807.370000000003</v>
      </c>
      <c r="U47" s="57">
        <v>45352</v>
      </c>
      <c r="V47" s="60">
        <f t="shared" si="0"/>
        <v>80.008616975441612</v>
      </c>
      <c r="W47" s="60">
        <f t="shared" si="1"/>
        <v>119.08692546060983</v>
      </c>
      <c r="X47" s="60">
        <f t="shared" si="2"/>
        <v>111.96877462058737</v>
      </c>
      <c r="Y47" s="60">
        <f t="shared" si="3"/>
        <v>113.53568225021426</v>
      </c>
    </row>
    <row r="48" spans="1:25" x14ac:dyDescent="0.25">
      <c r="L48" s="49" t="s">
        <v>31</v>
      </c>
      <c r="M48" s="50">
        <f>G40</f>
        <v>29.061213775724486</v>
      </c>
      <c r="P48" s="57">
        <v>45383</v>
      </c>
      <c r="Q48" s="6">
        <v>20.14</v>
      </c>
      <c r="R48" s="6">
        <v>4967.2299999999996</v>
      </c>
      <c r="S48" s="6">
        <v>15282.01</v>
      </c>
      <c r="T48" s="6">
        <v>37986.400000000001</v>
      </c>
      <c r="U48" s="57">
        <v>45383</v>
      </c>
      <c r="V48" s="60">
        <f t="shared" si="0"/>
        <v>86.772942697113308</v>
      </c>
      <c r="W48" s="60">
        <f t="shared" si="1"/>
        <v>113.01333709496137</v>
      </c>
      <c r="X48" s="60">
        <f t="shared" si="2"/>
        <v>104.15282007104361</v>
      </c>
      <c r="Y48" s="60">
        <f t="shared" si="3"/>
        <v>108.34204420511928</v>
      </c>
    </row>
    <row r="49" spans="12:25" x14ac:dyDescent="0.25">
      <c r="L49" s="49" t="s">
        <v>93</v>
      </c>
      <c r="M49" s="50">
        <f>-(G40-B40)</f>
        <v>9.0041422360962819</v>
      </c>
      <c r="P49" s="57">
        <v>45413</v>
      </c>
      <c r="Q49" s="6">
        <v>18.39</v>
      </c>
      <c r="R49" s="6">
        <v>5277.51</v>
      </c>
      <c r="S49" s="6">
        <v>16735.02</v>
      </c>
      <c r="T49" s="6">
        <v>38686.32</v>
      </c>
      <c r="U49" s="57">
        <v>45413</v>
      </c>
      <c r="V49" s="60">
        <f t="shared" si="0"/>
        <v>79.233089185695817</v>
      </c>
      <c r="W49" s="60">
        <f t="shared" si="1"/>
        <v>120.07276020076172</v>
      </c>
      <c r="X49" s="60">
        <f t="shared" si="2"/>
        <v>114.05564627593596</v>
      </c>
      <c r="Y49" s="60">
        <f t="shared" si="3"/>
        <v>110.33830506637612</v>
      </c>
    </row>
    <row r="50" spans="12:25" x14ac:dyDescent="0.25">
      <c r="L50" s="53" t="s">
        <v>94</v>
      </c>
      <c r="M50" s="56">
        <f>((B40-G40)/(G40))</f>
        <v>0.30983366027256759</v>
      </c>
      <c r="P50" s="57">
        <v>45444</v>
      </c>
      <c r="Q50" s="6">
        <v>16.670000000000002</v>
      </c>
      <c r="R50" s="6">
        <v>5464.62</v>
      </c>
      <c r="S50" s="6">
        <v>17689.36</v>
      </c>
      <c r="T50" s="6">
        <v>39150.33</v>
      </c>
      <c r="U50" s="57">
        <v>45444</v>
      </c>
      <c r="V50" s="60">
        <f t="shared" si="0"/>
        <v>71.822490305902633</v>
      </c>
      <c r="W50" s="60">
        <f t="shared" si="1"/>
        <v>124.32984624345316</v>
      </c>
      <c r="X50" s="60">
        <f t="shared" si="2"/>
        <v>120.55984319156418</v>
      </c>
      <c r="Y50" s="60">
        <f t="shared" si="3"/>
        <v>111.66172060276855</v>
      </c>
    </row>
    <row r="51" spans="12:25" x14ac:dyDescent="0.25">
      <c r="P51" s="57">
        <v>45474</v>
      </c>
      <c r="Q51" s="6">
        <v>16.88</v>
      </c>
      <c r="R51" s="6">
        <v>5459.1</v>
      </c>
      <c r="S51" s="6">
        <v>17357.88</v>
      </c>
      <c r="T51" s="6">
        <v>40287.53</v>
      </c>
      <c r="U51" s="57">
        <v>45474</v>
      </c>
      <c r="V51" s="60">
        <f t="shared" si="0"/>
        <v>72.72727272727272</v>
      </c>
      <c r="W51" s="60">
        <f t="shared" si="1"/>
        <v>124.20425640348923</v>
      </c>
      <c r="X51" s="60">
        <f t="shared" si="2"/>
        <v>118.30067853998042</v>
      </c>
      <c r="Y51" s="60">
        <f t="shared" si="3"/>
        <v>114.90515964068902</v>
      </c>
    </row>
    <row r="52" spans="12:25" x14ac:dyDescent="0.25">
      <c r="P52" s="57">
        <v>45505</v>
      </c>
      <c r="Q52" s="6">
        <v>16.920000000000002</v>
      </c>
      <c r="R52" s="6">
        <v>5648.4</v>
      </c>
      <c r="S52" s="6">
        <v>17877.79</v>
      </c>
      <c r="T52" s="6">
        <v>41175.08</v>
      </c>
      <c r="U52" s="57">
        <v>45505</v>
      </c>
      <c r="V52" s="60">
        <f t="shared" si="0"/>
        <v>72.899612236105128</v>
      </c>
      <c r="W52" s="60">
        <f t="shared" si="1"/>
        <v>128.51116885007937</v>
      </c>
      <c r="X52" s="60">
        <f t="shared" si="2"/>
        <v>121.84406665994216</v>
      </c>
      <c r="Y52" s="60">
        <f t="shared" si="3"/>
        <v>117.43656512618523</v>
      </c>
    </row>
    <row r="53" spans="12:25" x14ac:dyDescent="0.25">
      <c r="P53" s="57">
        <v>45536</v>
      </c>
      <c r="Q53" s="6">
        <v>17.440000000000001</v>
      </c>
      <c r="R53" s="6">
        <v>5751.07</v>
      </c>
      <c r="S53" s="6">
        <v>18137.849999999999</v>
      </c>
      <c r="T53" s="6">
        <v>42313</v>
      </c>
      <c r="U53" s="57">
        <v>45536</v>
      </c>
      <c r="V53" s="60">
        <f t="shared" si="0"/>
        <v>75.140025850926335</v>
      </c>
      <c r="W53" s="60">
        <f t="shared" si="1"/>
        <v>130.84709436984389</v>
      </c>
      <c r="X53" s="60">
        <f t="shared" si="2"/>
        <v>123.61647633561148</v>
      </c>
      <c r="Y53" s="60">
        <f t="shared" si="3"/>
        <v>120.68205769568088</v>
      </c>
    </row>
    <row r="54" spans="12:25" x14ac:dyDescent="0.25">
      <c r="P54" s="57">
        <v>45566</v>
      </c>
      <c r="Q54" s="6">
        <v>19.54</v>
      </c>
      <c r="R54" s="6">
        <v>5728.8</v>
      </c>
      <c r="S54" s="6">
        <v>18518.61</v>
      </c>
      <c r="T54" s="6">
        <v>42052.19</v>
      </c>
      <c r="U54" s="57">
        <v>45566</v>
      </c>
      <c r="V54" s="60">
        <f t="shared" si="0"/>
        <v>84.187850064627312</v>
      </c>
      <c r="W54" s="60">
        <f t="shared" si="1"/>
        <v>130.34041217129362</v>
      </c>
      <c r="X54" s="60">
        <f t="shared" si="2"/>
        <v>126.21150328365371</v>
      </c>
      <c r="Y54" s="60">
        <f t="shared" si="3"/>
        <v>119.93819440384124</v>
      </c>
    </row>
    <row r="55" spans="12:25" x14ac:dyDescent="0.25">
      <c r="P55" s="57">
        <v>45597</v>
      </c>
      <c r="Q55" s="6">
        <v>18.36</v>
      </c>
      <c r="R55" s="6">
        <v>5969.34</v>
      </c>
      <c r="S55" s="6">
        <v>19003.650000000001</v>
      </c>
      <c r="T55" s="6">
        <v>44296.51</v>
      </c>
      <c r="U55" s="57">
        <v>45597</v>
      </c>
      <c r="V55" s="60">
        <f t="shared" si="0"/>
        <v>79.103834554071511</v>
      </c>
      <c r="W55" s="60">
        <f t="shared" si="1"/>
        <v>135.81312595841882</v>
      </c>
      <c r="X55" s="60">
        <f t="shared" si="2"/>
        <v>129.51723884116603</v>
      </c>
      <c r="Y55" s="60">
        <f t="shared" si="3"/>
        <v>126.33928049387433</v>
      </c>
    </row>
    <row r="56" spans="12:25" x14ac:dyDescent="0.25">
      <c r="P56" s="57">
        <v>45627</v>
      </c>
      <c r="Q56" s="6">
        <v>16.5</v>
      </c>
      <c r="R56" s="6">
        <v>5942.47</v>
      </c>
      <c r="S56" s="6">
        <v>19722.03</v>
      </c>
      <c r="T56" s="6">
        <v>42840.26</v>
      </c>
      <c r="U56" s="57">
        <v>45627</v>
      </c>
      <c r="V56" s="60">
        <f t="shared" si="0"/>
        <v>71.090047393364927</v>
      </c>
      <c r="W56" s="60">
        <f t="shared" si="1"/>
        <v>135.20178555989861</v>
      </c>
      <c r="X56" s="60">
        <f t="shared" si="2"/>
        <v>134.41327692009912</v>
      </c>
      <c r="Y56" s="60">
        <f t="shared" si="3"/>
        <v>122.18587027669912</v>
      </c>
    </row>
    <row r="57" spans="12:25" x14ac:dyDescent="0.25">
      <c r="P57" s="57">
        <v>45658</v>
      </c>
      <c r="Q57" s="6">
        <v>14.6</v>
      </c>
      <c r="R57" s="6">
        <v>6040.53</v>
      </c>
      <c r="S57" s="6">
        <v>19627.439999999999</v>
      </c>
      <c r="T57" s="6">
        <v>44424.25</v>
      </c>
      <c r="U57" s="57">
        <v>45658</v>
      </c>
      <c r="V57" s="60">
        <f t="shared" si="0"/>
        <v>62.903920723825934</v>
      </c>
      <c r="W57" s="60">
        <f t="shared" si="1"/>
        <v>137.43282536186709</v>
      </c>
      <c r="X57" s="60">
        <f t="shared" si="2"/>
        <v>133.76860941559414</v>
      </c>
      <c r="Y57" s="60">
        <f t="shared" si="3"/>
        <v>126.70361122083878</v>
      </c>
    </row>
    <row r="58" spans="12:25" x14ac:dyDescent="0.25">
      <c r="P58" s="57">
        <v>45689</v>
      </c>
      <c r="Q58" s="6">
        <v>15.5</v>
      </c>
      <c r="R58" s="6">
        <v>5954.5</v>
      </c>
      <c r="S58" s="6">
        <v>19524.009999999998</v>
      </c>
      <c r="T58" s="6">
        <v>43840.91</v>
      </c>
      <c r="U58" s="57">
        <v>45689</v>
      </c>
      <c r="V58" s="60">
        <f t="shared" si="0"/>
        <v>66.781559672554934</v>
      </c>
      <c r="W58" s="60">
        <f t="shared" si="1"/>
        <v>135.47548950460268</v>
      </c>
      <c r="X58" s="60">
        <f t="shared" si="2"/>
        <v>133.06369388550695</v>
      </c>
      <c r="Y58" s="60">
        <f t="shared" si="3"/>
        <v>125.03985134713098</v>
      </c>
    </row>
    <row r="59" spans="12:25" x14ac:dyDescent="0.25">
      <c r="P59" s="57">
        <v>45717</v>
      </c>
      <c r="Q59" s="6">
        <v>13.3</v>
      </c>
      <c r="R59" s="6">
        <v>5074.08</v>
      </c>
      <c r="S59" s="6">
        <v>15587.79</v>
      </c>
      <c r="T59" s="6">
        <v>38314.86</v>
      </c>
      <c r="U59" s="57">
        <v>45717</v>
      </c>
      <c r="V59" s="60">
        <f t="shared" si="0"/>
        <v>57.30288668677295</v>
      </c>
      <c r="W59" s="60">
        <f t="shared" si="1"/>
        <v>115.4443650660029</v>
      </c>
      <c r="X59" s="60">
        <f t="shared" si="2"/>
        <v>106.23682926363827</v>
      </c>
      <c r="Y59" s="60">
        <f t="shared" si="3"/>
        <v>109.27885390121087</v>
      </c>
    </row>
    <row r="60" spans="12:25" x14ac:dyDescent="0.25">
      <c r="P60" s="57">
        <v>45748</v>
      </c>
      <c r="Q60" s="6">
        <v>12.78</v>
      </c>
      <c r="R60" s="6">
        <v>5282.7</v>
      </c>
      <c r="S60" s="6">
        <v>16286.45</v>
      </c>
      <c r="T60" s="6">
        <v>39142.230000000003</v>
      </c>
      <c r="U60" s="57">
        <v>45748</v>
      </c>
      <c r="V60" s="60">
        <f t="shared" si="0"/>
        <v>55.062473071951743</v>
      </c>
      <c r="W60" s="60">
        <f t="shared" si="1"/>
        <v>120.19084195246697</v>
      </c>
      <c r="X60" s="60">
        <f t="shared" si="2"/>
        <v>110.99846790088792</v>
      </c>
      <c r="Y60" s="60">
        <f t="shared" si="3"/>
        <v>111.63861837254771</v>
      </c>
    </row>
    <row r="61" spans="12:25" x14ac:dyDescent="0.25">
      <c r="P61" s="57">
        <v>45778</v>
      </c>
      <c r="Q61" s="6">
        <v>12.26</v>
      </c>
      <c r="R61" s="6">
        <v>5802.82</v>
      </c>
      <c r="S61" s="6">
        <v>19113.77</v>
      </c>
      <c r="T61" s="6">
        <v>41603.07</v>
      </c>
      <c r="U61" s="57">
        <v>45778</v>
      </c>
      <c r="V61" s="60">
        <f t="shared" si="0"/>
        <v>52.822059457130543</v>
      </c>
      <c r="W61" s="60">
        <f t="shared" si="1"/>
        <v>132.024499119506</v>
      </c>
      <c r="X61" s="60">
        <f t="shared" si="2"/>
        <v>130.26774931369047</v>
      </c>
      <c r="Y61" s="60">
        <f t="shared" si="3"/>
        <v>118.65724704127454</v>
      </c>
    </row>
    <row r="62" spans="12:25" x14ac:dyDescent="0.25">
      <c r="P62" s="57">
        <v>45809</v>
      </c>
      <c r="Q62" s="6">
        <v>11.56</v>
      </c>
      <c r="R62" s="6">
        <v>6279.35</v>
      </c>
      <c r="S62" s="6">
        <v>19447.41</v>
      </c>
      <c r="T62" s="6">
        <v>42206.82</v>
      </c>
      <c r="U62" s="57">
        <v>45809</v>
      </c>
      <c r="V62" s="60">
        <f t="shared" si="0"/>
        <v>49.806118052563555</v>
      </c>
      <c r="W62" s="60">
        <f t="shared" si="1"/>
        <v>142.8664060829166</v>
      </c>
      <c r="X62" s="60">
        <f t="shared" si="2"/>
        <v>132.54163520229434</v>
      </c>
      <c r="Y62" s="60">
        <f t="shared" si="3"/>
        <v>120.37921883088454</v>
      </c>
    </row>
    <row r="63" spans="12:25" x14ac:dyDescent="0.25">
      <c r="P63" s="57">
        <v>45839</v>
      </c>
      <c r="Q63" s="6">
        <v>10.47</v>
      </c>
      <c r="R63" s="6">
        <v>6238.01</v>
      </c>
      <c r="S63" s="6">
        <v>20650.13</v>
      </c>
      <c r="T63" s="6">
        <v>44901.919999999998</v>
      </c>
      <c r="U63" s="57">
        <v>45839</v>
      </c>
      <c r="V63" s="60">
        <f t="shared" si="0"/>
        <v>45.109866436880658</v>
      </c>
      <c r="W63" s="60">
        <f t="shared" si="1"/>
        <v>141.92584739014302</v>
      </c>
      <c r="X63" s="60">
        <f t="shared" si="2"/>
        <v>140.73863806748324</v>
      </c>
      <c r="Y63" s="60">
        <f t="shared" si="3"/>
        <v>128.065986814616</v>
      </c>
    </row>
    <row r="64" spans="12:25" x14ac:dyDescent="0.25">
      <c r="P64" s="57">
        <v>45870</v>
      </c>
      <c r="Q64" s="6">
        <v>10.61</v>
      </c>
      <c r="R64" s="6">
        <v>6460.26</v>
      </c>
      <c r="S64" s="6">
        <v>21496.54</v>
      </c>
      <c r="T64" s="6">
        <v>45544.88</v>
      </c>
      <c r="U64" s="57">
        <v>45870</v>
      </c>
      <c r="V64" s="60">
        <f t="shared" si="0"/>
        <v>45.713054717794051</v>
      </c>
      <c r="W64" s="60">
        <f t="shared" si="1"/>
        <v>146.9824310734746</v>
      </c>
      <c r="X64" s="60">
        <f t="shared" si="2"/>
        <v>146.50725020923241</v>
      </c>
      <c r="Y64" s="60">
        <f t="shared" si="3"/>
        <v>129.89979051125803</v>
      </c>
    </row>
    <row r="65" spans="16:25" x14ac:dyDescent="0.25">
      <c r="P65" s="57">
        <v>45901</v>
      </c>
      <c r="Q65" s="6">
        <v>9.5500000000000007</v>
      </c>
      <c r="R65" s="6">
        <v>6715.79</v>
      </c>
      <c r="S65" s="6">
        <v>22780.51</v>
      </c>
      <c r="T65" s="6">
        <v>46758.28</v>
      </c>
      <c r="U65" s="57">
        <v>45901</v>
      </c>
      <c r="V65" s="60">
        <f t="shared" si="0"/>
        <v>41.146057733735461</v>
      </c>
      <c r="W65" s="60">
        <f t="shared" si="1"/>
        <v>152.79619408180628</v>
      </c>
      <c r="X65" s="60">
        <f t="shared" si="2"/>
        <v>155.25800330955215</v>
      </c>
      <c r="Y65" s="60">
        <f t="shared" si="3"/>
        <v>133.36056164088578</v>
      </c>
    </row>
    <row r="66" spans="16:25" x14ac:dyDescent="0.25">
      <c r="P66" s="57">
        <v>45931</v>
      </c>
      <c r="Q66" s="6">
        <v>8.98</v>
      </c>
      <c r="R66" s="6">
        <v>6840.2</v>
      </c>
      <c r="S66" s="6">
        <v>23204.87</v>
      </c>
      <c r="T66" s="6">
        <v>47207.12</v>
      </c>
      <c r="U66" s="57">
        <v>45931</v>
      </c>
      <c r="V66" s="60">
        <f t="shared" si="0"/>
        <v>38.690219732873757</v>
      </c>
      <c r="W66" s="60">
        <f t="shared" si="1"/>
        <v>155.62674335534189</v>
      </c>
      <c r="X66" s="60">
        <f t="shared" si="2"/>
        <v>158.15018115300001</v>
      </c>
      <c r="Y66" s="60">
        <f t="shared" si="3"/>
        <v>134.64071040783992</v>
      </c>
    </row>
    <row r="67" spans="16:25" x14ac:dyDescent="0.25">
      <c r="P67" s="57">
        <v>45962</v>
      </c>
      <c r="Q67" s="6">
        <v>8.4499999999999993</v>
      </c>
      <c r="R67" s="6">
        <v>6849.09</v>
      </c>
      <c r="S67" s="6">
        <v>23365.69</v>
      </c>
      <c r="T67" s="6">
        <v>46245.41</v>
      </c>
      <c r="U67" s="57">
        <v>45962</v>
      </c>
      <c r="V67" s="60">
        <f t="shared" si="0"/>
        <v>36.406721240844462</v>
      </c>
      <c r="W67" s="60">
        <f t="shared" si="1"/>
        <v>155.82900670267514</v>
      </c>
      <c r="X67" s="60">
        <f t="shared" si="2"/>
        <v>159.24623177224612</v>
      </c>
      <c r="Y67" s="60">
        <f t="shared" si="3"/>
        <v>131.89779117009942</v>
      </c>
    </row>
    <row r="68" spans="16:25" x14ac:dyDescent="0.25">
      <c r="P68" s="57">
        <v>45992</v>
      </c>
      <c r="Q68" s="6">
        <v>8.17</v>
      </c>
      <c r="R68" s="6">
        <v>6929.94</v>
      </c>
      <c r="S68" s="6">
        <v>23593.1</v>
      </c>
      <c r="T68" s="6">
        <v>48134.89</v>
      </c>
      <c r="U68" s="57">
        <v>45992</v>
      </c>
      <c r="V68" s="60">
        <f t="shared" si="0"/>
        <v>35.200344679017661</v>
      </c>
      <c r="W68" s="60">
        <f t="shared" si="1"/>
        <v>157.66848832606033</v>
      </c>
      <c r="X68" s="60">
        <f t="shared" si="2"/>
        <v>160.7961190457367</v>
      </c>
      <c r="Y68" s="60">
        <f t="shared" si="3"/>
        <v>137.28682844882783</v>
      </c>
    </row>
    <row r="69" spans="16:25" x14ac:dyDescent="0.25">
      <c r="P69" s="57">
        <v>46023</v>
      </c>
      <c r="Q69" s="6">
        <v>8.42</v>
      </c>
      <c r="R69" s="6">
        <v>6939.03</v>
      </c>
      <c r="S69" s="6">
        <v>23461.82</v>
      </c>
      <c r="T69" s="6">
        <v>49098.71</v>
      </c>
      <c r="U69" s="57">
        <v>46023</v>
      </c>
      <c r="V69" s="60">
        <f t="shared" si="0"/>
        <v>36.277466609220163</v>
      </c>
      <c r="W69" s="60">
        <f t="shared" si="1"/>
        <v>157.87530202991402</v>
      </c>
      <c r="X69" s="60">
        <f t="shared" si="2"/>
        <v>159.90139497351541</v>
      </c>
      <c r="Y69" s="60">
        <f t="shared" si="3"/>
        <v>140.03576567493451</v>
      </c>
    </row>
    <row r="70" spans="16:25" x14ac:dyDescent="0.25">
      <c r="P70" s="57">
        <v>46054</v>
      </c>
      <c r="Q70" s="6">
        <v>7.66</v>
      </c>
      <c r="R70" s="6">
        <v>6909.51</v>
      </c>
      <c r="S70" s="6">
        <v>22668.21</v>
      </c>
      <c r="T70" s="6">
        <v>48977.919999999998</v>
      </c>
      <c r="U70" s="57">
        <v>46054</v>
      </c>
      <c r="V70" s="60">
        <f t="shared" si="0"/>
        <v>33.00301594140457</v>
      </c>
      <c r="W70" s="60">
        <f t="shared" si="1"/>
        <v>157.20366940749807</v>
      </c>
      <c r="X70" s="60">
        <f t="shared" si="2"/>
        <v>154.49263529225743</v>
      </c>
      <c r="Y70" s="60">
        <f t="shared" si="3"/>
        <v>139.69125723192499</v>
      </c>
    </row>
    <row r="71" spans="16:25" x14ac:dyDescent="0.25">
      <c r="P71" s="57">
        <v>46082</v>
      </c>
      <c r="Q71" s="6">
        <v>6.8</v>
      </c>
      <c r="R71" s="6">
        <v>6368.85</v>
      </c>
      <c r="S71" s="6">
        <v>20948.36</v>
      </c>
      <c r="T71" s="6">
        <v>45577.47</v>
      </c>
      <c r="U71" s="57">
        <v>46082</v>
      </c>
      <c r="V71" s="60">
        <f t="shared" si="0"/>
        <v>29.297716501507971</v>
      </c>
      <c r="W71" s="60">
        <f t="shared" si="1"/>
        <v>144.90269062581055</v>
      </c>
      <c r="X71" s="60">
        <f t="shared" si="2"/>
        <v>142.77119108438268</v>
      </c>
      <c r="Y71" s="60">
        <f t="shared" si="3"/>
        <v>129.99274133630715</v>
      </c>
    </row>
    <row r="72" spans="16:25" x14ac:dyDescent="0.25">
      <c r="P72" s="57">
        <v>46113</v>
      </c>
      <c r="Q72" s="6">
        <v>6.95</v>
      </c>
      <c r="R72" s="6">
        <v>7123.06</v>
      </c>
      <c r="S72" s="6">
        <v>24468.48</v>
      </c>
      <c r="T72" s="6">
        <v>49447.43</v>
      </c>
      <c r="U72" s="57">
        <v>46113</v>
      </c>
      <c r="V72" s="60">
        <f t="shared" si="0"/>
        <v>29.943989659629473</v>
      </c>
      <c r="W72" s="60">
        <f t="shared" si="1"/>
        <v>162.06231258219083</v>
      </c>
      <c r="X72" s="60">
        <f t="shared" si="2"/>
        <v>166.76217296363035</v>
      </c>
      <c r="Y72" s="60">
        <f t="shared" si="3"/>
        <v>141.0303594678501</v>
      </c>
    </row>
    <row r="73" spans="16:25" x14ac:dyDescent="0.25">
      <c r="P73" s="57">
        <v>46143</v>
      </c>
      <c r="Q73" s="6">
        <v>7.81</v>
      </c>
      <c r="R73" s="6">
        <v>7473.47</v>
      </c>
      <c r="S73" s="6">
        <v>26343.97</v>
      </c>
      <c r="T73" s="6">
        <v>50579.7</v>
      </c>
      <c r="U73" s="57">
        <v>46143</v>
      </c>
      <c r="V73" s="60">
        <f t="shared" si="0"/>
        <v>33.649289099526065</v>
      </c>
      <c r="W73" s="60">
        <f t="shared" si="1"/>
        <v>170.03476472381612</v>
      </c>
      <c r="X73" s="60">
        <f t="shared" si="2"/>
        <v>179.54436408345308</v>
      </c>
      <c r="Y73" s="60">
        <f t="shared" si="3"/>
        <v>144.25973751873488</v>
      </c>
    </row>
    <row r="74" spans="16:25" x14ac:dyDescent="0.25">
      <c r="P74" s="57">
        <v>46174</v>
      </c>
      <c r="Q74" s="6">
        <v>6.8</v>
      </c>
      <c r="R74" s="6">
        <v>7425.29</v>
      </c>
      <c r="S74" s="6">
        <v>25883.49</v>
      </c>
      <c r="T74" s="6">
        <v>51200.15</v>
      </c>
      <c r="U74" s="57">
        <v>46174</v>
      </c>
      <c r="V74" s="60">
        <f t="shared" si="0"/>
        <v>29.297716501507971</v>
      </c>
      <c r="W74" s="60">
        <f t="shared" si="1"/>
        <v>168.93858383804371</v>
      </c>
      <c r="X74" s="60">
        <f t="shared" si="2"/>
        <v>176.40601444316923</v>
      </c>
      <c r="Y74" s="60">
        <f t="shared" si="3"/>
        <v>146.02933983238046</v>
      </c>
    </row>
    <row r="75" spans="16:25" x14ac:dyDescent="0.25">
      <c r="P75" s="57">
        <v>46204</v>
      </c>
      <c r="Q75" s="61">
        <v>8.6</v>
      </c>
      <c r="R75" s="6">
        <v>7483.24</v>
      </c>
      <c r="S75" s="6">
        <v>25832.67</v>
      </c>
      <c r="T75" s="6">
        <v>52900.07</v>
      </c>
      <c r="U75" s="57">
        <v>46204</v>
      </c>
      <c r="V75" s="60">
        <f t="shared" si="0"/>
        <v>37.052994398965957</v>
      </c>
      <c r="W75" s="60">
        <f t="shared" si="1"/>
        <v>170.25704963983927</v>
      </c>
      <c r="X75" s="60">
        <f t="shared" si="2"/>
        <v>176.0596564499464</v>
      </c>
      <c r="Y75" s="60">
        <f t="shared" si="3"/>
        <v>150.87772788139713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1619-CC95-49B4-A57C-E03A8B09F9EC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 Input</vt:lpstr>
      <vt:lpstr>Base Assumptions</vt:lpstr>
      <vt:lpstr>Bear Assumptions</vt:lpstr>
      <vt:lpstr>Bull Assumptions</vt:lpstr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 Wallace</dc:creator>
  <cp:keywords/>
  <dc:description/>
  <cp:lastModifiedBy>Ty Wallace</cp:lastModifiedBy>
  <cp:revision/>
  <cp:lastPrinted>2026-05-14T15:37:58Z</cp:lastPrinted>
  <dcterms:created xsi:type="dcterms:W3CDTF">2026-04-12T21:29:31Z</dcterms:created>
  <dcterms:modified xsi:type="dcterms:W3CDTF">2026-09-01T16:42:34Z</dcterms:modified>
  <cp:category/>
  <cp:contentStatus/>
</cp:coreProperties>
</file>