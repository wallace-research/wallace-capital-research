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5FE7AD22-B857-4B61-9DBD-0E96D7692A4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4" r:id="rId1"/>
    <sheet name="Base Assumptions" sheetId="1" r:id="rId2"/>
    <sheet name="Bear Assumptions" sheetId="2" r:id="rId3"/>
    <sheet name="Bull Assumptions" sheetId="3" r:id="rId4"/>
    <sheet name="Expo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18" i="4"/>
  <c r="C19" i="4" s="1"/>
  <c r="C22" i="4" l="1"/>
  <c r="C24" i="4" s="1"/>
  <c r="C12" i="4"/>
  <c r="C13" i="4" s="1"/>
  <c r="M48" i="1"/>
  <c r="M42" i="1"/>
  <c r="M48" i="2"/>
  <c r="M42" i="2"/>
  <c r="M48" i="3"/>
  <c r="M42" i="3"/>
  <c r="C14" i="4" l="1"/>
  <c r="C28" i="4" s="1"/>
  <c r="T9" i="3"/>
  <c r="T9" i="2"/>
  <c r="T9" i="1"/>
  <c r="I21" i="3"/>
  <c r="H21" i="3"/>
  <c r="G21" i="3"/>
  <c r="F21" i="3"/>
  <c r="E21" i="3"/>
  <c r="H21" i="2"/>
  <c r="G21" i="2"/>
  <c r="F21" i="2"/>
  <c r="E21" i="2"/>
  <c r="E27" i="2" s="1"/>
  <c r="Y75" i="3"/>
  <c r="X75" i="3"/>
  <c r="W75" i="3"/>
  <c r="V75" i="3"/>
  <c r="Y74" i="3"/>
  <c r="X74" i="3"/>
  <c r="W74" i="3"/>
  <c r="V74" i="3"/>
  <c r="Y73" i="3"/>
  <c r="X73" i="3"/>
  <c r="W73" i="3"/>
  <c r="V73" i="3"/>
  <c r="Y72" i="3"/>
  <c r="X72" i="3"/>
  <c r="W72" i="3"/>
  <c r="V72" i="3"/>
  <c r="Y71" i="3"/>
  <c r="X71" i="3"/>
  <c r="W71" i="3"/>
  <c r="V71" i="3"/>
  <c r="Y70" i="3"/>
  <c r="X70" i="3"/>
  <c r="W70" i="3"/>
  <c r="V70" i="3"/>
  <c r="Y69" i="3"/>
  <c r="X69" i="3"/>
  <c r="W69" i="3"/>
  <c r="V69" i="3"/>
  <c r="Y68" i="3"/>
  <c r="X68" i="3"/>
  <c r="W68" i="3"/>
  <c r="V68" i="3"/>
  <c r="Y67" i="3"/>
  <c r="X67" i="3"/>
  <c r="W67" i="3"/>
  <c r="V67" i="3"/>
  <c r="Y66" i="3"/>
  <c r="X66" i="3"/>
  <c r="W66" i="3"/>
  <c r="V66" i="3"/>
  <c r="Y65" i="3"/>
  <c r="X65" i="3"/>
  <c r="W65" i="3"/>
  <c r="V65" i="3"/>
  <c r="Y64" i="3"/>
  <c r="X64" i="3"/>
  <c r="W64" i="3"/>
  <c r="V64" i="3"/>
  <c r="Y63" i="3"/>
  <c r="X63" i="3"/>
  <c r="W63" i="3"/>
  <c r="V63" i="3"/>
  <c r="Y62" i="3"/>
  <c r="X62" i="3"/>
  <c r="W62" i="3"/>
  <c r="V62" i="3"/>
  <c r="Y61" i="3"/>
  <c r="X61" i="3"/>
  <c r="W61" i="3"/>
  <c r="V61" i="3"/>
  <c r="Y60" i="3"/>
  <c r="X60" i="3"/>
  <c r="W60" i="3"/>
  <c r="V60" i="3"/>
  <c r="Y59" i="3"/>
  <c r="X59" i="3"/>
  <c r="W59" i="3"/>
  <c r="V59" i="3"/>
  <c r="Y58" i="3"/>
  <c r="X58" i="3"/>
  <c r="W58" i="3"/>
  <c r="V58" i="3"/>
  <c r="Y57" i="3"/>
  <c r="X57" i="3"/>
  <c r="W57" i="3"/>
  <c r="V57" i="3"/>
  <c r="Y56" i="3"/>
  <c r="X56" i="3"/>
  <c r="W56" i="3"/>
  <c r="V56" i="3"/>
  <c r="Y55" i="3"/>
  <c r="X55" i="3"/>
  <c r="W55" i="3"/>
  <c r="V55" i="3"/>
  <c r="Y54" i="3"/>
  <c r="X54" i="3"/>
  <c r="W54" i="3"/>
  <c r="V54" i="3"/>
  <c r="Y53" i="3"/>
  <c r="X53" i="3"/>
  <c r="W53" i="3"/>
  <c r="V53" i="3"/>
  <c r="Y52" i="3"/>
  <c r="X52" i="3"/>
  <c r="W52" i="3"/>
  <c r="V52" i="3"/>
  <c r="Y51" i="3"/>
  <c r="X51" i="3"/>
  <c r="W51" i="3"/>
  <c r="V51" i="3"/>
  <c r="Y50" i="3"/>
  <c r="X50" i="3"/>
  <c r="W50" i="3"/>
  <c r="V50" i="3"/>
  <c r="Y49" i="3"/>
  <c r="X49" i="3"/>
  <c r="W49" i="3"/>
  <c r="V49" i="3"/>
  <c r="Y48" i="3"/>
  <c r="X48" i="3"/>
  <c r="W48" i="3"/>
  <c r="V48" i="3"/>
  <c r="Y47" i="3"/>
  <c r="X47" i="3"/>
  <c r="W47" i="3"/>
  <c r="V47" i="3"/>
  <c r="Y46" i="3"/>
  <c r="X46" i="3"/>
  <c r="W46" i="3"/>
  <c r="V46" i="3"/>
  <c r="Y45" i="3"/>
  <c r="X45" i="3"/>
  <c r="W45" i="3"/>
  <c r="V45" i="3"/>
  <c r="Y44" i="3"/>
  <c r="X44" i="3"/>
  <c r="W44" i="3"/>
  <c r="V44" i="3"/>
  <c r="Y43" i="3"/>
  <c r="X43" i="3"/>
  <c r="W43" i="3"/>
  <c r="V43" i="3"/>
  <c r="Y42" i="3"/>
  <c r="X42" i="3"/>
  <c r="W42" i="3"/>
  <c r="V42" i="3"/>
  <c r="Y41" i="3"/>
  <c r="X41" i="3"/>
  <c r="W41" i="3"/>
  <c r="V41" i="3"/>
  <c r="Y40" i="3"/>
  <c r="X40" i="3"/>
  <c r="W40" i="3"/>
  <c r="V40" i="3"/>
  <c r="Y39" i="3"/>
  <c r="X39" i="3"/>
  <c r="W39" i="3"/>
  <c r="V39" i="3"/>
  <c r="Y38" i="3"/>
  <c r="X38" i="3"/>
  <c r="W38" i="3"/>
  <c r="V38" i="3"/>
  <c r="M38" i="3"/>
  <c r="G38" i="3"/>
  <c r="B38" i="3"/>
  <c r="Y37" i="3"/>
  <c r="X37" i="3"/>
  <c r="W37" i="3"/>
  <c r="V37" i="3"/>
  <c r="G37" i="3"/>
  <c r="B37" i="3"/>
  <c r="Y36" i="3"/>
  <c r="X36" i="3"/>
  <c r="W36" i="3"/>
  <c r="V36" i="3"/>
  <c r="G36" i="3"/>
  <c r="G39" i="3" s="1"/>
  <c r="Y35" i="3"/>
  <c r="X35" i="3"/>
  <c r="W35" i="3"/>
  <c r="V35" i="3"/>
  <c r="Y34" i="3"/>
  <c r="X34" i="3"/>
  <c r="W34" i="3"/>
  <c r="V34" i="3"/>
  <c r="Y33" i="3"/>
  <c r="X33" i="3"/>
  <c r="W33" i="3"/>
  <c r="V33" i="3"/>
  <c r="Y32" i="3"/>
  <c r="X32" i="3"/>
  <c r="W32" i="3"/>
  <c r="V32" i="3"/>
  <c r="Y31" i="3"/>
  <c r="X31" i="3"/>
  <c r="W31" i="3"/>
  <c r="V31" i="3"/>
  <c r="I31" i="3"/>
  <c r="H31" i="3"/>
  <c r="G31" i="3"/>
  <c r="F31" i="3"/>
  <c r="E31" i="3"/>
  <c r="D31" i="3"/>
  <c r="Y30" i="3"/>
  <c r="X30" i="3"/>
  <c r="W30" i="3"/>
  <c r="V30" i="3"/>
  <c r="Y29" i="3"/>
  <c r="X29" i="3"/>
  <c r="W29" i="3"/>
  <c r="V29" i="3"/>
  <c r="Y28" i="3"/>
  <c r="X28" i="3"/>
  <c r="W28" i="3"/>
  <c r="V28" i="3"/>
  <c r="Y27" i="3"/>
  <c r="X27" i="3"/>
  <c r="W27" i="3"/>
  <c r="V27" i="3"/>
  <c r="E27" i="3"/>
  <c r="D27" i="3"/>
  <c r="Y26" i="3"/>
  <c r="X26" i="3"/>
  <c r="W26" i="3"/>
  <c r="V26" i="3"/>
  <c r="E26" i="3"/>
  <c r="D26" i="3"/>
  <c r="Y25" i="3"/>
  <c r="X25" i="3"/>
  <c r="W25" i="3"/>
  <c r="V25" i="3"/>
  <c r="D25" i="3"/>
  <c r="Y24" i="3"/>
  <c r="X24" i="3"/>
  <c r="W24" i="3"/>
  <c r="V24" i="3"/>
  <c r="Y23" i="3"/>
  <c r="X23" i="3"/>
  <c r="W23" i="3"/>
  <c r="V23" i="3"/>
  <c r="Y22" i="3"/>
  <c r="X22" i="3"/>
  <c r="W22" i="3"/>
  <c r="V22" i="3"/>
  <c r="D22" i="3"/>
  <c r="D23" i="3" s="1"/>
  <c r="Y21" i="3"/>
  <c r="X21" i="3"/>
  <c r="W21" i="3"/>
  <c r="V21" i="3"/>
  <c r="E22" i="3"/>
  <c r="Y20" i="3"/>
  <c r="X20" i="3"/>
  <c r="W20" i="3"/>
  <c r="V20" i="3"/>
  <c r="Y19" i="3"/>
  <c r="X19" i="3"/>
  <c r="W19" i="3"/>
  <c r="V19" i="3"/>
  <c r="Y18" i="3"/>
  <c r="X18" i="3"/>
  <c r="W18" i="3"/>
  <c r="V18" i="3"/>
  <c r="Y17" i="3"/>
  <c r="X17" i="3"/>
  <c r="W17" i="3"/>
  <c r="V17" i="3"/>
  <c r="Y16" i="3"/>
  <c r="X16" i="3"/>
  <c r="W16" i="3"/>
  <c r="V16" i="3"/>
  <c r="Y75" i="2"/>
  <c r="X75" i="2"/>
  <c r="W75" i="2"/>
  <c r="V75" i="2"/>
  <c r="Y74" i="2"/>
  <c r="X74" i="2"/>
  <c r="W74" i="2"/>
  <c r="V74" i="2"/>
  <c r="Y73" i="2"/>
  <c r="X73" i="2"/>
  <c r="W73" i="2"/>
  <c r="V73" i="2"/>
  <c r="Y72" i="2"/>
  <c r="X72" i="2"/>
  <c r="W72" i="2"/>
  <c r="V72" i="2"/>
  <c r="Y71" i="2"/>
  <c r="X71" i="2"/>
  <c r="W71" i="2"/>
  <c r="V71" i="2"/>
  <c r="Y70" i="2"/>
  <c r="X70" i="2"/>
  <c r="W70" i="2"/>
  <c r="V70" i="2"/>
  <c r="Y69" i="2"/>
  <c r="X69" i="2"/>
  <c r="W69" i="2"/>
  <c r="V69" i="2"/>
  <c r="Y68" i="2"/>
  <c r="X68" i="2"/>
  <c r="W68" i="2"/>
  <c r="V68" i="2"/>
  <c r="Y67" i="2"/>
  <c r="X67" i="2"/>
  <c r="W67" i="2"/>
  <c r="V67" i="2"/>
  <c r="Y66" i="2"/>
  <c r="X66" i="2"/>
  <c r="W66" i="2"/>
  <c r="V66" i="2"/>
  <c r="Y65" i="2"/>
  <c r="X65" i="2"/>
  <c r="W65" i="2"/>
  <c r="V65" i="2"/>
  <c r="Y64" i="2"/>
  <c r="X64" i="2"/>
  <c r="W64" i="2"/>
  <c r="V64" i="2"/>
  <c r="Y63" i="2"/>
  <c r="X63" i="2"/>
  <c r="W63" i="2"/>
  <c r="V63" i="2"/>
  <c r="Y62" i="2"/>
  <c r="X62" i="2"/>
  <c r="W62" i="2"/>
  <c r="V62" i="2"/>
  <c r="Y61" i="2"/>
  <c r="X61" i="2"/>
  <c r="W61" i="2"/>
  <c r="V61" i="2"/>
  <c r="Y60" i="2"/>
  <c r="X60" i="2"/>
  <c r="W60" i="2"/>
  <c r="V60" i="2"/>
  <c r="Y59" i="2"/>
  <c r="X59" i="2"/>
  <c r="W59" i="2"/>
  <c r="V59" i="2"/>
  <c r="Y58" i="2"/>
  <c r="X58" i="2"/>
  <c r="W58" i="2"/>
  <c r="V58" i="2"/>
  <c r="Y57" i="2"/>
  <c r="X57" i="2"/>
  <c r="W57" i="2"/>
  <c r="V57" i="2"/>
  <c r="Y56" i="2"/>
  <c r="X56" i="2"/>
  <c r="W56" i="2"/>
  <c r="V56" i="2"/>
  <c r="Y55" i="2"/>
  <c r="X55" i="2"/>
  <c r="W55" i="2"/>
  <c r="V55" i="2"/>
  <c r="Y54" i="2"/>
  <c r="X54" i="2"/>
  <c r="W54" i="2"/>
  <c r="V54" i="2"/>
  <c r="Y53" i="2"/>
  <c r="X53" i="2"/>
  <c r="W53" i="2"/>
  <c r="V53" i="2"/>
  <c r="Y52" i="2"/>
  <c r="X52" i="2"/>
  <c r="W52" i="2"/>
  <c r="V52" i="2"/>
  <c r="Y51" i="2"/>
  <c r="X51" i="2"/>
  <c r="W51" i="2"/>
  <c r="V51" i="2"/>
  <c r="Y50" i="2"/>
  <c r="X50" i="2"/>
  <c r="W50" i="2"/>
  <c r="V50" i="2"/>
  <c r="Y49" i="2"/>
  <c r="X49" i="2"/>
  <c r="W49" i="2"/>
  <c r="V49" i="2"/>
  <c r="Y48" i="2"/>
  <c r="X48" i="2"/>
  <c r="W48" i="2"/>
  <c r="V48" i="2"/>
  <c r="Y47" i="2"/>
  <c r="X47" i="2"/>
  <c r="W47" i="2"/>
  <c r="V47" i="2"/>
  <c r="Y46" i="2"/>
  <c r="X46" i="2"/>
  <c r="W46" i="2"/>
  <c r="V46" i="2"/>
  <c r="Y45" i="2"/>
  <c r="X45" i="2"/>
  <c r="W45" i="2"/>
  <c r="V45" i="2"/>
  <c r="Y44" i="2"/>
  <c r="X44" i="2"/>
  <c r="W44" i="2"/>
  <c r="V44" i="2"/>
  <c r="Y43" i="2"/>
  <c r="X43" i="2"/>
  <c r="W43" i="2"/>
  <c r="V43" i="2"/>
  <c r="Y42" i="2"/>
  <c r="X42" i="2"/>
  <c r="W42" i="2"/>
  <c r="V42" i="2"/>
  <c r="Y41" i="2"/>
  <c r="X41" i="2"/>
  <c r="W41" i="2"/>
  <c r="V41" i="2"/>
  <c r="Y40" i="2"/>
  <c r="X40" i="2"/>
  <c r="W40" i="2"/>
  <c r="V40" i="2"/>
  <c r="Y39" i="2"/>
  <c r="X39" i="2"/>
  <c r="W39" i="2"/>
  <c r="V39" i="2"/>
  <c r="Y38" i="2"/>
  <c r="X38" i="2"/>
  <c r="W38" i="2"/>
  <c r="V38" i="2"/>
  <c r="M38" i="2"/>
  <c r="G38" i="2"/>
  <c r="B38" i="2"/>
  <c r="Y37" i="2"/>
  <c r="X37" i="2"/>
  <c r="W37" i="2"/>
  <c r="V37" i="2"/>
  <c r="G37" i="2"/>
  <c r="B37" i="2"/>
  <c r="Y36" i="2"/>
  <c r="X36" i="2"/>
  <c r="W36" i="2"/>
  <c r="V36" i="2"/>
  <c r="G36" i="2"/>
  <c r="G39" i="2" s="1"/>
  <c r="Y35" i="2"/>
  <c r="X35" i="2"/>
  <c r="W35" i="2"/>
  <c r="V35" i="2"/>
  <c r="Y34" i="2"/>
  <c r="X34" i="2"/>
  <c r="W34" i="2"/>
  <c r="V34" i="2"/>
  <c r="Y33" i="2"/>
  <c r="X33" i="2"/>
  <c r="W33" i="2"/>
  <c r="V33" i="2"/>
  <c r="Y32" i="2"/>
  <c r="X32" i="2"/>
  <c r="W32" i="2"/>
  <c r="V32" i="2"/>
  <c r="Y31" i="2"/>
  <c r="X31" i="2"/>
  <c r="W31" i="2"/>
  <c r="V31" i="2"/>
  <c r="I31" i="2"/>
  <c r="H31" i="2"/>
  <c r="G31" i="2"/>
  <c r="F31" i="2"/>
  <c r="E31" i="2"/>
  <c r="D31" i="2"/>
  <c r="Y30" i="2"/>
  <c r="X30" i="2"/>
  <c r="W30" i="2"/>
  <c r="V30" i="2"/>
  <c r="Y29" i="2"/>
  <c r="X29" i="2"/>
  <c r="W29" i="2"/>
  <c r="V29" i="2"/>
  <c r="Y28" i="2"/>
  <c r="X28" i="2"/>
  <c r="W28" i="2"/>
  <c r="V28" i="2"/>
  <c r="Y27" i="2"/>
  <c r="X27" i="2"/>
  <c r="W27" i="2"/>
  <c r="V27" i="2"/>
  <c r="D27" i="2"/>
  <c r="Y26" i="2"/>
  <c r="X26" i="2"/>
  <c r="W26" i="2"/>
  <c r="V26" i="2"/>
  <c r="D26" i="2"/>
  <c r="Y25" i="2"/>
  <c r="X25" i="2"/>
  <c r="W25" i="2"/>
  <c r="V25" i="2"/>
  <c r="D25" i="2"/>
  <c r="Y24" i="2"/>
  <c r="X24" i="2"/>
  <c r="W24" i="2"/>
  <c r="V24" i="2"/>
  <c r="Y23" i="2"/>
  <c r="X23" i="2"/>
  <c r="W23" i="2"/>
  <c r="V23" i="2"/>
  <c r="D23" i="2"/>
  <c r="Y22" i="2"/>
  <c r="X22" i="2"/>
  <c r="W22" i="2"/>
  <c r="V22" i="2"/>
  <c r="D22" i="2"/>
  <c r="D24" i="2" s="1"/>
  <c r="D28" i="2" s="1"/>
  <c r="Y21" i="2"/>
  <c r="X21" i="2"/>
  <c r="W21" i="2"/>
  <c r="V21" i="2"/>
  <c r="Y20" i="2"/>
  <c r="X20" i="2"/>
  <c r="W20" i="2"/>
  <c r="V20" i="2"/>
  <c r="Y19" i="2"/>
  <c r="X19" i="2"/>
  <c r="W19" i="2"/>
  <c r="V19" i="2"/>
  <c r="Y18" i="2"/>
  <c r="X18" i="2"/>
  <c r="W18" i="2"/>
  <c r="V18" i="2"/>
  <c r="Y17" i="2"/>
  <c r="X17" i="2"/>
  <c r="W17" i="2"/>
  <c r="V17" i="2"/>
  <c r="Y16" i="2"/>
  <c r="X16" i="2"/>
  <c r="W16" i="2"/>
  <c r="V16" i="2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32" i="1"/>
  <c r="X32" i="1"/>
  <c r="Y32" i="1"/>
  <c r="W33" i="1"/>
  <c r="X33" i="1"/>
  <c r="Y33" i="1"/>
  <c r="W34" i="1"/>
  <c r="X34" i="1"/>
  <c r="Y34" i="1"/>
  <c r="W35" i="1"/>
  <c r="X35" i="1"/>
  <c r="Y35" i="1"/>
  <c r="W36" i="1"/>
  <c r="X36" i="1"/>
  <c r="Y36" i="1"/>
  <c r="W37" i="1"/>
  <c r="X37" i="1"/>
  <c r="Y37" i="1"/>
  <c r="W38" i="1"/>
  <c r="X38" i="1"/>
  <c r="Y38" i="1"/>
  <c r="W39" i="1"/>
  <c r="X39" i="1"/>
  <c r="Y39" i="1"/>
  <c r="W40" i="1"/>
  <c r="X40" i="1"/>
  <c r="Y40" i="1"/>
  <c r="W41" i="1"/>
  <c r="X41" i="1"/>
  <c r="Y41" i="1"/>
  <c r="W42" i="1"/>
  <c r="X42" i="1"/>
  <c r="Y42" i="1"/>
  <c r="W43" i="1"/>
  <c r="X43" i="1"/>
  <c r="Y43" i="1"/>
  <c r="W44" i="1"/>
  <c r="X44" i="1"/>
  <c r="Y44" i="1"/>
  <c r="W45" i="1"/>
  <c r="X45" i="1"/>
  <c r="Y45" i="1"/>
  <c r="W46" i="1"/>
  <c r="X46" i="1"/>
  <c r="Y46" i="1"/>
  <c r="W47" i="1"/>
  <c r="X47" i="1"/>
  <c r="Y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3" i="1"/>
  <c r="X53" i="1"/>
  <c r="Y53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59" i="1"/>
  <c r="X59" i="1"/>
  <c r="Y59" i="1"/>
  <c r="W60" i="1"/>
  <c r="X60" i="1"/>
  <c r="Y60" i="1"/>
  <c r="W61" i="1"/>
  <c r="X61" i="1"/>
  <c r="Y61" i="1"/>
  <c r="W62" i="1"/>
  <c r="X62" i="1"/>
  <c r="Y62" i="1"/>
  <c r="W63" i="1"/>
  <c r="X63" i="1"/>
  <c r="Y63" i="1"/>
  <c r="W64" i="1"/>
  <c r="X64" i="1"/>
  <c r="Y64" i="1"/>
  <c r="W65" i="1"/>
  <c r="X65" i="1"/>
  <c r="Y65" i="1"/>
  <c r="W66" i="1"/>
  <c r="X66" i="1"/>
  <c r="Y66" i="1"/>
  <c r="W67" i="1"/>
  <c r="X67" i="1"/>
  <c r="Y67" i="1"/>
  <c r="W68" i="1"/>
  <c r="X68" i="1"/>
  <c r="Y68" i="1"/>
  <c r="W69" i="1"/>
  <c r="X69" i="1"/>
  <c r="Y69" i="1"/>
  <c r="W70" i="1"/>
  <c r="X70" i="1"/>
  <c r="Y70" i="1"/>
  <c r="W71" i="1"/>
  <c r="X71" i="1"/>
  <c r="Y71" i="1"/>
  <c r="W72" i="1"/>
  <c r="X72" i="1"/>
  <c r="Y72" i="1"/>
  <c r="W73" i="1"/>
  <c r="X73" i="1"/>
  <c r="Y73" i="1"/>
  <c r="W74" i="1"/>
  <c r="X74" i="1"/>
  <c r="Y74" i="1"/>
  <c r="W75" i="1"/>
  <c r="X75" i="1"/>
  <c r="Y75" i="1"/>
  <c r="Y17" i="1"/>
  <c r="X17" i="1"/>
  <c r="W17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18" i="1"/>
  <c r="V17" i="1"/>
  <c r="Y16" i="1"/>
  <c r="X16" i="1"/>
  <c r="W16" i="1"/>
  <c r="V16" i="1"/>
  <c r="E27" i="1"/>
  <c r="D27" i="1"/>
  <c r="D26" i="1"/>
  <c r="D25" i="1"/>
  <c r="G36" i="1"/>
  <c r="E21" i="1"/>
  <c r="E25" i="1" s="1"/>
  <c r="D24" i="3" l="1"/>
  <c r="D28" i="3" s="1"/>
  <c r="I21" i="2"/>
  <c r="E22" i="2"/>
  <c r="E23" i="2" s="1"/>
  <c r="E26" i="2"/>
  <c r="C32" i="3"/>
  <c r="C30" i="3"/>
  <c r="G40" i="3"/>
  <c r="Q7" i="3"/>
  <c r="D30" i="3"/>
  <c r="D32" i="3" s="1"/>
  <c r="E23" i="3"/>
  <c r="E24" i="3"/>
  <c r="E25" i="3"/>
  <c r="Q7" i="2"/>
  <c r="D30" i="2"/>
  <c r="D32" i="2" s="1"/>
  <c r="C32" i="2"/>
  <c r="G40" i="2"/>
  <c r="C30" i="2"/>
  <c r="E24" i="2"/>
  <c r="E28" i="2" s="1"/>
  <c r="E25" i="2"/>
  <c r="E26" i="1"/>
  <c r="F21" i="1"/>
  <c r="E28" i="3" l="1"/>
  <c r="Q8" i="3" s="1"/>
  <c r="F25" i="3"/>
  <c r="F22" i="3"/>
  <c r="F27" i="3"/>
  <c r="F26" i="3"/>
  <c r="G41" i="3"/>
  <c r="F25" i="2"/>
  <c r="F27" i="2"/>
  <c r="F26" i="2"/>
  <c r="F22" i="2"/>
  <c r="E30" i="2"/>
  <c r="E32" i="2" s="1"/>
  <c r="Q8" i="2"/>
  <c r="G41" i="2"/>
  <c r="F27" i="1"/>
  <c r="F25" i="1"/>
  <c r="G21" i="1"/>
  <c r="F26" i="1"/>
  <c r="E30" i="3" l="1"/>
  <c r="E32" i="3" s="1"/>
  <c r="G26" i="3"/>
  <c r="G22" i="3"/>
  <c r="G27" i="3"/>
  <c r="G25" i="3"/>
  <c r="F24" i="3"/>
  <c r="F28" i="3" s="1"/>
  <c r="F23" i="3"/>
  <c r="F24" i="2"/>
  <c r="F28" i="2" s="1"/>
  <c r="F23" i="2"/>
  <c r="G27" i="2"/>
  <c r="G26" i="2"/>
  <c r="G22" i="2"/>
  <c r="G25" i="2"/>
  <c r="G25" i="1"/>
  <c r="G26" i="1"/>
  <c r="G27" i="1"/>
  <c r="H21" i="1"/>
  <c r="E22" i="1"/>
  <c r="B38" i="1"/>
  <c r="Q9" i="3" l="1"/>
  <c r="F30" i="3"/>
  <c r="F32" i="3" s="1"/>
  <c r="G24" i="3"/>
  <c r="G28" i="3" s="1"/>
  <c r="G23" i="3"/>
  <c r="H26" i="3"/>
  <c r="H25" i="3"/>
  <c r="H27" i="3"/>
  <c r="H22" i="3"/>
  <c r="G24" i="2"/>
  <c r="G28" i="2" s="1"/>
  <c r="G23" i="2"/>
  <c r="H27" i="2"/>
  <c r="H26" i="2"/>
  <c r="H22" i="2"/>
  <c r="H25" i="2"/>
  <c r="F30" i="2"/>
  <c r="F32" i="2" s="1"/>
  <c r="Q9" i="2"/>
  <c r="H26" i="1"/>
  <c r="H27" i="1"/>
  <c r="H25" i="1"/>
  <c r="I21" i="1"/>
  <c r="F22" i="1"/>
  <c r="D22" i="1"/>
  <c r="D23" i="1" s="1"/>
  <c r="M38" i="1"/>
  <c r="B37" i="1"/>
  <c r="G37" i="1"/>
  <c r="G38" i="1"/>
  <c r="E31" i="1"/>
  <c r="F31" i="1"/>
  <c r="G31" i="1"/>
  <c r="H31" i="1"/>
  <c r="I31" i="1"/>
  <c r="D31" i="1"/>
  <c r="H24" i="3" l="1"/>
  <c r="H28" i="3" s="1"/>
  <c r="H23" i="3"/>
  <c r="Q10" i="3"/>
  <c r="G30" i="3"/>
  <c r="G32" i="3" s="1"/>
  <c r="I26" i="3"/>
  <c r="I25" i="3"/>
  <c r="I27" i="3"/>
  <c r="I22" i="3"/>
  <c r="M21" i="3" s="1"/>
  <c r="I27" i="2"/>
  <c r="I26" i="2"/>
  <c r="I22" i="2"/>
  <c r="I25" i="2"/>
  <c r="H24" i="2"/>
  <c r="H28" i="2" s="1"/>
  <c r="H23" i="2"/>
  <c r="G30" i="2"/>
  <c r="G32" i="2" s="1"/>
  <c r="Q10" i="2"/>
  <c r="I27" i="1"/>
  <c r="I26" i="1"/>
  <c r="I25" i="1"/>
  <c r="G22" i="1"/>
  <c r="D24" i="1"/>
  <c r="G39" i="1"/>
  <c r="C30" i="1" s="1"/>
  <c r="M21" i="2" l="1"/>
  <c r="I23" i="3"/>
  <c r="I24" i="3"/>
  <c r="I28" i="3" s="1"/>
  <c r="H30" i="3"/>
  <c r="H32" i="3" s="1"/>
  <c r="Q11" i="3"/>
  <c r="H30" i="2"/>
  <c r="H32" i="2" s="1"/>
  <c r="Q11" i="2"/>
  <c r="I23" i="2"/>
  <c r="I24" i="2"/>
  <c r="I28" i="2" s="1"/>
  <c r="H22" i="1"/>
  <c r="D28" i="1"/>
  <c r="Q7" i="1" s="1"/>
  <c r="G40" i="1"/>
  <c r="G41" i="1" s="1"/>
  <c r="C32" i="1"/>
  <c r="E24" i="1"/>
  <c r="E28" i="1" s="1"/>
  <c r="E23" i="1"/>
  <c r="I30" i="3" l="1"/>
  <c r="I32" i="3" s="1"/>
  <c r="B36" i="3" s="1"/>
  <c r="M20" i="3"/>
  <c r="M22" i="3" s="1"/>
  <c r="J32" i="3" s="1"/>
  <c r="Q12" i="3"/>
  <c r="I30" i="2"/>
  <c r="I32" i="2" s="1"/>
  <c r="B36" i="2" s="1"/>
  <c r="M20" i="2"/>
  <c r="M22" i="2" s="1"/>
  <c r="J32" i="2" s="1"/>
  <c r="Q12" i="2"/>
  <c r="I22" i="1"/>
  <c r="D30" i="1"/>
  <c r="D32" i="1" s="1"/>
  <c r="E30" i="1"/>
  <c r="E32" i="1" s="1"/>
  <c r="Q8" i="1"/>
  <c r="F24" i="1"/>
  <c r="F28" i="1" s="1"/>
  <c r="F23" i="1"/>
  <c r="J30" i="3" l="1"/>
  <c r="B39" i="3"/>
  <c r="B40" i="3" s="1"/>
  <c r="J30" i="2"/>
  <c r="B39" i="2"/>
  <c r="B40" i="2" s="1"/>
  <c r="M21" i="1"/>
  <c r="F30" i="1"/>
  <c r="F32" i="1" s="1"/>
  <c r="Q9" i="1"/>
  <c r="G24" i="1"/>
  <c r="G28" i="1" s="1"/>
  <c r="G23" i="1"/>
  <c r="B41" i="3" l="1"/>
  <c r="M47" i="3"/>
  <c r="T7" i="3"/>
  <c r="M50" i="3"/>
  <c r="M49" i="3"/>
  <c r="M44" i="3"/>
  <c r="M43" i="3"/>
  <c r="M41" i="3"/>
  <c r="M44" i="2"/>
  <c r="M50" i="2"/>
  <c r="T7" i="2"/>
  <c r="M49" i="2"/>
  <c r="M47" i="2"/>
  <c r="M43" i="2"/>
  <c r="M41" i="2"/>
  <c r="M37" i="3"/>
  <c r="B41" i="2"/>
  <c r="M37" i="2"/>
  <c r="G30" i="1"/>
  <c r="G32" i="1" s="1"/>
  <c r="Q10" i="1"/>
  <c r="H24" i="1"/>
  <c r="H28" i="1" s="1"/>
  <c r="H23" i="1"/>
  <c r="H30" i="1" l="1"/>
  <c r="H32" i="1" s="1"/>
  <c r="Q11" i="1"/>
  <c r="I24" i="1"/>
  <c r="I28" i="1" s="1"/>
  <c r="Q12" i="1" s="1"/>
  <c r="I23" i="1"/>
  <c r="M20" i="1" l="1"/>
  <c r="M22" i="1" s="1"/>
  <c r="I30" i="1"/>
  <c r="I32" i="1" s="1"/>
  <c r="B36" i="1" s="1"/>
  <c r="B39" i="1" l="1"/>
  <c r="B40" i="1" s="1"/>
  <c r="J30" i="1"/>
  <c r="J32" i="1"/>
  <c r="M41" i="1" l="1"/>
  <c r="M50" i="1"/>
  <c r="T7" i="1"/>
  <c r="M49" i="1"/>
  <c r="M47" i="1"/>
  <c r="M44" i="1"/>
  <c r="M43" i="1"/>
  <c r="M37" i="1"/>
  <c r="B41" i="1"/>
</calcChain>
</file>

<file path=xl/sharedStrings.xml><?xml version="1.0" encoding="utf-8"?>
<sst xmlns="http://schemas.openxmlformats.org/spreadsheetml/2006/main" count="345" uniqueCount="128">
  <si>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</si>
  <si>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</si>
  <si>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</si>
  <si>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</si>
  <si>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</si>
  <si>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</si>
  <si>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</si>
  <si>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</si>
  <si>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</si>
  <si>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</si>
  <si>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</si>
  <si>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</si>
  <si>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</si>
  <si>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</si>
  <si>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</si>
  <si>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</si>
  <si>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</si>
  <si>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</si>
  <si>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</si>
  <si>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</si>
  <si>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</si>
  <si>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</si>
  <si>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</si>
  <si>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</si>
  <si>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</si>
  <si>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</si>
  <si>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</si>
  <si>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</si>
  <si>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</si>
  <si>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</si>
  <si>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</si>
  <si>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</si>
  <si>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</si>
  <si>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</si>
  <si>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</si>
  <si>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</si>
  <si>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</si>
  <si>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</si>
  <si>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</si>
  <si>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</si>
  <si>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</si>
  <si>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</si>
  <si>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</si>
  <si>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</si>
  <si>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</si>
  <si>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</si>
  <si>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</si>
  <si>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</si>
  <si>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</si>
  <si>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</si>
  <si>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</si>
  <si>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</si>
  <si>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</si>
  <si>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</si>
  <si>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</si>
  <si>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Upside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</si>
  <si>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</si>
  <si>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</si>
  <si>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</si>
  <si>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</si>
  <si>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</si>
  <si>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</si>
  <si>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</si>
  <si>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</si>
  <si>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</si>
  <si>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</si>
  <si>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</si>
  <si>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</si>
  <si>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</si>
  <si>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</si>
  <si>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</si>
  <si>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</si>
  <si>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(Following previous trend logic)</t>
  </si>
  <si>
    <t>Perpetual Growth Equity Value per Share</t>
  </si>
  <si>
    <t>Downside</t>
  </si>
  <si>
    <t>Mid to end of month closing price</t>
  </si>
  <si>
    <t>(1% of Revenue)</t>
  </si>
  <si>
    <t>28.0x</t>
  </si>
  <si>
    <t>(6% of Revenue)</t>
  </si>
  <si>
    <t>4,055,340,000 (6% of Revenue)</t>
  </si>
  <si>
    <t>(4% of Revenue)</t>
  </si>
  <si>
    <t>(Intrinsic EV + Cash - Debt + Average Growth Terminal Value) / 2</t>
  </si>
  <si>
    <t>(Intrinsic Equity Value / Shares Outstanding)</t>
  </si>
  <si>
    <t>(Revenue * 0.25)</t>
  </si>
  <si>
    <t>Caterpillar Indexed</t>
  </si>
  <si>
    <t>Caterpillar Inc</t>
  </si>
  <si>
    <t>(as of May 2026)</t>
  </si>
  <si>
    <t>EBIT Margin</t>
  </si>
  <si>
    <t>*base-case assumptions</t>
  </si>
  <si>
    <t>*bear-case assumptions</t>
  </si>
  <si>
    <t>*bull-case assumptions</t>
  </si>
  <si>
    <t>23.0x</t>
  </si>
  <si>
    <t>(3% of Revenue)</t>
  </si>
  <si>
    <t>(5% of Revenue)</t>
  </si>
  <si>
    <t>(7% of Revenue)</t>
  </si>
  <si>
    <t>(2% of Revenue)</t>
  </si>
  <si>
    <t>4,731,230,000 (7% of Revenue)</t>
  </si>
  <si>
    <t>33.0x</t>
  </si>
  <si>
    <t>(Revenue * 0.3)</t>
  </si>
  <si>
    <t>(0.5% of Revenue)</t>
  </si>
  <si>
    <t>3,379,450,000 (5% of Revenue)</t>
  </si>
  <si>
    <t>Intrinsic Value vs Current Price</t>
  </si>
  <si>
    <t>Upside ($)</t>
  </si>
  <si>
    <t>Upside (%)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</si>
  <si>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</si>
  <si>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</si>
  <si>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</si>
  <si>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</si>
  <si>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</si>
  <si>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</si>
  <si>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</si>
  <si>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</si>
  <si>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</si>
  <si>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</si>
  <si>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</si>
  <si>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</si>
  <si>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</si>
  <si>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</si>
  <si>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</si>
  <si>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</si>
  <si>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</si>
  <si>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</si>
  <si>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</si>
  <si>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</si>
  <si>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CAT</t>
  </si>
  <si>
    <t>Risk-Free Rate + (Beta x Market Risk Premium)</t>
  </si>
  <si>
    <t>Market Risk Premium (assuming 9% return)</t>
  </si>
  <si>
    <t>(Revenue * 0.35)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</si>
</sst>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"/>
    <numFmt numFmtId="166" formatCode="&quot;$&quot;#,##0"/>
    <numFmt numFmtId="167" formatCode="_(&quot;$&quot;* #,##0_);_(&quot;$&quot;* \(#,##0\);_(&quot;$&quot;* &quot;-&quot;??_);_(@_)"/>
    <numFmt numFmtId="168" formatCode="_(* #,##0_);_(* \(#,##0\);_(* &quot;-&quot;??_);_(@_)"/>
    <numFmt numFmtId="169" formatCode="0.0%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6" fontId="0" fillId="0" borderId="0" xfId="0" applyNumberFormat="1" applyAlignment="1">
      <alignment horizontal="center" vertical="top"/>
    </xf>
    <xf numFmtId="0" fontId="5" fillId="0" borderId="0" xfId="0" applyFont="1"/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68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8" fontId="0" fillId="0" borderId="0" xfId="2" applyNumberFormat="1" applyFont="1"/>
    <xf numFmtId="165" fontId="0" fillId="0" borderId="0" xfId="0" applyNumberFormat="1" applyAlignment="1">
      <alignment horizontal="center"/>
    </xf>
    <xf numFmtId="9" fontId="3" fillId="3" borderId="0" xfId="0" applyNumberFormat="1" applyFont="1" applyFill="1" applyAlignment="1">
      <alignment horizontal="left"/>
    </xf>
    <xf numFmtId="16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10" fontId="0" fillId="5" borderId="5" xfId="3" applyNumberFormat="1" applyFont="1" applyFill="1" applyBorder="1"/>
    <xf numFmtId="10" fontId="0" fillId="5" borderId="8" xfId="3" applyNumberFormat="1" applyFont="1" applyFill="1" applyBorder="1"/>
    <xf numFmtId="17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8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8" fontId="0" fillId="0" borderId="0" xfId="0" applyNumberFormat="1"/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13990923000</c:v>
                </c:pt>
                <c:pt idx="1">
                  <c:v>14970287610</c:v>
                </c:pt>
                <c:pt idx="2">
                  <c:v>16317613494.900002</c:v>
                </c:pt>
                <c:pt idx="3">
                  <c:v>18928431654.084</c:v>
                </c:pt>
                <c:pt idx="4">
                  <c:v>20631990502.951557</c:v>
                </c:pt>
                <c:pt idx="5">
                  <c:v>21663590028.09914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770.3644514041074</c:v>
                </c:pt>
                <c:pt idx="1">
                  <c:v>105.64</c:v>
                </c:pt>
                <c:pt idx="2">
                  <c:v>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CAT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Caterpillar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'Base Assumptions'!$V$15:$V$74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90.326862452297988</c:v>
                </c:pt>
                <c:pt idx="2">
                  <c:v>85.759913721586187</c:v>
                </c:pt>
                <c:pt idx="3">
                  <c:v>87.261489961838393</c:v>
                </c:pt>
                <c:pt idx="4">
                  <c:v>80.608096897295496</c:v>
                </c:pt>
                <c:pt idx="5">
                  <c:v>84.623361539737843</c:v>
                </c:pt>
                <c:pt idx="6">
                  <c:v>82.04745312759249</c:v>
                </c:pt>
                <c:pt idx="7">
                  <c:v>85.755765720922511</c:v>
                </c:pt>
                <c:pt idx="8">
                  <c:v>83.441181350589005</c:v>
                </c:pt>
                <c:pt idx="9">
                  <c:v>81.15978098556495</c:v>
                </c:pt>
                <c:pt idx="10">
                  <c:v>91.160610585697682</c:v>
                </c:pt>
                <c:pt idx="11">
                  <c:v>87.332005973120957</c:v>
                </c:pt>
                <c:pt idx="12">
                  <c:v>92.458934793429563</c:v>
                </c:pt>
                <c:pt idx="13">
                  <c:v>73.954703832752614</c:v>
                </c:pt>
                <c:pt idx="14">
                  <c:v>82.234113157458097</c:v>
                </c:pt>
                <c:pt idx="15">
                  <c:v>79.608428737348589</c:v>
                </c:pt>
                <c:pt idx="16">
                  <c:v>68.060394889663186</c:v>
                </c:pt>
                <c:pt idx="17">
                  <c:v>90.982246557159442</c:v>
                </c:pt>
                <c:pt idx="18">
                  <c:v>97.94673967147834</c:v>
                </c:pt>
                <c:pt idx="19">
                  <c:v>99.369503899120616</c:v>
                </c:pt>
                <c:pt idx="20">
                  <c:v>109.73120955699353</c:v>
                </c:pt>
                <c:pt idx="21">
                  <c:v>105.90260494441679</c:v>
                </c:pt>
                <c:pt idx="22">
                  <c:v>94.922847187655549</c:v>
                </c:pt>
                <c:pt idx="23">
                  <c:v>90.758254521320723</c:v>
                </c:pt>
                <c:pt idx="24">
                  <c:v>94.006139040982234</c:v>
                </c:pt>
                <c:pt idx="25">
                  <c:v>102.06155632984901</c:v>
                </c:pt>
                <c:pt idx="26">
                  <c:v>108.026381284221</c:v>
                </c:pt>
                <c:pt idx="27">
                  <c:v>118.73651899784304</c:v>
                </c:pt>
                <c:pt idx="28">
                  <c:v>113.24041811846691</c:v>
                </c:pt>
                <c:pt idx="29">
                  <c:v>98.954703832752614</c:v>
                </c:pt>
                <c:pt idx="30">
                  <c:v>106.5040650406504</c:v>
                </c:pt>
                <c:pt idx="31">
                  <c:v>122.64393562302971</c:v>
                </c:pt>
                <c:pt idx="32">
                  <c:v>130.69935291189645</c:v>
                </c:pt>
                <c:pt idx="33">
                  <c:v>139.66318234610918</c:v>
                </c:pt>
                <c:pt idx="34">
                  <c:v>151.99518831923012</c:v>
                </c:pt>
                <c:pt idx="35">
                  <c:v>139.68392234942758</c:v>
                </c:pt>
                <c:pt idx="36">
                  <c:v>140.41811846689893</c:v>
                </c:pt>
                <c:pt idx="37">
                  <c:v>138.16990210718433</c:v>
                </c:pt>
                <c:pt idx="38">
                  <c:v>133.09689729550357</c:v>
                </c:pt>
                <c:pt idx="39">
                  <c:v>147.71030363364858</c:v>
                </c:pt>
                <c:pt idx="40">
                  <c:v>164.71295835407332</c:v>
                </c:pt>
                <c:pt idx="41">
                  <c:v>157.47054919528787</c:v>
                </c:pt>
                <c:pt idx="42">
                  <c:v>168.45445495271278</c:v>
                </c:pt>
                <c:pt idx="43">
                  <c:v>151.34395221503237</c:v>
                </c:pt>
                <c:pt idx="44">
                  <c:v>169.08495105359216</c:v>
                </c:pt>
                <c:pt idx="45">
                  <c:v>142.67048282727723</c:v>
                </c:pt>
                <c:pt idx="46">
                  <c:v>119.49560311929648</c:v>
                </c:pt>
                <c:pt idx="47">
                  <c:v>134.26248548199766</c:v>
                </c:pt>
                <c:pt idx="48">
                  <c:v>144.36286709805873</c:v>
                </c:pt>
                <c:pt idx="49">
                  <c:v>165.0323544051767</c:v>
                </c:pt>
                <c:pt idx="50">
                  <c:v>177.82064045130247</c:v>
                </c:pt>
                <c:pt idx="51">
                  <c:v>173.81781981085115</c:v>
                </c:pt>
                <c:pt idx="52">
                  <c:v>206.50821304131409</c:v>
                </c:pt>
                <c:pt idx="53">
                  <c:v>239.4474863115978</c:v>
                </c:pt>
                <c:pt idx="54">
                  <c:v>238.82528621204577</c:v>
                </c:pt>
                <c:pt idx="55">
                  <c:v>248.2205077152812</c:v>
                </c:pt>
                <c:pt idx="56">
                  <c:v>272.67297162767545</c:v>
                </c:pt>
                <c:pt idx="57">
                  <c:v>308.12593330014931</c:v>
                </c:pt>
                <c:pt idx="58">
                  <c:v>288.45196615231458</c:v>
                </c:pt>
                <c:pt idx="59">
                  <c:v>369.03517504562797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'Base Assumptions'!$W$15:$W$74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102.89487433479356</c:v>
                </c:pt>
                <c:pt idx="2">
                  <c:v>103.90955793176656</c:v>
                </c:pt>
                <c:pt idx="3">
                  <c:v>106.60726401868605</c:v>
                </c:pt>
                <c:pt idx="4">
                  <c:v>105.33323561605619</c:v>
                </c:pt>
                <c:pt idx="5">
                  <c:v>107.44723858067229</c:v>
                </c:pt>
                <c:pt idx="6">
                  <c:v>108.62268285936511</c:v>
                </c:pt>
                <c:pt idx="7">
                  <c:v>112.67858029405021</c:v>
                </c:pt>
                <c:pt idx="8">
                  <c:v>106.39827513245024</c:v>
                </c:pt>
                <c:pt idx="9">
                  <c:v>103.65872398573011</c:v>
                </c:pt>
                <c:pt idx="10">
                  <c:v>107.40373863150106</c:v>
                </c:pt>
                <c:pt idx="11">
                  <c:v>100.99033308194774</c:v>
                </c:pt>
                <c:pt idx="12">
                  <c:v>98.306102522760625</c:v>
                </c:pt>
                <c:pt idx="13">
                  <c:v>92.478527810415855</c:v>
                </c:pt>
                <c:pt idx="14">
                  <c:v>97.645328838338571</c:v>
                </c:pt>
                <c:pt idx="15">
                  <c:v>92.774516594994196</c:v>
                </c:pt>
                <c:pt idx="16">
                  <c:v>84.768634645345372</c:v>
                </c:pt>
                <c:pt idx="17">
                  <c:v>92.226038975008791</c:v>
                </c:pt>
                <c:pt idx="18">
                  <c:v>95.182617042050737</c:v>
                </c:pt>
                <c:pt idx="19">
                  <c:v>90.770681979909639</c:v>
                </c:pt>
                <c:pt idx="20">
                  <c:v>96.233235379643432</c:v>
                </c:pt>
                <c:pt idx="21">
                  <c:v>95.644094763693616</c:v>
                </c:pt>
                <c:pt idx="22">
                  <c:v>93.879273456283713</c:v>
                </c:pt>
                <c:pt idx="23">
                  <c:v>97.721690162155511</c:v>
                </c:pt>
                <c:pt idx="24">
                  <c:v>101.2406942024497</c:v>
                </c:pt>
                <c:pt idx="25">
                  <c:v>105.21266510476633</c:v>
                </c:pt>
                <c:pt idx="26">
                  <c:v>108.32976744076086</c:v>
                </c:pt>
                <c:pt idx="27">
                  <c:v>106.75856818971651</c:v>
                </c:pt>
                <c:pt idx="28">
                  <c:v>102.13173392215873</c:v>
                </c:pt>
                <c:pt idx="29">
                  <c:v>97.339883543070854</c:v>
                </c:pt>
                <c:pt idx="30">
                  <c:v>107.78861861655977</c:v>
                </c:pt>
                <c:pt idx="31">
                  <c:v>112.76487095409099</c:v>
                </c:pt>
                <c:pt idx="32">
                  <c:v>117.22787117395485</c:v>
                </c:pt>
                <c:pt idx="33">
                  <c:v>121.44712983079937</c:v>
                </c:pt>
                <c:pt idx="34">
                  <c:v>123.74269780065201</c:v>
                </c:pt>
                <c:pt idx="35">
                  <c:v>117.43165897931149</c:v>
                </c:pt>
                <c:pt idx="36">
                  <c:v>124.76707432108162</c:v>
                </c:pt>
                <c:pt idx="37">
                  <c:v>129.19059360881724</c:v>
                </c:pt>
                <c:pt idx="38">
                  <c:v>129.06009376130348</c:v>
                </c:pt>
                <c:pt idx="39">
                  <c:v>133.53538744506358</c:v>
                </c:pt>
                <c:pt idx="40">
                  <c:v>135.96263732626613</c:v>
                </c:pt>
                <c:pt idx="41">
                  <c:v>135.43614609363362</c:v>
                </c:pt>
                <c:pt idx="42">
                  <c:v>141.1228187967063</c:v>
                </c:pt>
                <c:pt idx="43">
                  <c:v>140.48757769114565</c:v>
                </c:pt>
                <c:pt idx="44">
                  <c:v>142.80584128665282</c:v>
                </c:pt>
                <c:pt idx="45">
                  <c:v>140.77198225012944</c:v>
                </c:pt>
                <c:pt idx="46">
                  <c:v>119.95772939721836</c:v>
                </c:pt>
                <c:pt idx="47">
                  <c:v>124.88977254727662</c:v>
                </c:pt>
                <c:pt idx="48">
                  <c:v>137.18607339670768</c:v>
                </c:pt>
                <c:pt idx="49">
                  <c:v>148.45185099376107</c:v>
                </c:pt>
                <c:pt idx="50">
                  <c:v>147.47452061401123</c:v>
                </c:pt>
                <c:pt idx="51">
                  <c:v>152.72879436581093</c:v>
                </c:pt>
                <c:pt idx="52">
                  <c:v>158.76984980696895</c:v>
                </c:pt>
                <c:pt idx="53">
                  <c:v>161.71106104414062</c:v>
                </c:pt>
                <c:pt idx="54">
                  <c:v>161.9212319942126</c:v>
                </c:pt>
                <c:pt idx="55">
                  <c:v>163.83262921730824</c:v>
                </c:pt>
                <c:pt idx="56">
                  <c:v>164.04752842272492</c:v>
                </c:pt>
                <c:pt idx="57">
                  <c:v>163.34963793384699</c:v>
                </c:pt>
                <c:pt idx="58">
                  <c:v>150.56774526051504</c:v>
                </c:pt>
                <c:pt idx="59">
                  <c:v>168.39823257815215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'Base Assumptions'!$X$15:$X$74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105.97083207559599</c:v>
                </c:pt>
                <c:pt idx="2">
                  <c:v>106.21224525842069</c:v>
                </c:pt>
                <c:pt idx="3">
                  <c:v>106.51612907895984</c:v>
                </c:pt>
                <c:pt idx="4">
                  <c:v>108.92693107020237</c:v>
                </c:pt>
                <c:pt idx="5">
                  <c:v>112.1893750692208</c:v>
                </c:pt>
                <c:pt idx="6">
                  <c:v>109.20033964337446</c:v>
                </c:pt>
                <c:pt idx="7">
                  <c:v>113.31124058868622</c:v>
                </c:pt>
                <c:pt idx="8">
                  <c:v>99.682072953833256</c:v>
                </c:pt>
                <c:pt idx="9">
                  <c:v>96.373011236752134</c:v>
                </c:pt>
                <c:pt idx="10">
                  <c:v>102.56839014686751</c:v>
                </c:pt>
                <c:pt idx="11">
                  <c:v>92.940745550505312</c:v>
                </c:pt>
                <c:pt idx="12">
                  <c:v>82.193551843028601</c:v>
                </c:pt>
                <c:pt idx="13">
                  <c:v>80.552014587581596</c:v>
                </c:pt>
                <c:pt idx="14">
                  <c:v>89.693430593528973</c:v>
                </c:pt>
                <c:pt idx="15">
                  <c:v>87.891120120974421</c:v>
                </c:pt>
                <c:pt idx="16">
                  <c:v>78.670511904529235</c:v>
                </c:pt>
                <c:pt idx="17">
                  <c:v>80.368149674725601</c:v>
                </c:pt>
                <c:pt idx="18">
                  <c:v>81.2651064208668</c:v>
                </c:pt>
                <c:pt idx="19">
                  <c:v>75.764505240511951</c:v>
                </c:pt>
                <c:pt idx="20">
                  <c:v>80.643078390877989</c:v>
                </c:pt>
                <c:pt idx="21">
                  <c:v>84.614126182001655</c:v>
                </c:pt>
                <c:pt idx="22">
                  <c:v>85.590999016250322</c:v>
                </c:pt>
                <c:pt idx="23">
                  <c:v>87.389834876278456</c:v>
                </c:pt>
                <c:pt idx="24">
                  <c:v>95.846969377805479</c:v>
                </c:pt>
                <c:pt idx="25">
                  <c:v>97.669331260147857</c:v>
                </c:pt>
                <c:pt idx="26">
                  <c:v>101.58036959742995</c:v>
                </c:pt>
                <c:pt idx="27">
                  <c:v>98.379672358516316</c:v>
                </c:pt>
                <c:pt idx="28">
                  <c:v>95.637334422045257</c:v>
                </c:pt>
                <c:pt idx="29">
                  <c:v>91.519918578246461</c:v>
                </c:pt>
                <c:pt idx="30">
                  <c:v>103.15871233755283</c:v>
                </c:pt>
                <c:pt idx="31">
                  <c:v>108.53075285443039</c:v>
                </c:pt>
                <c:pt idx="32">
                  <c:v>113.13446967640499</c:v>
                </c:pt>
                <c:pt idx="33">
                  <c:v>117.8106466471075</c:v>
                </c:pt>
                <c:pt idx="34">
                  <c:v>118.92454951286658</c:v>
                </c:pt>
                <c:pt idx="35">
                  <c:v>110.62304869741844</c:v>
                </c:pt>
                <c:pt idx="36">
                  <c:v>121.14106275367386</c:v>
                </c:pt>
                <c:pt idx="37">
                  <c:v>128.04931633379155</c:v>
                </c:pt>
                <c:pt idx="38">
                  <c:v>125.64980683325986</c:v>
                </c:pt>
                <c:pt idx="39">
                  <c:v>129.41331891369137</c:v>
                </c:pt>
                <c:pt idx="40">
                  <c:v>131.29583502539722</c:v>
                </c:pt>
                <c:pt idx="41">
                  <c:v>134.05207141197394</c:v>
                </c:pt>
                <c:pt idx="42">
                  <c:v>137.5631673699138</c:v>
                </c:pt>
                <c:pt idx="43">
                  <c:v>142.76335934225582</c:v>
                </c:pt>
                <c:pt idx="44">
                  <c:v>142.07864351126969</c:v>
                </c:pt>
                <c:pt idx="45">
                  <c:v>141.32993689958874</c:v>
                </c:pt>
                <c:pt idx="46">
                  <c:v>112.83652165226512</c:v>
                </c:pt>
                <c:pt idx="47">
                  <c:v>117.89396495998044</c:v>
                </c:pt>
                <c:pt idx="48">
                  <c:v>138.36030139368157</c:v>
                </c:pt>
                <c:pt idx="49">
                  <c:v>140.7754466505821</c:v>
                </c:pt>
                <c:pt idx="50">
                  <c:v>149.48166743759631</c:v>
                </c:pt>
                <c:pt idx="51">
                  <c:v>155.60863991359795</c:v>
                </c:pt>
                <c:pt idx="52">
                  <c:v>164.90301125846844</c:v>
                </c:pt>
                <c:pt idx="53">
                  <c:v>167.97485828286096</c:v>
                </c:pt>
                <c:pt idx="54">
                  <c:v>169.13899825473106</c:v>
                </c:pt>
                <c:pt idx="55">
                  <c:v>170.78516832687995</c:v>
                </c:pt>
                <c:pt idx="56">
                  <c:v>169.83486180090614</c:v>
                </c:pt>
                <c:pt idx="57">
                  <c:v>164.09009670280989</c:v>
                </c:pt>
                <c:pt idx="58">
                  <c:v>151.64048763291299</c:v>
                </c:pt>
                <c:pt idx="59">
                  <c:v>177.12184814640278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'Base Assumptions'!$Y$15:$Y$74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99.723105928417624</c:v>
                </c:pt>
                <c:pt idx="2">
                  <c:v>101.54100340434039</c:v>
                </c:pt>
                <c:pt idx="3">
                  <c:v>101.71051088273924</c:v>
                </c:pt>
                <c:pt idx="4">
                  <c:v>99.412125012127333</c:v>
                </c:pt>
                <c:pt idx="5">
                  <c:v>103.32345287862969</c:v>
                </c:pt>
                <c:pt idx="6">
                  <c:v>101.04226971469281</c:v>
                </c:pt>
                <c:pt idx="7">
                  <c:v>104.11564620925036</c:v>
                </c:pt>
                <c:pt idx="8">
                  <c:v>100.56768932027589</c:v>
                </c:pt>
                <c:pt idx="9">
                  <c:v>98.636815819539564</c:v>
                </c:pt>
                <c:pt idx="10">
                  <c:v>100.9608899070214</c:v>
                </c:pt>
                <c:pt idx="11">
                  <c:v>97.92047078653151</c:v>
                </c:pt>
                <c:pt idx="12">
                  <c:v>96.187341530201024</c:v>
                </c:pt>
                <c:pt idx="13">
                  <c:v>90.060108110612831</c:v>
                </c:pt>
                <c:pt idx="14">
                  <c:v>95.122076951703548</c:v>
                </c:pt>
                <c:pt idx="15">
                  <c:v>90.700662767579558</c:v>
                </c:pt>
                <c:pt idx="16">
                  <c:v>89.264149877857889</c:v>
                </c:pt>
                <c:pt idx="17">
                  <c:v>95.170354581379101</c:v>
                </c:pt>
                <c:pt idx="18">
                  <c:v>99.711637457300938</c:v>
                </c:pt>
                <c:pt idx="19">
                  <c:v>96.161189940760721</c:v>
                </c:pt>
                <c:pt idx="20">
                  <c:v>96.658041179341112</c:v>
                </c:pt>
                <c:pt idx="21">
                  <c:v>95.040378575389994</c:v>
                </c:pt>
                <c:pt idx="22">
                  <c:v>96.364552577582344</c:v>
                </c:pt>
                <c:pt idx="23">
                  <c:v>97.913404354833347</c:v>
                </c:pt>
                <c:pt idx="24">
                  <c:v>95.840912612277336</c:v>
                </c:pt>
                <c:pt idx="25">
                  <c:v>97.677287069443636</c:v>
                </c:pt>
                <c:pt idx="26">
                  <c:v>101.5527904440992</c:v>
                </c:pt>
                <c:pt idx="27">
                  <c:v>100.89274517839119</c:v>
                </c:pt>
                <c:pt idx="28">
                  <c:v>97.040352510682908</c:v>
                </c:pt>
                <c:pt idx="29">
                  <c:v>98.644258741451139</c:v>
                </c:pt>
                <c:pt idx="30">
                  <c:v>104.96981562115818</c:v>
                </c:pt>
                <c:pt idx="31">
                  <c:v>109.15186891189985</c:v>
                </c:pt>
                <c:pt idx="32">
                  <c:v>110.36790334048183</c:v>
                </c:pt>
                <c:pt idx="33">
                  <c:v>113.20012337294688</c:v>
                </c:pt>
                <c:pt idx="34">
                  <c:v>115.28527097883112</c:v>
                </c:pt>
                <c:pt idx="35">
                  <c:v>110.01159879465212</c:v>
                </c:pt>
                <c:pt idx="36">
                  <c:v>112.03862210374045</c:v>
                </c:pt>
                <c:pt idx="37">
                  <c:v>113.38243151860226</c:v>
                </c:pt>
                <c:pt idx="38">
                  <c:v>116.67585206251476</c:v>
                </c:pt>
                <c:pt idx="39">
                  <c:v>119.24626659272015</c:v>
                </c:pt>
                <c:pt idx="40">
                  <c:v>122.54177231319932</c:v>
                </c:pt>
                <c:pt idx="41">
                  <c:v>121.78644606270881</c:v>
                </c:pt>
                <c:pt idx="42">
                  <c:v>128.28617310730408</c:v>
                </c:pt>
                <c:pt idx="43">
                  <c:v>124.06875869728596</c:v>
                </c:pt>
                <c:pt idx="44">
                  <c:v>128.65611818317407</c:v>
                </c:pt>
                <c:pt idx="45">
                  <c:v>126.9667197131724</c:v>
                </c:pt>
                <c:pt idx="46">
                  <c:v>110.96284476005268</c:v>
                </c:pt>
                <c:pt idx="47">
                  <c:v>113.35897328222721</c:v>
                </c:pt>
                <c:pt idx="48">
                  <c:v>120.48575925767715</c:v>
                </c:pt>
                <c:pt idx="49">
                  <c:v>122.2342666911868</c:v>
                </c:pt>
                <c:pt idx="50">
                  <c:v>130.03948803123131</c:v>
                </c:pt>
                <c:pt idx="51">
                  <c:v>131.90155070526754</c:v>
                </c:pt>
                <c:pt idx="52">
                  <c:v>135.41565243581928</c:v>
                </c:pt>
                <c:pt idx="53">
                  <c:v>136.71552833885278</c:v>
                </c:pt>
                <c:pt idx="54">
                  <c:v>133.93034062228043</c:v>
                </c:pt>
                <c:pt idx="55">
                  <c:v>139.40242314893518</c:v>
                </c:pt>
                <c:pt idx="56">
                  <c:v>142.19372159127934</c:v>
                </c:pt>
                <c:pt idx="57">
                  <c:v>141.8439042614348</c:v>
                </c:pt>
                <c:pt idx="58">
                  <c:v>131.99593390569501</c:v>
                </c:pt>
                <c:pt idx="59">
                  <c:v>143.20364210840313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4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8955542500</c:v>
                </c:pt>
                <c:pt idx="1">
                  <c:v>9403319625</c:v>
                </c:pt>
                <c:pt idx="2">
                  <c:v>9873485606.25</c:v>
                </c:pt>
                <c:pt idx="3">
                  <c:v>10959569022.9375</c:v>
                </c:pt>
                <c:pt idx="4">
                  <c:v>11945930235.001873</c:v>
                </c:pt>
                <c:pt idx="5">
                  <c:v>12304308142.051933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C-44AC-A12C-71CAB8D1A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C8-48E1-B0B2-05A01122AE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416.67893933091869</c:v>
                </c:pt>
                <c:pt idx="1">
                  <c:v>459.32</c:v>
                </c:pt>
                <c:pt idx="2">
                  <c:v>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C8-48E1-B0B2-05A01122A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CAT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Caterpillar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'Bear Assumptions'!$V$15:$V$74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90.326862452297988</c:v>
                </c:pt>
                <c:pt idx="2">
                  <c:v>85.759913721586187</c:v>
                </c:pt>
                <c:pt idx="3">
                  <c:v>87.261489961838393</c:v>
                </c:pt>
                <c:pt idx="4">
                  <c:v>80.608096897295496</c:v>
                </c:pt>
                <c:pt idx="5">
                  <c:v>84.623361539737843</c:v>
                </c:pt>
                <c:pt idx="6">
                  <c:v>82.04745312759249</c:v>
                </c:pt>
                <c:pt idx="7">
                  <c:v>85.755765720922511</c:v>
                </c:pt>
                <c:pt idx="8">
                  <c:v>83.441181350589005</c:v>
                </c:pt>
                <c:pt idx="9">
                  <c:v>81.15978098556495</c:v>
                </c:pt>
                <c:pt idx="10">
                  <c:v>91.160610585697682</c:v>
                </c:pt>
                <c:pt idx="11">
                  <c:v>87.332005973120957</c:v>
                </c:pt>
                <c:pt idx="12">
                  <c:v>92.458934793429563</c:v>
                </c:pt>
                <c:pt idx="13">
                  <c:v>73.954703832752614</c:v>
                </c:pt>
                <c:pt idx="14">
                  <c:v>82.234113157458097</c:v>
                </c:pt>
                <c:pt idx="15">
                  <c:v>79.608428737348589</c:v>
                </c:pt>
                <c:pt idx="16">
                  <c:v>68.060394889663186</c:v>
                </c:pt>
                <c:pt idx="17">
                  <c:v>90.982246557159442</c:v>
                </c:pt>
                <c:pt idx="18">
                  <c:v>97.94673967147834</c:v>
                </c:pt>
                <c:pt idx="19">
                  <c:v>99.369503899120616</c:v>
                </c:pt>
                <c:pt idx="20">
                  <c:v>109.73120955699353</c:v>
                </c:pt>
                <c:pt idx="21">
                  <c:v>105.90260494441679</c:v>
                </c:pt>
                <c:pt idx="22">
                  <c:v>94.922847187655549</c:v>
                </c:pt>
                <c:pt idx="23">
                  <c:v>90.758254521320723</c:v>
                </c:pt>
                <c:pt idx="24">
                  <c:v>94.006139040982234</c:v>
                </c:pt>
                <c:pt idx="25">
                  <c:v>102.06155632984901</c:v>
                </c:pt>
                <c:pt idx="26">
                  <c:v>108.026381284221</c:v>
                </c:pt>
                <c:pt idx="27">
                  <c:v>118.73651899784304</c:v>
                </c:pt>
                <c:pt idx="28">
                  <c:v>113.24041811846691</c:v>
                </c:pt>
                <c:pt idx="29">
                  <c:v>98.954703832752614</c:v>
                </c:pt>
                <c:pt idx="30">
                  <c:v>106.5040650406504</c:v>
                </c:pt>
                <c:pt idx="31">
                  <c:v>122.64393562302971</c:v>
                </c:pt>
                <c:pt idx="32">
                  <c:v>130.69935291189645</c:v>
                </c:pt>
                <c:pt idx="33">
                  <c:v>139.66318234610918</c:v>
                </c:pt>
                <c:pt idx="34">
                  <c:v>151.99518831923012</c:v>
                </c:pt>
                <c:pt idx="35">
                  <c:v>139.68392234942758</c:v>
                </c:pt>
                <c:pt idx="36">
                  <c:v>140.41811846689893</c:v>
                </c:pt>
                <c:pt idx="37">
                  <c:v>138.16990210718433</c:v>
                </c:pt>
                <c:pt idx="38">
                  <c:v>133.09689729550357</c:v>
                </c:pt>
                <c:pt idx="39">
                  <c:v>147.71030363364858</c:v>
                </c:pt>
                <c:pt idx="40">
                  <c:v>164.71295835407332</c:v>
                </c:pt>
                <c:pt idx="41">
                  <c:v>157.47054919528787</c:v>
                </c:pt>
                <c:pt idx="42">
                  <c:v>168.45445495271278</c:v>
                </c:pt>
                <c:pt idx="43">
                  <c:v>151.34395221503237</c:v>
                </c:pt>
                <c:pt idx="44">
                  <c:v>169.08495105359216</c:v>
                </c:pt>
                <c:pt idx="45">
                  <c:v>142.67048282727723</c:v>
                </c:pt>
                <c:pt idx="46">
                  <c:v>119.49560311929648</c:v>
                </c:pt>
                <c:pt idx="47">
                  <c:v>134.26248548199766</c:v>
                </c:pt>
                <c:pt idx="48">
                  <c:v>144.36286709805873</c:v>
                </c:pt>
                <c:pt idx="49">
                  <c:v>165.0323544051767</c:v>
                </c:pt>
                <c:pt idx="50">
                  <c:v>177.82064045130247</c:v>
                </c:pt>
                <c:pt idx="51">
                  <c:v>173.81781981085115</c:v>
                </c:pt>
                <c:pt idx="52">
                  <c:v>206.50821304131409</c:v>
                </c:pt>
                <c:pt idx="53">
                  <c:v>239.4474863115978</c:v>
                </c:pt>
                <c:pt idx="54">
                  <c:v>238.82528621204577</c:v>
                </c:pt>
                <c:pt idx="55">
                  <c:v>248.2205077152812</c:v>
                </c:pt>
                <c:pt idx="56">
                  <c:v>272.67297162767545</c:v>
                </c:pt>
                <c:pt idx="57">
                  <c:v>308.12593330014931</c:v>
                </c:pt>
                <c:pt idx="58">
                  <c:v>288.45196615231458</c:v>
                </c:pt>
                <c:pt idx="59">
                  <c:v>369.03517504562797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F-41EF-AED8-8F5C7CD4C2A1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'Bear Assumptions'!$W$15:$W$74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102.89487433479356</c:v>
                </c:pt>
                <c:pt idx="2">
                  <c:v>103.90955793176656</c:v>
                </c:pt>
                <c:pt idx="3">
                  <c:v>106.60726401868605</c:v>
                </c:pt>
                <c:pt idx="4">
                  <c:v>105.33323561605619</c:v>
                </c:pt>
                <c:pt idx="5">
                  <c:v>107.44723858067229</c:v>
                </c:pt>
                <c:pt idx="6">
                  <c:v>108.62268285936511</c:v>
                </c:pt>
                <c:pt idx="7">
                  <c:v>112.67858029405021</c:v>
                </c:pt>
                <c:pt idx="8">
                  <c:v>106.39827513245024</c:v>
                </c:pt>
                <c:pt idx="9">
                  <c:v>103.65872398573011</c:v>
                </c:pt>
                <c:pt idx="10">
                  <c:v>107.40373863150106</c:v>
                </c:pt>
                <c:pt idx="11">
                  <c:v>100.99033308194774</c:v>
                </c:pt>
                <c:pt idx="12">
                  <c:v>98.306102522760625</c:v>
                </c:pt>
                <c:pt idx="13">
                  <c:v>92.478527810415855</c:v>
                </c:pt>
                <c:pt idx="14">
                  <c:v>97.645328838338571</c:v>
                </c:pt>
                <c:pt idx="15">
                  <c:v>92.774516594994196</c:v>
                </c:pt>
                <c:pt idx="16">
                  <c:v>84.768634645345372</c:v>
                </c:pt>
                <c:pt idx="17">
                  <c:v>92.226038975008791</c:v>
                </c:pt>
                <c:pt idx="18">
                  <c:v>95.182617042050737</c:v>
                </c:pt>
                <c:pt idx="19">
                  <c:v>90.770681979909639</c:v>
                </c:pt>
                <c:pt idx="20">
                  <c:v>96.233235379643432</c:v>
                </c:pt>
                <c:pt idx="21">
                  <c:v>95.644094763693616</c:v>
                </c:pt>
                <c:pt idx="22">
                  <c:v>93.879273456283713</c:v>
                </c:pt>
                <c:pt idx="23">
                  <c:v>97.721690162155511</c:v>
                </c:pt>
                <c:pt idx="24">
                  <c:v>101.2406942024497</c:v>
                </c:pt>
                <c:pt idx="25">
                  <c:v>105.21266510476633</c:v>
                </c:pt>
                <c:pt idx="26">
                  <c:v>108.32976744076086</c:v>
                </c:pt>
                <c:pt idx="27">
                  <c:v>106.75856818971651</c:v>
                </c:pt>
                <c:pt idx="28">
                  <c:v>102.13173392215873</c:v>
                </c:pt>
                <c:pt idx="29">
                  <c:v>97.339883543070854</c:v>
                </c:pt>
                <c:pt idx="30">
                  <c:v>107.78861861655977</c:v>
                </c:pt>
                <c:pt idx="31">
                  <c:v>112.76487095409099</c:v>
                </c:pt>
                <c:pt idx="32">
                  <c:v>117.22787117395485</c:v>
                </c:pt>
                <c:pt idx="33">
                  <c:v>121.44712983079937</c:v>
                </c:pt>
                <c:pt idx="34">
                  <c:v>123.74269780065201</c:v>
                </c:pt>
                <c:pt idx="35">
                  <c:v>117.43165897931149</c:v>
                </c:pt>
                <c:pt idx="36">
                  <c:v>124.76707432108162</c:v>
                </c:pt>
                <c:pt idx="37">
                  <c:v>129.19059360881724</c:v>
                </c:pt>
                <c:pt idx="38">
                  <c:v>129.06009376130348</c:v>
                </c:pt>
                <c:pt idx="39">
                  <c:v>133.53538744506358</c:v>
                </c:pt>
                <c:pt idx="40">
                  <c:v>135.96263732626613</c:v>
                </c:pt>
                <c:pt idx="41">
                  <c:v>135.43614609363362</c:v>
                </c:pt>
                <c:pt idx="42">
                  <c:v>141.1228187967063</c:v>
                </c:pt>
                <c:pt idx="43">
                  <c:v>140.48757769114565</c:v>
                </c:pt>
                <c:pt idx="44">
                  <c:v>142.80584128665282</c:v>
                </c:pt>
                <c:pt idx="45">
                  <c:v>140.77198225012944</c:v>
                </c:pt>
                <c:pt idx="46">
                  <c:v>119.95772939721836</c:v>
                </c:pt>
                <c:pt idx="47">
                  <c:v>124.88977254727662</c:v>
                </c:pt>
                <c:pt idx="48">
                  <c:v>137.18607339670768</c:v>
                </c:pt>
                <c:pt idx="49">
                  <c:v>148.45185099376107</c:v>
                </c:pt>
                <c:pt idx="50">
                  <c:v>147.47452061401123</c:v>
                </c:pt>
                <c:pt idx="51">
                  <c:v>152.72879436581093</c:v>
                </c:pt>
                <c:pt idx="52">
                  <c:v>158.76984980696895</c:v>
                </c:pt>
                <c:pt idx="53">
                  <c:v>161.71106104414062</c:v>
                </c:pt>
                <c:pt idx="54">
                  <c:v>161.9212319942126</c:v>
                </c:pt>
                <c:pt idx="55">
                  <c:v>163.83262921730824</c:v>
                </c:pt>
                <c:pt idx="56">
                  <c:v>164.04752842272492</c:v>
                </c:pt>
                <c:pt idx="57">
                  <c:v>163.34963793384699</c:v>
                </c:pt>
                <c:pt idx="58">
                  <c:v>150.56774526051504</c:v>
                </c:pt>
                <c:pt idx="59">
                  <c:v>168.39823257815215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F-41EF-AED8-8F5C7CD4C2A1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'Bear Assumptions'!$X$15:$X$74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105.97083207559599</c:v>
                </c:pt>
                <c:pt idx="2">
                  <c:v>106.21224525842069</c:v>
                </c:pt>
                <c:pt idx="3">
                  <c:v>106.51612907895984</c:v>
                </c:pt>
                <c:pt idx="4">
                  <c:v>108.92693107020237</c:v>
                </c:pt>
                <c:pt idx="5">
                  <c:v>112.1893750692208</c:v>
                </c:pt>
                <c:pt idx="6">
                  <c:v>109.20033964337446</c:v>
                </c:pt>
                <c:pt idx="7">
                  <c:v>113.31124058868622</c:v>
                </c:pt>
                <c:pt idx="8">
                  <c:v>99.682072953833256</c:v>
                </c:pt>
                <c:pt idx="9">
                  <c:v>96.373011236752134</c:v>
                </c:pt>
                <c:pt idx="10">
                  <c:v>102.56839014686751</c:v>
                </c:pt>
                <c:pt idx="11">
                  <c:v>92.940745550505312</c:v>
                </c:pt>
                <c:pt idx="12">
                  <c:v>82.193551843028601</c:v>
                </c:pt>
                <c:pt idx="13">
                  <c:v>80.552014587581596</c:v>
                </c:pt>
                <c:pt idx="14">
                  <c:v>89.693430593528973</c:v>
                </c:pt>
                <c:pt idx="15">
                  <c:v>87.891120120974421</c:v>
                </c:pt>
                <c:pt idx="16">
                  <c:v>78.670511904529235</c:v>
                </c:pt>
                <c:pt idx="17">
                  <c:v>80.368149674725601</c:v>
                </c:pt>
                <c:pt idx="18">
                  <c:v>81.2651064208668</c:v>
                </c:pt>
                <c:pt idx="19">
                  <c:v>75.764505240511951</c:v>
                </c:pt>
                <c:pt idx="20">
                  <c:v>80.643078390877989</c:v>
                </c:pt>
                <c:pt idx="21">
                  <c:v>84.614126182001655</c:v>
                </c:pt>
                <c:pt idx="22">
                  <c:v>85.590999016250322</c:v>
                </c:pt>
                <c:pt idx="23">
                  <c:v>87.389834876278456</c:v>
                </c:pt>
                <c:pt idx="24">
                  <c:v>95.846969377805479</c:v>
                </c:pt>
                <c:pt idx="25">
                  <c:v>97.669331260147857</c:v>
                </c:pt>
                <c:pt idx="26">
                  <c:v>101.58036959742995</c:v>
                </c:pt>
                <c:pt idx="27">
                  <c:v>98.379672358516316</c:v>
                </c:pt>
                <c:pt idx="28">
                  <c:v>95.637334422045257</c:v>
                </c:pt>
                <c:pt idx="29">
                  <c:v>91.519918578246461</c:v>
                </c:pt>
                <c:pt idx="30">
                  <c:v>103.15871233755283</c:v>
                </c:pt>
                <c:pt idx="31">
                  <c:v>108.53075285443039</c:v>
                </c:pt>
                <c:pt idx="32">
                  <c:v>113.13446967640499</c:v>
                </c:pt>
                <c:pt idx="33">
                  <c:v>117.8106466471075</c:v>
                </c:pt>
                <c:pt idx="34">
                  <c:v>118.92454951286658</c:v>
                </c:pt>
                <c:pt idx="35">
                  <c:v>110.62304869741844</c:v>
                </c:pt>
                <c:pt idx="36">
                  <c:v>121.14106275367386</c:v>
                </c:pt>
                <c:pt idx="37">
                  <c:v>128.04931633379155</c:v>
                </c:pt>
                <c:pt idx="38">
                  <c:v>125.64980683325986</c:v>
                </c:pt>
                <c:pt idx="39">
                  <c:v>129.41331891369137</c:v>
                </c:pt>
                <c:pt idx="40">
                  <c:v>131.29583502539722</c:v>
                </c:pt>
                <c:pt idx="41">
                  <c:v>134.05207141197394</c:v>
                </c:pt>
                <c:pt idx="42">
                  <c:v>137.5631673699138</c:v>
                </c:pt>
                <c:pt idx="43">
                  <c:v>142.76335934225582</c:v>
                </c:pt>
                <c:pt idx="44">
                  <c:v>142.07864351126969</c:v>
                </c:pt>
                <c:pt idx="45">
                  <c:v>141.32993689958874</c:v>
                </c:pt>
                <c:pt idx="46">
                  <c:v>112.83652165226512</c:v>
                </c:pt>
                <c:pt idx="47">
                  <c:v>117.89396495998044</c:v>
                </c:pt>
                <c:pt idx="48">
                  <c:v>138.36030139368157</c:v>
                </c:pt>
                <c:pt idx="49">
                  <c:v>140.7754466505821</c:v>
                </c:pt>
                <c:pt idx="50">
                  <c:v>149.48166743759631</c:v>
                </c:pt>
                <c:pt idx="51">
                  <c:v>155.60863991359795</c:v>
                </c:pt>
                <c:pt idx="52">
                  <c:v>164.90301125846844</c:v>
                </c:pt>
                <c:pt idx="53">
                  <c:v>167.97485828286096</c:v>
                </c:pt>
                <c:pt idx="54">
                  <c:v>169.13899825473106</c:v>
                </c:pt>
                <c:pt idx="55">
                  <c:v>170.78516832687995</c:v>
                </c:pt>
                <c:pt idx="56">
                  <c:v>169.83486180090614</c:v>
                </c:pt>
                <c:pt idx="57">
                  <c:v>164.09009670280989</c:v>
                </c:pt>
                <c:pt idx="58">
                  <c:v>151.64048763291299</c:v>
                </c:pt>
                <c:pt idx="59">
                  <c:v>177.12184814640278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F-41EF-AED8-8F5C7CD4C2A1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'Bear Assumptions'!$Y$15:$Y$74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99.723105928417624</c:v>
                </c:pt>
                <c:pt idx="2">
                  <c:v>101.54100340434039</c:v>
                </c:pt>
                <c:pt idx="3">
                  <c:v>101.71051088273924</c:v>
                </c:pt>
                <c:pt idx="4">
                  <c:v>99.412125012127333</c:v>
                </c:pt>
                <c:pt idx="5">
                  <c:v>103.32345287862969</c:v>
                </c:pt>
                <c:pt idx="6">
                  <c:v>101.04226971469281</c:v>
                </c:pt>
                <c:pt idx="7">
                  <c:v>104.11564620925036</c:v>
                </c:pt>
                <c:pt idx="8">
                  <c:v>100.56768932027589</c:v>
                </c:pt>
                <c:pt idx="9">
                  <c:v>98.636815819539564</c:v>
                </c:pt>
                <c:pt idx="10">
                  <c:v>100.9608899070214</c:v>
                </c:pt>
                <c:pt idx="11">
                  <c:v>97.92047078653151</c:v>
                </c:pt>
                <c:pt idx="12">
                  <c:v>96.187341530201024</c:v>
                </c:pt>
                <c:pt idx="13">
                  <c:v>90.060108110612831</c:v>
                </c:pt>
                <c:pt idx="14">
                  <c:v>95.122076951703548</c:v>
                </c:pt>
                <c:pt idx="15">
                  <c:v>90.700662767579558</c:v>
                </c:pt>
                <c:pt idx="16">
                  <c:v>89.264149877857889</c:v>
                </c:pt>
                <c:pt idx="17">
                  <c:v>95.170354581379101</c:v>
                </c:pt>
                <c:pt idx="18">
                  <c:v>99.711637457300938</c:v>
                </c:pt>
                <c:pt idx="19">
                  <c:v>96.161189940760721</c:v>
                </c:pt>
                <c:pt idx="20">
                  <c:v>96.658041179341112</c:v>
                </c:pt>
                <c:pt idx="21">
                  <c:v>95.040378575389994</c:v>
                </c:pt>
                <c:pt idx="22">
                  <c:v>96.364552577582344</c:v>
                </c:pt>
                <c:pt idx="23">
                  <c:v>97.913404354833347</c:v>
                </c:pt>
                <c:pt idx="24">
                  <c:v>95.840912612277336</c:v>
                </c:pt>
                <c:pt idx="25">
                  <c:v>97.677287069443636</c:v>
                </c:pt>
                <c:pt idx="26">
                  <c:v>101.5527904440992</c:v>
                </c:pt>
                <c:pt idx="27">
                  <c:v>100.89274517839119</c:v>
                </c:pt>
                <c:pt idx="28">
                  <c:v>97.040352510682908</c:v>
                </c:pt>
                <c:pt idx="29">
                  <c:v>98.644258741451139</c:v>
                </c:pt>
                <c:pt idx="30">
                  <c:v>104.96981562115818</c:v>
                </c:pt>
                <c:pt idx="31">
                  <c:v>109.15186891189985</c:v>
                </c:pt>
                <c:pt idx="32">
                  <c:v>110.36790334048183</c:v>
                </c:pt>
                <c:pt idx="33">
                  <c:v>113.20012337294688</c:v>
                </c:pt>
                <c:pt idx="34">
                  <c:v>115.28527097883112</c:v>
                </c:pt>
                <c:pt idx="35">
                  <c:v>110.01159879465212</c:v>
                </c:pt>
                <c:pt idx="36">
                  <c:v>112.03862210374045</c:v>
                </c:pt>
                <c:pt idx="37">
                  <c:v>113.38243151860226</c:v>
                </c:pt>
                <c:pt idx="38">
                  <c:v>116.67585206251476</c:v>
                </c:pt>
                <c:pt idx="39">
                  <c:v>119.24626659272015</c:v>
                </c:pt>
                <c:pt idx="40">
                  <c:v>122.54177231319932</c:v>
                </c:pt>
                <c:pt idx="41">
                  <c:v>121.78644606270881</c:v>
                </c:pt>
                <c:pt idx="42">
                  <c:v>128.28617310730408</c:v>
                </c:pt>
                <c:pt idx="43">
                  <c:v>124.06875869728596</c:v>
                </c:pt>
                <c:pt idx="44">
                  <c:v>128.65611818317407</c:v>
                </c:pt>
                <c:pt idx="45">
                  <c:v>126.9667197131724</c:v>
                </c:pt>
                <c:pt idx="46">
                  <c:v>110.96284476005268</c:v>
                </c:pt>
                <c:pt idx="47">
                  <c:v>113.35897328222721</c:v>
                </c:pt>
                <c:pt idx="48">
                  <c:v>120.48575925767715</c:v>
                </c:pt>
                <c:pt idx="49">
                  <c:v>122.2342666911868</c:v>
                </c:pt>
                <c:pt idx="50">
                  <c:v>130.03948803123131</c:v>
                </c:pt>
                <c:pt idx="51">
                  <c:v>131.90155070526754</c:v>
                </c:pt>
                <c:pt idx="52">
                  <c:v>135.41565243581928</c:v>
                </c:pt>
                <c:pt idx="53">
                  <c:v>136.71552833885278</c:v>
                </c:pt>
                <c:pt idx="54">
                  <c:v>133.93034062228043</c:v>
                </c:pt>
                <c:pt idx="55">
                  <c:v>139.40242314893518</c:v>
                </c:pt>
                <c:pt idx="56">
                  <c:v>142.19372159127934</c:v>
                </c:pt>
                <c:pt idx="57">
                  <c:v>141.8439042614348</c:v>
                </c:pt>
                <c:pt idx="58">
                  <c:v>131.99593390569501</c:v>
                </c:pt>
                <c:pt idx="59">
                  <c:v>143.20364210840313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2F-41EF-AED8-8F5C7CD4C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4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18823536500</c:v>
                </c:pt>
                <c:pt idx="1">
                  <c:v>20705890150</c:v>
                </c:pt>
                <c:pt idx="2">
                  <c:v>23190596968.000004</c:v>
                </c:pt>
                <c:pt idx="3">
                  <c:v>27364904422.240002</c:v>
                </c:pt>
                <c:pt idx="4">
                  <c:v>30375043908.686413</c:v>
                </c:pt>
                <c:pt idx="5">
                  <c:v>32501296982.29446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2-4F78-8A21-531208CF5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CF-41DE-8F2C-D3544DAFB3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1314.2658008787955</c:v>
                </c:pt>
                <c:pt idx="1">
                  <c:v>438.27</c:v>
                </c:pt>
                <c:pt idx="2">
                  <c:v>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CF-41DE-8F2C-D3544DAFB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CAT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Caterpillar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'Bull Assumptions'!$V$15:$V$74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90.326862452297988</c:v>
                </c:pt>
                <c:pt idx="2">
                  <c:v>85.759913721586187</c:v>
                </c:pt>
                <c:pt idx="3">
                  <c:v>87.261489961838393</c:v>
                </c:pt>
                <c:pt idx="4">
                  <c:v>80.608096897295496</c:v>
                </c:pt>
                <c:pt idx="5">
                  <c:v>84.623361539737843</c:v>
                </c:pt>
                <c:pt idx="6">
                  <c:v>82.04745312759249</c:v>
                </c:pt>
                <c:pt idx="7">
                  <c:v>85.755765720922511</c:v>
                </c:pt>
                <c:pt idx="8">
                  <c:v>83.441181350589005</c:v>
                </c:pt>
                <c:pt idx="9">
                  <c:v>81.15978098556495</c:v>
                </c:pt>
                <c:pt idx="10">
                  <c:v>91.160610585697682</c:v>
                </c:pt>
                <c:pt idx="11">
                  <c:v>87.332005973120957</c:v>
                </c:pt>
                <c:pt idx="12">
                  <c:v>92.458934793429563</c:v>
                </c:pt>
                <c:pt idx="13">
                  <c:v>73.954703832752614</c:v>
                </c:pt>
                <c:pt idx="14">
                  <c:v>82.234113157458097</c:v>
                </c:pt>
                <c:pt idx="15">
                  <c:v>79.608428737348589</c:v>
                </c:pt>
                <c:pt idx="16">
                  <c:v>68.060394889663186</c:v>
                </c:pt>
                <c:pt idx="17">
                  <c:v>90.982246557159442</c:v>
                </c:pt>
                <c:pt idx="18">
                  <c:v>97.94673967147834</c:v>
                </c:pt>
                <c:pt idx="19">
                  <c:v>99.369503899120616</c:v>
                </c:pt>
                <c:pt idx="20">
                  <c:v>109.73120955699353</c:v>
                </c:pt>
                <c:pt idx="21">
                  <c:v>105.90260494441679</c:v>
                </c:pt>
                <c:pt idx="22">
                  <c:v>94.922847187655549</c:v>
                </c:pt>
                <c:pt idx="23">
                  <c:v>90.758254521320723</c:v>
                </c:pt>
                <c:pt idx="24">
                  <c:v>94.006139040982234</c:v>
                </c:pt>
                <c:pt idx="25">
                  <c:v>102.06155632984901</c:v>
                </c:pt>
                <c:pt idx="26">
                  <c:v>108.026381284221</c:v>
                </c:pt>
                <c:pt idx="27">
                  <c:v>118.73651899784304</c:v>
                </c:pt>
                <c:pt idx="28">
                  <c:v>113.24041811846691</c:v>
                </c:pt>
                <c:pt idx="29">
                  <c:v>98.954703832752614</c:v>
                </c:pt>
                <c:pt idx="30">
                  <c:v>106.5040650406504</c:v>
                </c:pt>
                <c:pt idx="31">
                  <c:v>122.64393562302971</c:v>
                </c:pt>
                <c:pt idx="32">
                  <c:v>130.69935291189645</c:v>
                </c:pt>
                <c:pt idx="33">
                  <c:v>139.66318234610918</c:v>
                </c:pt>
                <c:pt idx="34">
                  <c:v>151.99518831923012</c:v>
                </c:pt>
                <c:pt idx="35">
                  <c:v>139.68392234942758</c:v>
                </c:pt>
                <c:pt idx="36">
                  <c:v>140.41811846689893</c:v>
                </c:pt>
                <c:pt idx="37">
                  <c:v>138.16990210718433</c:v>
                </c:pt>
                <c:pt idx="38">
                  <c:v>133.09689729550357</c:v>
                </c:pt>
                <c:pt idx="39">
                  <c:v>147.71030363364858</c:v>
                </c:pt>
                <c:pt idx="40">
                  <c:v>164.71295835407332</c:v>
                </c:pt>
                <c:pt idx="41">
                  <c:v>157.47054919528787</c:v>
                </c:pt>
                <c:pt idx="42">
                  <c:v>168.45445495271278</c:v>
                </c:pt>
                <c:pt idx="43">
                  <c:v>151.34395221503237</c:v>
                </c:pt>
                <c:pt idx="44">
                  <c:v>169.08495105359216</c:v>
                </c:pt>
                <c:pt idx="45">
                  <c:v>142.67048282727723</c:v>
                </c:pt>
                <c:pt idx="46">
                  <c:v>119.49560311929648</c:v>
                </c:pt>
                <c:pt idx="47">
                  <c:v>134.26248548199766</c:v>
                </c:pt>
                <c:pt idx="48">
                  <c:v>144.36286709805873</c:v>
                </c:pt>
                <c:pt idx="49">
                  <c:v>165.0323544051767</c:v>
                </c:pt>
                <c:pt idx="50">
                  <c:v>177.82064045130247</c:v>
                </c:pt>
                <c:pt idx="51">
                  <c:v>173.81781981085115</c:v>
                </c:pt>
                <c:pt idx="52">
                  <c:v>206.50821304131409</c:v>
                </c:pt>
                <c:pt idx="53">
                  <c:v>239.4474863115978</c:v>
                </c:pt>
                <c:pt idx="54">
                  <c:v>238.82528621204577</c:v>
                </c:pt>
                <c:pt idx="55">
                  <c:v>248.2205077152812</c:v>
                </c:pt>
                <c:pt idx="56">
                  <c:v>272.67297162767545</c:v>
                </c:pt>
                <c:pt idx="57">
                  <c:v>308.12593330014931</c:v>
                </c:pt>
                <c:pt idx="58">
                  <c:v>288.45196615231458</c:v>
                </c:pt>
                <c:pt idx="59">
                  <c:v>369.03517504562797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1-4D70-83D4-B7AB299BBE66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'Bull Assumptions'!$W$15:$W$74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102.89487433479356</c:v>
                </c:pt>
                <c:pt idx="2">
                  <c:v>103.90955793176656</c:v>
                </c:pt>
                <c:pt idx="3">
                  <c:v>106.60726401868605</c:v>
                </c:pt>
                <c:pt idx="4">
                  <c:v>105.33323561605619</c:v>
                </c:pt>
                <c:pt idx="5">
                  <c:v>107.44723858067229</c:v>
                </c:pt>
                <c:pt idx="6">
                  <c:v>108.62268285936511</c:v>
                </c:pt>
                <c:pt idx="7">
                  <c:v>112.67858029405021</c:v>
                </c:pt>
                <c:pt idx="8">
                  <c:v>106.39827513245024</c:v>
                </c:pt>
                <c:pt idx="9">
                  <c:v>103.65872398573011</c:v>
                </c:pt>
                <c:pt idx="10">
                  <c:v>107.40373863150106</c:v>
                </c:pt>
                <c:pt idx="11">
                  <c:v>100.99033308194774</c:v>
                </c:pt>
                <c:pt idx="12">
                  <c:v>98.306102522760625</c:v>
                </c:pt>
                <c:pt idx="13">
                  <c:v>92.478527810415855</c:v>
                </c:pt>
                <c:pt idx="14">
                  <c:v>97.645328838338571</c:v>
                </c:pt>
                <c:pt idx="15">
                  <c:v>92.774516594994196</c:v>
                </c:pt>
                <c:pt idx="16">
                  <c:v>84.768634645345372</c:v>
                </c:pt>
                <c:pt idx="17">
                  <c:v>92.226038975008791</c:v>
                </c:pt>
                <c:pt idx="18">
                  <c:v>95.182617042050737</c:v>
                </c:pt>
                <c:pt idx="19">
                  <c:v>90.770681979909639</c:v>
                </c:pt>
                <c:pt idx="20">
                  <c:v>96.233235379643432</c:v>
                </c:pt>
                <c:pt idx="21">
                  <c:v>95.644094763693616</c:v>
                </c:pt>
                <c:pt idx="22">
                  <c:v>93.879273456283713</c:v>
                </c:pt>
                <c:pt idx="23">
                  <c:v>97.721690162155511</c:v>
                </c:pt>
                <c:pt idx="24">
                  <c:v>101.2406942024497</c:v>
                </c:pt>
                <c:pt idx="25">
                  <c:v>105.21266510476633</c:v>
                </c:pt>
                <c:pt idx="26">
                  <c:v>108.32976744076086</c:v>
                </c:pt>
                <c:pt idx="27">
                  <c:v>106.75856818971651</c:v>
                </c:pt>
                <c:pt idx="28">
                  <c:v>102.13173392215873</c:v>
                </c:pt>
                <c:pt idx="29">
                  <c:v>97.339883543070854</c:v>
                </c:pt>
                <c:pt idx="30">
                  <c:v>107.78861861655977</c:v>
                </c:pt>
                <c:pt idx="31">
                  <c:v>112.76487095409099</c:v>
                </c:pt>
                <c:pt idx="32">
                  <c:v>117.22787117395485</c:v>
                </c:pt>
                <c:pt idx="33">
                  <c:v>121.44712983079937</c:v>
                </c:pt>
                <c:pt idx="34">
                  <c:v>123.74269780065201</c:v>
                </c:pt>
                <c:pt idx="35">
                  <c:v>117.43165897931149</c:v>
                </c:pt>
                <c:pt idx="36">
                  <c:v>124.76707432108162</c:v>
                </c:pt>
                <c:pt idx="37">
                  <c:v>129.19059360881724</c:v>
                </c:pt>
                <c:pt idx="38">
                  <c:v>129.06009376130348</c:v>
                </c:pt>
                <c:pt idx="39">
                  <c:v>133.53538744506358</c:v>
                </c:pt>
                <c:pt idx="40">
                  <c:v>135.96263732626613</c:v>
                </c:pt>
                <c:pt idx="41">
                  <c:v>135.43614609363362</c:v>
                </c:pt>
                <c:pt idx="42">
                  <c:v>141.1228187967063</c:v>
                </c:pt>
                <c:pt idx="43">
                  <c:v>140.48757769114565</c:v>
                </c:pt>
                <c:pt idx="44">
                  <c:v>142.80584128665282</c:v>
                </c:pt>
                <c:pt idx="45">
                  <c:v>140.77198225012944</c:v>
                </c:pt>
                <c:pt idx="46">
                  <c:v>119.95772939721836</c:v>
                </c:pt>
                <c:pt idx="47">
                  <c:v>124.88977254727662</c:v>
                </c:pt>
                <c:pt idx="48">
                  <c:v>137.18607339670768</c:v>
                </c:pt>
                <c:pt idx="49">
                  <c:v>148.45185099376107</c:v>
                </c:pt>
                <c:pt idx="50">
                  <c:v>147.47452061401123</c:v>
                </c:pt>
                <c:pt idx="51">
                  <c:v>152.72879436581093</c:v>
                </c:pt>
                <c:pt idx="52">
                  <c:v>158.76984980696895</c:v>
                </c:pt>
                <c:pt idx="53">
                  <c:v>161.71106104414062</c:v>
                </c:pt>
                <c:pt idx="54">
                  <c:v>161.9212319942126</c:v>
                </c:pt>
                <c:pt idx="55">
                  <c:v>163.83262921730824</c:v>
                </c:pt>
                <c:pt idx="56">
                  <c:v>164.04752842272492</c:v>
                </c:pt>
                <c:pt idx="57">
                  <c:v>163.34963793384699</c:v>
                </c:pt>
                <c:pt idx="58">
                  <c:v>150.56774526051504</c:v>
                </c:pt>
                <c:pt idx="59">
                  <c:v>168.39823257815215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51-4D70-83D4-B7AB299BBE66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'Bull Assumptions'!$X$15:$X$74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105.97083207559599</c:v>
                </c:pt>
                <c:pt idx="2">
                  <c:v>106.21224525842069</c:v>
                </c:pt>
                <c:pt idx="3">
                  <c:v>106.51612907895984</c:v>
                </c:pt>
                <c:pt idx="4">
                  <c:v>108.92693107020237</c:v>
                </c:pt>
                <c:pt idx="5">
                  <c:v>112.1893750692208</c:v>
                </c:pt>
                <c:pt idx="6">
                  <c:v>109.20033964337446</c:v>
                </c:pt>
                <c:pt idx="7">
                  <c:v>113.31124058868622</c:v>
                </c:pt>
                <c:pt idx="8">
                  <c:v>99.682072953833256</c:v>
                </c:pt>
                <c:pt idx="9">
                  <c:v>96.373011236752134</c:v>
                </c:pt>
                <c:pt idx="10">
                  <c:v>102.56839014686751</c:v>
                </c:pt>
                <c:pt idx="11">
                  <c:v>92.940745550505312</c:v>
                </c:pt>
                <c:pt idx="12">
                  <c:v>82.193551843028601</c:v>
                </c:pt>
                <c:pt idx="13">
                  <c:v>80.552014587581596</c:v>
                </c:pt>
                <c:pt idx="14">
                  <c:v>89.693430593528973</c:v>
                </c:pt>
                <c:pt idx="15">
                  <c:v>87.891120120974421</c:v>
                </c:pt>
                <c:pt idx="16">
                  <c:v>78.670511904529235</c:v>
                </c:pt>
                <c:pt idx="17">
                  <c:v>80.368149674725601</c:v>
                </c:pt>
                <c:pt idx="18">
                  <c:v>81.2651064208668</c:v>
                </c:pt>
                <c:pt idx="19">
                  <c:v>75.764505240511951</c:v>
                </c:pt>
                <c:pt idx="20">
                  <c:v>80.643078390877989</c:v>
                </c:pt>
                <c:pt idx="21">
                  <c:v>84.614126182001655</c:v>
                </c:pt>
                <c:pt idx="22">
                  <c:v>85.590999016250322</c:v>
                </c:pt>
                <c:pt idx="23">
                  <c:v>87.389834876278456</c:v>
                </c:pt>
                <c:pt idx="24">
                  <c:v>95.846969377805479</c:v>
                </c:pt>
                <c:pt idx="25">
                  <c:v>97.669331260147857</c:v>
                </c:pt>
                <c:pt idx="26">
                  <c:v>101.58036959742995</c:v>
                </c:pt>
                <c:pt idx="27">
                  <c:v>98.379672358516316</c:v>
                </c:pt>
                <c:pt idx="28">
                  <c:v>95.637334422045257</c:v>
                </c:pt>
                <c:pt idx="29">
                  <c:v>91.519918578246461</c:v>
                </c:pt>
                <c:pt idx="30">
                  <c:v>103.15871233755283</c:v>
                </c:pt>
                <c:pt idx="31">
                  <c:v>108.53075285443039</c:v>
                </c:pt>
                <c:pt idx="32">
                  <c:v>113.13446967640499</c:v>
                </c:pt>
                <c:pt idx="33">
                  <c:v>117.8106466471075</c:v>
                </c:pt>
                <c:pt idx="34">
                  <c:v>118.92454951286658</c:v>
                </c:pt>
                <c:pt idx="35">
                  <c:v>110.62304869741844</c:v>
                </c:pt>
                <c:pt idx="36">
                  <c:v>121.14106275367386</c:v>
                </c:pt>
                <c:pt idx="37">
                  <c:v>128.04931633379155</c:v>
                </c:pt>
                <c:pt idx="38">
                  <c:v>125.64980683325986</c:v>
                </c:pt>
                <c:pt idx="39">
                  <c:v>129.41331891369137</c:v>
                </c:pt>
                <c:pt idx="40">
                  <c:v>131.29583502539722</c:v>
                </c:pt>
                <c:pt idx="41">
                  <c:v>134.05207141197394</c:v>
                </c:pt>
                <c:pt idx="42">
                  <c:v>137.5631673699138</c:v>
                </c:pt>
                <c:pt idx="43">
                  <c:v>142.76335934225582</c:v>
                </c:pt>
                <c:pt idx="44">
                  <c:v>142.07864351126969</c:v>
                </c:pt>
                <c:pt idx="45">
                  <c:v>141.32993689958874</c:v>
                </c:pt>
                <c:pt idx="46">
                  <c:v>112.83652165226512</c:v>
                </c:pt>
                <c:pt idx="47">
                  <c:v>117.89396495998044</c:v>
                </c:pt>
                <c:pt idx="48">
                  <c:v>138.36030139368157</c:v>
                </c:pt>
                <c:pt idx="49">
                  <c:v>140.7754466505821</c:v>
                </c:pt>
                <c:pt idx="50">
                  <c:v>149.48166743759631</c:v>
                </c:pt>
                <c:pt idx="51">
                  <c:v>155.60863991359795</c:v>
                </c:pt>
                <c:pt idx="52">
                  <c:v>164.90301125846844</c:v>
                </c:pt>
                <c:pt idx="53">
                  <c:v>167.97485828286096</c:v>
                </c:pt>
                <c:pt idx="54">
                  <c:v>169.13899825473106</c:v>
                </c:pt>
                <c:pt idx="55">
                  <c:v>170.78516832687995</c:v>
                </c:pt>
                <c:pt idx="56">
                  <c:v>169.83486180090614</c:v>
                </c:pt>
                <c:pt idx="57">
                  <c:v>164.09009670280989</c:v>
                </c:pt>
                <c:pt idx="58">
                  <c:v>151.64048763291299</c:v>
                </c:pt>
                <c:pt idx="59">
                  <c:v>177.12184814640278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51-4D70-83D4-B7AB299BBE66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Assumptions'!$U$15:$U$74</c:f>
              <c:numCache>
                <c:formatCode>mmm\-yy</c:formatCode>
                <c:ptCount val="60"/>
                <c:pt idx="0">
                  <c:v>44317</c:v>
                </c:pt>
                <c:pt idx="1">
                  <c:v>44348</c:v>
                </c:pt>
                <c:pt idx="2">
                  <c:v>44378</c:v>
                </c:pt>
                <c:pt idx="3">
                  <c:v>44409</c:v>
                </c:pt>
                <c:pt idx="4">
                  <c:v>44440</c:v>
                </c:pt>
                <c:pt idx="5">
                  <c:v>44470</c:v>
                </c:pt>
                <c:pt idx="6">
                  <c:v>44501</c:v>
                </c:pt>
                <c:pt idx="7">
                  <c:v>44531</c:v>
                </c:pt>
                <c:pt idx="8">
                  <c:v>44562</c:v>
                </c:pt>
                <c:pt idx="9">
                  <c:v>44593</c:v>
                </c:pt>
                <c:pt idx="10">
                  <c:v>44621</c:v>
                </c:pt>
                <c:pt idx="11">
                  <c:v>44652</c:v>
                </c:pt>
                <c:pt idx="12">
                  <c:v>44682</c:v>
                </c:pt>
                <c:pt idx="13">
                  <c:v>44713</c:v>
                </c:pt>
                <c:pt idx="14">
                  <c:v>44743</c:v>
                </c:pt>
                <c:pt idx="15">
                  <c:v>44774</c:v>
                </c:pt>
                <c:pt idx="16">
                  <c:v>44805</c:v>
                </c:pt>
                <c:pt idx="17">
                  <c:v>44835</c:v>
                </c:pt>
                <c:pt idx="18">
                  <c:v>44866</c:v>
                </c:pt>
                <c:pt idx="19">
                  <c:v>44896</c:v>
                </c:pt>
                <c:pt idx="20">
                  <c:v>44927</c:v>
                </c:pt>
                <c:pt idx="21">
                  <c:v>44958</c:v>
                </c:pt>
                <c:pt idx="22">
                  <c:v>44986</c:v>
                </c:pt>
                <c:pt idx="23">
                  <c:v>45017</c:v>
                </c:pt>
                <c:pt idx="24">
                  <c:v>45047</c:v>
                </c:pt>
                <c:pt idx="25">
                  <c:v>45078</c:v>
                </c:pt>
                <c:pt idx="26">
                  <c:v>45108</c:v>
                </c:pt>
                <c:pt idx="27">
                  <c:v>45139</c:v>
                </c:pt>
                <c:pt idx="28">
                  <c:v>45170</c:v>
                </c:pt>
                <c:pt idx="29">
                  <c:v>45200</c:v>
                </c:pt>
                <c:pt idx="30">
                  <c:v>45231</c:v>
                </c:pt>
                <c:pt idx="31">
                  <c:v>45261</c:v>
                </c:pt>
                <c:pt idx="32">
                  <c:v>45292</c:v>
                </c:pt>
                <c:pt idx="33">
                  <c:v>45323</c:v>
                </c:pt>
                <c:pt idx="34">
                  <c:v>45352</c:v>
                </c:pt>
                <c:pt idx="35">
                  <c:v>45383</c:v>
                </c:pt>
                <c:pt idx="36">
                  <c:v>45413</c:v>
                </c:pt>
                <c:pt idx="37">
                  <c:v>45444</c:v>
                </c:pt>
                <c:pt idx="38">
                  <c:v>45474</c:v>
                </c:pt>
                <c:pt idx="39">
                  <c:v>45505</c:v>
                </c:pt>
                <c:pt idx="40">
                  <c:v>45536</c:v>
                </c:pt>
                <c:pt idx="41">
                  <c:v>45566</c:v>
                </c:pt>
                <c:pt idx="42">
                  <c:v>45597</c:v>
                </c:pt>
                <c:pt idx="43">
                  <c:v>45627</c:v>
                </c:pt>
                <c:pt idx="44">
                  <c:v>45658</c:v>
                </c:pt>
                <c:pt idx="45">
                  <c:v>45689</c:v>
                </c:pt>
                <c:pt idx="46">
                  <c:v>45717</c:v>
                </c:pt>
                <c:pt idx="47">
                  <c:v>45748</c:v>
                </c:pt>
                <c:pt idx="48">
                  <c:v>45778</c:v>
                </c:pt>
                <c:pt idx="49">
                  <c:v>45809</c:v>
                </c:pt>
                <c:pt idx="50">
                  <c:v>45839</c:v>
                </c:pt>
                <c:pt idx="51">
                  <c:v>45870</c:v>
                </c:pt>
                <c:pt idx="52">
                  <c:v>45901</c:v>
                </c:pt>
                <c:pt idx="53">
                  <c:v>45931</c:v>
                </c:pt>
                <c:pt idx="54">
                  <c:v>45962</c:v>
                </c:pt>
                <c:pt idx="55">
                  <c:v>45992</c:v>
                </c:pt>
                <c:pt idx="56">
                  <c:v>46023</c:v>
                </c:pt>
                <c:pt idx="57">
                  <c:v>46054</c:v>
                </c:pt>
                <c:pt idx="58">
                  <c:v>46082</c:v>
                </c:pt>
                <c:pt idx="59">
                  <c:v>46113</c:v>
                </c:pt>
              </c:numCache>
            </c:numRef>
          </c:cat>
          <c:val>
            <c:numRef>
              <c:f>'Bull Assumptions'!$Y$15:$Y$74</c:f>
              <c:numCache>
                <c:formatCode>0.00</c:formatCode>
                <c:ptCount val="60"/>
                <c:pt idx="0" formatCode="0">
                  <c:v>100</c:v>
                </c:pt>
                <c:pt idx="1">
                  <c:v>99.723105928417624</c:v>
                </c:pt>
                <c:pt idx="2">
                  <c:v>101.54100340434039</c:v>
                </c:pt>
                <c:pt idx="3">
                  <c:v>101.71051088273924</c:v>
                </c:pt>
                <c:pt idx="4">
                  <c:v>99.412125012127333</c:v>
                </c:pt>
                <c:pt idx="5">
                  <c:v>103.32345287862969</c:v>
                </c:pt>
                <c:pt idx="6">
                  <c:v>101.04226971469281</c:v>
                </c:pt>
                <c:pt idx="7">
                  <c:v>104.11564620925036</c:v>
                </c:pt>
                <c:pt idx="8">
                  <c:v>100.56768932027589</c:v>
                </c:pt>
                <c:pt idx="9">
                  <c:v>98.636815819539564</c:v>
                </c:pt>
                <c:pt idx="10">
                  <c:v>100.9608899070214</c:v>
                </c:pt>
                <c:pt idx="11">
                  <c:v>97.92047078653151</c:v>
                </c:pt>
                <c:pt idx="12">
                  <c:v>96.187341530201024</c:v>
                </c:pt>
                <c:pt idx="13">
                  <c:v>90.060108110612831</c:v>
                </c:pt>
                <c:pt idx="14">
                  <c:v>95.122076951703548</c:v>
                </c:pt>
                <c:pt idx="15">
                  <c:v>90.700662767579558</c:v>
                </c:pt>
                <c:pt idx="16">
                  <c:v>89.264149877857889</c:v>
                </c:pt>
                <c:pt idx="17">
                  <c:v>95.170354581379101</c:v>
                </c:pt>
                <c:pt idx="18">
                  <c:v>99.711637457300938</c:v>
                </c:pt>
                <c:pt idx="19">
                  <c:v>96.161189940760721</c:v>
                </c:pt>
                <c:pt idx="20">
                  <c:v>96.658041179341112</c:v>
                </c:pt>
                <c:pt idx="21">
                  <c:v>95.040378575389994</c:v>
                </c:pt>
                <c:pt idx="22">
                  <c:v>96.364552577582344</c:v>
                </c:pt>
                <c:pt idx="23">
                  <c:v>97.913404354833347</c:v>
                </c:pt>
                <c:pt idx="24">
                  <c:v>95.840912612277336</c:v>
                </c:pt>
                <c:pt idx="25">
                  <c:v>97.677287069443636</c:v>
                </c:pt>
                <c:pt idx="26">
                  <c:v>101.5527904440992</c:v>
                </c:pt>
                <c:pt idx="27">
                  <c:v>100.89274517839119</c:v>
                </c:pt>
                <c:pt idx="28">
                  <c:v>97.040352510682908</c:v>
                </c:pt>
                <c:pt idx="29">
                  <c:v>98.644258741451139</c:v>
                </c:pt>
                <c:pt idx="30">
                  <c:v>104.96981562115818</c:v>
                </c:pt>
                <c:pt idx="31">
                  <c:v>109.15186891189985</c:v>
                </c:pt>
                <c:pt idx="32">
                  <c:v>110.36790334048183</c:v>
                </c:pt>
                <c:pt idx="33">
                  <c:v>113.20012337294688</c:v>
                </c:pt>
                <c:pt idx="34">
                  <c:v>115.28527097883112</c:v>
                </c:pt>
                <c:pt idx="35">
                  <c:v>110.01159879465212</c:v>
                </c:pt>
                <c:pt idx="36">
                  <c:v>112.03862210374045</c:v>
                </c:pt>
                <c:pt idx="37">
                  <c:v>113.38243151860226</c:v>
                </c:pt>
                <c:pt idx="38">
                  <c:v>116.67585206251476</c:v>
                </c:pt>
                <c:pt idx="39">
                  <c:v>119.24626659272015</c:v>
                </c:pt>
                <c:pt idx="40">
                  <c:v>122.54177231319932</c:v>
                </c:pt>
                <c:pt idx="41">
                  <c:v>121.78644606270881</c:v>
                </c:pt>
                <c:pt idx="42">
                  <c:v>128.28617310730408</c:v>
                </c:pt>
                <c:pt idx="43">
                  <c:v>124.06875869728596</c:v>
                </c:pt>
                <c:pt idx="44">
                  <c:v>128.65611818317407</c:v>
                </c:pt>
                <c:pt idx="45">
                  <c:v>126.9667197131724</c:v>
                </c:pt>
                <c:pt idx="46">
                  <c:v>110.96284476005268</c:v>
                </c:pt>
                <c:pt idx="47">
                  <c:v>113.35897328222721</c:v>
                </c:pt>
                <c:pt idx="48">
                  <c:v>120.48575925767715</c:v>
                </c:pt>
                <c:pt idx="49">
                  <c:v>122.2342666911868</c:v>
                </c:pt>
                <c:pt idx="50">
                  <c:v>130.03948803123131</c:v>
                </c:pt>
                <c:pt idx="51">
                  <c:v>131.90155070526754</c:v>
                </c:pt>
                <c:pt idx="52">
                  <c:v>135.41565243581928</c:v>
                </c:pt>
                <c:pt idx="53">
                  <c:v>136.71552833885278</c:v>
                </c:pt>
                <c:pt idx="54">
                  <c:v>133.93034062228043</c:v>
                </c:pt>
                <c:pt idx="55">
                  <c:v>139.40242314893518</c:v>
                </c:pt>
                <c:pt idx="56">
                  <c:v>142.19372159127934</c:v>
                </c:pt>
                <c:pt idx="57">
                  <c:v>141.8439042614348</c:v>
                </c:pt>
                <c:pt idx="58">
                  <c:v>131.99593390569501</c:v>
                </c:pt>
                <c:pt idx="59">
                  <c:v>143.20364210840313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51-4D70-83D4-B7AB299BB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4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73CB63-1938-409B-BD89-26F00A96E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53B28D-7E68-45C7-842E-7A6648074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0800A6-FAC5-4C70-B4DD-D78EF8CB3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8B727-EB2E-46A5-A7CA-C8BD0E8F0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8091EF-77FA-4CA7-98FE-82F0EDCC7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261D98-EB20-47F5-9979-41FD949D5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8898-C645-4095-AFC7-DB2F853065DA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104</v>
      </c>
    </row>
    <row r="3" spans="2:3" x14ac:dyDescent="0.25">
      <c r="B3" s="59" t="s">
        <v>105</v>
      </c>
      <c r="C3" s="60" t="s">
        <v>124</v>
      </c>
    </row>
    <row r="4" spans="2:3" x14ac:dyDescent="0.25">
      <c r="B4" s="61" t="s">
        <v>106</v>
      </c>
      <c r="C4" s="62">
        <v>1.6</v>
      </c>
    </row>
    <row r="5" spans="2:3" x14ac:dyDescent="0.25">
      <c r="B5" s="61" t="s">
        <v>33</v>
      </c>
      <c r="C5" s="63">
        <v>403836000000</v>
      </c>
    </row>
    <row r="6" spans="2:3" x14ac:dyDescent="0.25">
      <c r="B6" s="61" t="s">
        <v>107</v>
      </c>
      <c r="C6" s="63">
        <v>43000000000</v>
      </c>
    </row>
    <row r="7" spans="2:3" x14ac:dyDescent="0.25">
      <c r="B7" s="61" t="s">
        <v>108</v>
      </c>
      <c r="C7" s="63">
        <v>529000000</v>
      </c>
    </row>
    <row r="8" spans="2:3" x14ac:dyDescent="0.25">
      <c r="B8" s="61" t="s">
        <v>109</v>
      </c>
      <c r="C8" s="64">
        <v>0.21</v>
      </c>
    </row>
    <row r="9" spans="2:3" x14ac:dyDescent="0.25">
      <c r="B9" s="42" t="s">
        <v>110</v>
      </c>
      <c r="C9" s="65">
        <v>4.36E-2</v>
      </c>
    </row>
    <row r="11" spans="2:3" x14ac:dyDescent="0.25">
      <c r="B11" s="3" t="s">
        <v>111</v>
      </c>
    </row>
    <row r="12" spans="2:3" x14ac:dyDescent="0.25">
      <c r="B12" t="s">
        <v>112</v>
      </c>
      <c r="C12" s="66">
        <f>C5+C6</f>
        <v>446836000000</v>
      </c>
    </row>
    <row r="13" spans="2:3" x14ac:dyDescent="0.25">
      <c r="B13" t="s">
        <v>113</v>
      </c>
      <c r="C13" s="67">
        <f>C5/C12</f>
        <v>0.90376782533188915</v>
      </c>
    </row>
    <row r="14" spans="2:3" x14ac:dyDescent="0.25">
      <c r="B14" t="s">
        <v>114</v>
      </c>
      <c r="C14" s="67">
        <f>C6/C12</f>
        <v>9.623217466811089E-2</v>
      </c>
    </row>
    <row r="16" spans="2:3" ht="18" x14ac:dyDescent="0.35">
      <c r="B16" s="3" t="s">
        <v>115</v>
      </c>
    </row>
    <row r="17" spans="2:3" x14ac:dyDescent="0.25">
      <c r="B17" t="s">
        <v>116</v>
      </c>
      <c r="C17" t="s">
        <v>125</v>
      </c>
    </row>
    <row r="18" spans="2:3" x14ac:dyDescent="0.25">
      <c r="B18" t="s">
        <v>126</v>
      </c>
      <c r="C18" s="21">
        <f>9%-C9</f>
        <v>4.6399999999999997E-2</v>
      </c>
    </row>
    <row r="19" spans="2:3" x14ac:dyDescent="0.25">
      <c r="B19" t="s">
        <v>117</v>
      </c>
      <c r="C19" s="21">
        <f>C9+(1.6*C18)</f>
        <v>0.11784</v>
      </c>
    </row>
    <row r="21" spans="2:3" ht="18" x14ac:dyDescent="0.35">
      <c r="B21" s="3" t="s">
        <v>118</v>
      </c>
    </row>
    <row r="22" spans="2:3" x14ac:dyDescent="0.25">
      <c r="B22" t="s">
        <v>119</v>
      </c>
      <c r="C22" s="67">
        <f>C7/C6</f>
        <v>1.230232558139535E-2</v>
      </c>
    </row>
    <row r="23" spans="2:3" x14ac:dyDescent="0.25">
      <c r="B23" t="s">
        <v>120</v>
      </c>
      <c r="C23" t="s">
        <v>121</v>
      </c>
    </row>
    <row r="24" spans="2:3" x14ac:dyDescent="0.25">
      <c r="B24" t="s">
        <v>117</v>
      </c>
      <c r="C24" s="67">
        <f>C22*(1-C8)</f>
        <v>9.7188372093023265E-3</v>
      </c>
    </row>
    <row r="26" spans="2:3" x14ac:dyDescent="0.25">
      <c r="B26" s="3" t="s">
        <v>122</v>
      </c>
    </row>
    <row r="27" spans="2:3" ht="18" x14ac:dyDescent="0.35">
      <c r="B27" t="s">
        <v>116</v>
      </c>
      <c r="C27" t="s">
        <v>123</v>
      </c>
    </row>
    <row r="28" spans="2:3" x14ac:dyDescent="0.25">
      <c r="B28" t="s">
        <v>117</v>
      </c>
      <c r="C28" s="21">
        <f>(C13*C19)+(C14*C24)</f>
        <v>0.10743526537700633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0.21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f>'WACC Input'!C28</f>
        <v>0.10743526537700633</v>
      </c>
      <c r="C7" s="41"/>
      <c r="P7">
        <v>2026</v>
      </c>
      <c r="Q7" s="26">
        <f>D28</f>
        <v>13990923000</v>
      </c>
      <c r="R7" s="26"/>
      <c r="S7" t="s">
        <v>41</v>
      </c>
      <c r="T7" s="16">
        <f>B40</f>
        <v>770.3644514041074</v>
      </c>
    </row>
    <row r="8" spans="1:26" x14ac:dyDescent="0.25">
      <c r="A8" s="40" t="s">
        <v>4</v>
      </c>
      <c r="B8" s="32">
        <v>0.04</v>
      </c>
      <c r="C8" s="41"/>
      <c r="P8">
        <v>2027</v>
      </c>
      <c r="Q8" s="26">
        <f>E28</f>
        <v>14970287610</v>
      </c>
      <c r="R8" s="26"/>
      <c r="S8" t="s">
        <v>74</v>
      </c>
      <c r="T8" s="16">
        <v>105.64</v>
      </c>
    </row>
    <row r="9" spans="1:26" x14ac:dyDescent="0.25">
      <c r="A9" s="40" t="s">
        <v>5</v>
      </c>
      <c r="B9" s="33" t="s">
        <v>77</v>
      </c>
      <c r="C9" s="41"/>
      <c r="P9">
        <v>2028</v>
      </c>
      <c r="Q9" s="26">
        <f>F28</f>
        <v>16317613494.900002</v>
      </c>
      <c r="R9" s="26"/>
      <c r="S9" t="s">
        <v>8</v>
      </c>
      <c r="T9" s="16">
        <f>B12</f>
        <v>876</v>
      </c>
    </row>
    <row r="10" spans="1:26" x14ac:dyDescent="0.25">
      <c r="A10" s="40" t="s">
        <v>6</v>
      </c>
      <c r="B10" s="34">
        <v>46171</v>
      </c>
      <c r="C10" s="41"/>
      <c r="P10">
        <v>2029</v>
      </c>
      <c r="Q10" s="26">
        <f>G28</f>
        <v>18928431654.084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20631990502.951557</v>
      </c>
      <c r="R11" s="26"/>
    </row>
    <row r="12" spans="1:26" x14ac:dyDescent="0.25">
      <c r="A12" s="40" t="s">
        <v>8</v>
      </c>
      <c r="B12" s="35">
        <v>876</v>
      </c>
      <c r="C12" s="41" t="s">
        <v>86</v>
      </c>
      <c r="P12">
        <v>2031</v>
      </c>
      <c r="Q12" s="26">
        <f>I28</f>
        <v>21663590028.09914</v>
      </c>
      <c r="R12" s="26"/>
    </row>
    <row r="13" spans="1:26" x14ac:dyDescent="0.25">
      <c r="A13" s="40" t="s">
        <v>9</v>
      </c>
      <c r="B13" s="36">
        <v>461000000</v>
      </c>
      <c r="C13" s="41"/>
    </row>
    <row r="14" spans="1:26" x14ac:dyDescent="0.25">
      <c r="A14" s="40" t="s">
        <v>10</v>
      </c>
      <c r="B14" s="35">
        <v>43000000000</v>
      </c>
      <c r="C14" s="41"/>
      <c r="P14" s="6" t="s">
        <v>16</v>
      </c>
      <c r="Q14" s="6" t="s">
        <v>85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84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10000000000</v>
      </c>
      <c r="C15" s="41"/>
      <c r="P15" s="54">
        <v>44317</v>
      </c>
      <c r="Q15" s="55">
        <v>241.08</v>
      </c>
      <c r="R15" s="6">
        <v>4229.8900000000003</v>
      </c>
      <c r="S15" s="6">
        <v>13814.49</v>
      </c>
      <c r="T15" s="6">
        <v>34529.449999999997</v>
      </c>
      <c r="U15" s="54">
        <v>44317</v>
      </c>
      <c r="V15" s="56">
        <v>100</v>
      </c>
      <c r="W15" s="56">
        <v>100</v>
      </c>
      <c r="X15" s="56">
        <v>100</v>
      </c>
      <c r="Y15" s="56">
        <v>100</v>
      </c>
      <c r="Z15" t="s">
        <v>69</v>
      </c>
    </row>
    <row r="16" spans="1:26" x14ac:dyDescent="0.25">
      <c r="A16" s="40" t="s">
        <v>12</v>
      </c>
      <c r="B16" s="35" t="s">
        <v>79</v>
      </c>
      <c r="C16" s="41"/>
      <c r="P16" s="54">
        <v>44348</v>
      </c>
      <c r="Q16" s="6">
        <v>217.76</v>
      </c>
      <c r="R16" s="6">
        <v>4352.34</v>
      </c>
      <c r="S16" s="6">
        <v>14639.33</v>
      </c>
      <c r="T16" s="6">
        <v>34433.839999999997</v>
      </c>
      <c r="U16" s="54">
        <v>44348</v>
      </c>
      <c r="V16" s="57">
        <f>(Q16/$Q$15)*100</f>
        <v>90.326862452297988</v>
      </c>
      <c r="W16" s="57">
        <f>(R16/$R$15)*100</f>
        <v>102.89487433479356</v>
      </c>
      <c r="X16" s="57">
        <f>(S16/$S$15)*100</f>
        <v>105.97083207559599</v>
      </c>
      <c r="Y16" s="57">
        <f>(T16/$T$15)*100</f>
        <v>99.723105928417624</v>
      </c>
      <c r="Z16" t="s">
        <v>75</v>
      </c>
    </row>
    <row r="17" spans="1:25" x14ac:dyDescent="0.25">
      <c r="A17" s="42" t="s">
        <v>88</v>
      </c>
      <c r="B17" s="43"/>
      <c r="C17" s="44"/>
      <c r="P17" s="54">
        <v>44378</v>
      </c>
      <c r="Q17" s="6">
        <v>206.75</v>
      </c>
      <c r="R17" s="6">
        <v>4395.26</v>
      </c>
      <c r="S17" s="6">
        <v>14672.68</v>
      </c>
      <c r="T17" s="6">
        <v>35061.550000000003</v>
      </c>
      <c r="U17" s="54">
        <v>44378</v>
      </c>
      <c r="V17" s="57">
        <f>(Q17/$Q$15)*100</f>
        <v>85.759913721586187</v>
      </c>
      <c r="W17" s="57">
        <f>(R17/$R$15)*100</f>
        <v>103.90955793176656</v>
      </c>
      <c r="X17" s="57">
        <f>(S17/$S$15)*100</f>
        <v>106.21224525842069</v>
      </c>
      <c r="Y17" s="57">
        <f>(T17/$T$15)*100</f>
        <v>101.54100340434039</v>
      </c>
    </row>
    <row r="18" spans="1:25" x14ac:dyDescent="0.25">
      <c r="P18" s="54">
        <v>44409</v>
      </c>
      <c r="Q18" s="6">
        <v>210.37</v>
      </c>
      <c r="R18" s="6">
        <v>4509.37</v>
      </c>
      <c r="S18" s="6">
        <v>14714.66</v>
      </c>
      <c r="T18" s="6">
        <v>35120.080000000002</v>
      </c>
      <c r="U18" s="54">
        <v>44409</v>
      </c>
      <c r="V18" s="57">
        <f>(Q18/$Q$15)*100</f>
        <v>87.261489961838393</v>
      </c>
      <c r="W18" s="57">
        <f t="shared" ref="W18:W75" si="0">(R18/$R$15)*100</f>
        <v>106.60726401868605</v>
      </c>
      <c r="X18" s="57">
        <f t="shared" ref="X18:X75" si="1">(S18/$S$15)*100</f>
        <v>106.51612907895984</v>
      </c>
      <c r="Y18" s="57">
        <f t="shared" ref="Y18:Y75" si="2">(T18/$T$15)*100</f>
        <v>101.71051088273924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4">
        <v>44440</v>
      </c>
      <c r="Q19" s="6">
        <v>194.33</v>
      </c>
      <c r="R19" s="6">
        <v>4455.4799999999996</v>
      </c>
      <c r="S19" s="6">
        <v>15047.7</v>
      </c>
      <c r="T19" s="6">
        <v>34326.46</v>
      </c>
      <c r="U19" s="54">
        <v>44440</v>
      </c>
      <c r="V19" s="57">
        <f t="shared" ref="V19:V75" si="3">(Q19/$Q$15)*100</f>
        <v>80.608096897295496</v>
      </c>
      <c r="W19" s="57">
        <f t="shared" si="0"/>
        <v>105.33323561605619</v>
      </c>
      <c r="X19" s="57">
        <f t="shared" si="1"/>
        <v>108.92693107020237</v>
      </c>
      <c r="Y19" s="57">
        <f t="shared" si="2"/>
        <v>99.412125012127333</v>
      </c>
    </row>
    <row r="20" spans="1:25" x14ac:dyDescent="0.25">
      <c r="A20" t="s">
        <v>16</v>
      </c>
      <c r="C20" s="7">
        <v>46171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334100170041.07904</v>
      </c>
      <c r="P20" s="54">
        <v>44470</v>
      </c>
      <c r="Q20" s="6">
        <v>204.01</v>
      </c>
      <c r="R20" s="6">
        <v>4544.8999999999996</v>
      </c>
      <c r="S20" s="6">
        <v>15498.39</v>
      </c>
      <c r="T20" s="6">
        <v>35677.019999999997</v>
      </c>
      <c r="U20" s="54">
        <v>44470</v>
      </c>
      <c r="V20" s="57">
        <f t="shared" si="3"/>
        <v>84.623361539737843</v>
      </c>
      <c r="W20" s="57">
        <f t="shared" si="0"/>
        <v>107.44723858067229</v>
      </c>
      <c r="X20" s="57">
        <f t="shared" si="1"/>
        <v>112.1893750692208</v>
      </c>
      <c r="Y20" s="57">
        <f t="shared" si="2"/>
        <v>103.32345287862969</v>
      </c>
    </row>
    <row r="21" spans="1:25" x14ac:dyDescent="0.25">
      <c r="A21" t="s">
        <v>18</v>
      </c>
      <c r="B21" t="s">
        <v>72</v>
      </c>
      <c r="D21" s="5">
        <v>67589000000</v>
      </c>
      <c r="E21" s="5">
        <f>D21*1.07</f>
        <v>72320230000</v>
      </c>
      <c r="F21" s="5">
        <f>E21*1.09</f>
        <v>78829050700</v>
      </c>
      <c r="G21" s="5">
        <f>F21*1.16</f>
        <v>91441698812</v>
      </c>
      <c r="H21" s="5">
        <f>G21*1.09</f>
        <v>99671451705.080002</v>
      </c>
      <c r="I21" s="5">
        <f>H21*1.05</f>
        <v>104655024290.334</v>
      </c>
      <c r="L21" t="s">
        <v>19</v>
      </c>
      <c r="M21" s="13">
        <f>(I22+I25)*28</f>
        <v>996315831243.97949</v>
      </c>
      <c r="P21" s="54">
        <v>44501</v>
      </c>
      <c r="Q21" s="6">
        <v>197.8</v>
      </c>
      <c r="R21" s="6">
        <v>4594.62</v>
      </c>
      <c r="S21" s="6">
        <v>15085.47</v>
      </c>
      <c r="T21" s="6">
        <v>34889.339999999997</v>
      </c>
      <c r="U21" s="54">
        <v>44501</v>
      </c>
      <c r="V21" s="57">
        <f t="shared" si="3"/>
        <v>82.04745312759249</v>
      </c>
      <c r="W21" s="57">
        <f t="shared" si="0"/>
        <v>108.62268285936511</v>
      </c>
      <c r="X21" s="57">
        <f t="shared" si="1"/>
        <v>109.20033964337446</v>
      </c>
      <c r="Y21" s="57">
        <f t="shared" si="2"/>
        <v>101.04226971469281</v>
      </c>
    </row>
    <row r="22" spans="1:25" x14ac:dyDescent="0.25">
      <c r="A22" t="s">
        <v>87</v>
      </c>
      <c r="B22" t="s">
        <v>98</v>
      </c>
      <c r="C22" s="25">
        <v>0.3</v>
      </c>
      <c r="D22" s="5">
        <f>D21*$C$22</f>
        <v>20276700000</v>
      </c>
      <c r="E22" s="5">
        <f t="shared" ref="E22:I22" si="4">E21*$C$22</f>
        <v>21696069000</v>
      </c>
      <c r="F22" s="5">
        <f t="shared" si="4"/>
        <v>23648715210</v>
      </c>
      <c r="G22" s="5">
        <f t="shared" si="4"/>
        <v>27432509643.599998</v>
      </c>
      <c r="H22" s="5">
        <f t="shared" si="4"/>
        <v>29901435511.523998</v>
      </c>
      <c r="I22" s="5">
        <f t="shared" si="4"/>
        <v>31396507287.100197</v>
      </c>
      <c r="L22" t="s">
        <v>20</v>
      </c>
      <c r="M22" s="13">
        <f>(M20+M21)/2</f>
        <v>665208000642.5293</v>
      </c>
      <c r="P22" s="54">
        <v>44531</v>
      </c>
      <c r="Q22" s="6">
        <v>206.74</v>
      </c>
      <c r="R22" s="6">
        <v>4766.18</v>
      </c>
      <c r="S22" s="6">
        <v>15653.37</v>
      </c>
      <c r="T22" s="6">
        <v>35950.559999999998</v>
      </c>
      <c r="U22" s="54">
        <v>44531</v>
      </c>
      <c r="V22" s="57">
        <f t="shared" si="3"/>
        <v>85.755765720922511</v>
      </c>
      <c r="W22" s="57">
        <f t="shared" si="0"/>
        <v>112.67858029405021</v>
      </c>
      <c r="X22" s="57">
        <f t="shared" si="1"/>
        <v>113.31124058868622</v>
      </c>
      <c r="Y22" s="57">
        <f t="shared" si="2"/>
        <v>104.11564620925036</v>
      </c>
    </row>
    <row r="23" spans="1:25" x14ac:dyDescent="0.25">
      <c r="A23" t="s">
        <v>21</v>
      </c>
      <c r="B23" t="s">
        <v>22</v>
      </c>
      <c r="C23" s="25"/>
      <c r="D23" s="5">
        <f>D22*$B$6</f>
        <v>4258107000</v>
      </c>
      <c r="E23" s="30">
        <f t="shared" ref="E23:I23" si="5">E22*$B$6</f>
        <v>4556174490</v>
      </c>
      <c r="F23" s="5">
        <f t="shared" si="5"/>
        <v>4966230194.0999994</v>
      </c>
      <c r="G23" s="30">
        <f t="shared" si="5"/>
        <v>5760827025.1559992</v>
      </c>
      <c r="H23" s="30">
        <f t="shared" si="5"/>
        <v>6279301457.4200392</v>
      </c>
      <c r="I23" s="5">
        <f t="shared" si="5"/>
        <v>6593266530.2910414</v>
      </c>
      <c r="P23" s="54">
        <v>44562</v>
      </c>
      <c r="Q23" s="6">
        <v>201.16</v>
      </c>
      <c r="R23" s="6">
        <v>4500.53</v>
      </c>
      <c r="S23" s="6">
        <v>13770.57</v>
      </c>
      <c r="T23" s="6">
        <v>34725.47</v>
      </c>
      <c r="U23" s="54">
        <v>44562</v>
      </c>
      <c r="V23" s="57">
        <f t="shared" si="3"/>
        <v>83.441181350589005</v>
      </c>
      <c r="W23" s="57">
        <f t="shared" si="0"/>
        <v>106.39827513245024</v>
      </c>
      <c r="X23" s="57">
        <f t="shared" si="1"/>
        <v>99.682072953833256</v>
      </c>
      <c r="Y23" s="57">
        <f t="shared" si="2"/>
        <v>100.56768932027589</v>
      </c>
    </row>
    <row r="24" spans="1:25" x14ac:dyDescent="0.25">
      <c r="A24" t="s">
        <v>23</v>
      </c>
      <c r="B24" t="s">
        <v>24</v>
      </c>
      <c r="C24" s="25"/>
      <c r="D24" s="5">
        <f>D22*(1-$B$6)</f>
        <v>16018593000</v>
      </c>
      <c r="E24" s="5">
        <f t="shared" ref="E24:I24" si="6">E22*(1-$B$6)</f>
        <v>17139894510</v>
      </c>
      <c r="F24" s="5">
        <f t="shared" si="6"/>
        <v>18682485015.900002</v>
      </c>
      <c r="G24" s="5">
        <f t="shared" si="6"/>
        <v>21671682618.444</v>
      </c>
      <c r="H24" s="5">
        <f t="shared" si="6"/>
        <v>23622134054.103958</v>
      </c>
      <c r="I24" s="5">
        <f t="shared" si="6"/>
        <v>24803240756.809158</v>
      </c>
      <c r="P24" s="54">
        <v>44593</v>
      </c>
      <c r="Q24" s="6">
        <v>195.66</v>
      </c>
      <c r="R24" s="6">
        <v>4384.6499999999996</v>
      </c>
      <c r="S24" s="6">
        <v>13313.44</v>
      </c>
      <c r="T24" s="6">
        <v>34058.75</v>
      </c>
      <c r="U24" s="54">
        <v>44593</v>
      </c>
      <c r="V24" s="57">
        <f t="shared" si="3"/>
        <v>81.15978098556495</v>
      </c>
      <c r="W24" s="57">
        <f t="shared" si="0"/>
        <v>103.65872398573011</v>
      </c>
      <c r="X24" s="57">
        <f t="shared" si="1"/>
        <v>96.373011236752134</v>
      </c>
      <c r="Y24" s="57">
        <f t="shared" si="2"/>
        <v>98.636815819539564</v>
      </c>
    </row>
    <row r="25" spans="1:25" x14ac:dyDescent="0.25">
      <c r="A25" s="4" t="s">
        <v>25</v>
      </c>
      <c r="B25" s="8" t="s">
        <v>80</v>
      </c>
      <c r="C25" s="25">
        <v>0.04</v>
      </c>
      <c r="D25" s="12">
        <f>D21*$C$25</f>
        <v>2703560000</v>
      </c>
      <c r="E25" s="12">
        <f t="shared" ref="E25:I25" si="7">E21*$C$25</f>
        <v>2892809200</v>
      </c>
      <c r="F25" s="12">
        <f t="shared" si="7"/>
        <v>3153162028</v>
      </c>
      <c r="G25" s="12">
        <f t="shared" si="7"/>
        <v>3657667952.48</v>
      </c>
      <c r="H25" s="12">
        <f t="shared" si="7"/>
        <v>3986858068.2032003</v>
      </c>
      <c r="I25" s="12">
        <f t="shared" si="7"/>
        <v>4186200971.6133599</v>
      </c>
      <c r="P25" s="54">
        <v>44621</v>
      </c>
      <c r="Q25" s="6">
        <v>219.77</v>
      </c>
      <c r="R25" s="6">
        <v>4543.0600000000004</v>
      </c>
      <c r="S25" s="6">
        <v>14169.3</v>
      </c>
      <c r="T25" s="6">
        <v>34861.24</v>
      </c>
      <c r="U25" s="54">
        <v>44621</v>
      </c>
      <c r="V25" s="57">
        <f t="shared" si="3"/>
        <v>91.160610585697682</v>
      </c>
      <c r="W25" s="57">
        <f t="shared" si="0"/>
        <v>107.40373863150106</v>
      </c>
      <c r="X25" s="57">
        <f t="shared" si="1"/>
        <v>102.56839014686751</v>
      </c>
      <c r="Y25" s="57">
        <f t="shared" si="2"/>
        <v>100.9608899070214</v>
      </c>
    </row>
    <row r="26" spans="1:25" x14ac:dyDescent="0.25">
      <c r="A26" t="s">
        <v>26</v>
      </c>
      <c r="B26" t="s">
        <v>78</v>
      </c>
      <c r="C26" s="25">
        <v>0.06</v>
      </c>
      <c r="D26" s="10">
        <f>D21*$C$26</f>
        <v>4055340000</v>
      </c>
      <c r="E26" s="10">
        <f t="shared" ref="E26:I26" si="8">E21*$C$26</f>
        <v>4339213800</v>
      </c>
      <c r="F26" s="10">
        <f t="shared" si="8"/>
        <v>4729743042</v>
      </c>
      <c r="G26" s="10">
        <f t="shared" si="8"/>
        <v>5486501928.7200003</v>
      </c>
      <c r="H26" s="10">
        <f t="shared" si="8"/>
        <v>5980287102.3048</v>
      </c>
      <c r="I26" s="10">
        <f t="shared" si="8"/>
        <v>6279301457.4200401</v>
      </c>
      <c r="P26" s="54">
        <v>44652</v>
      </c>
      <c r="Q26" s="6">
        <v>210.54</v>
      </c>
      <c r="R26" s="6">
        <v>4271.78</v>
      </c>
      <c r="S26" s="6">
        <v>12839.29</v>
      </c>
      <c r="T26" s="6">
        <v>33811.4</v>
      </c>
      <c r="U26" s="54">
        <v>44652</v>
      </c>
      <c r="V26" s="57">
        <f t="shared" si="3"/>
        <v>87.332005973120957</v>
      </c>
      <c r="W26" s="57">
        <f t="shared" si="0"/>
        <v>100.99033308194774</v>
      </c>
      <c r="X26" s="57">
        <f t="shared" si="1"/>
        <v>92.940745550505312</v>
      </c>
      <c r="Y26" s="57">
        <f t="shared" si="2"/>
        <v>97.92047078653151</v>
      </c>
    </row>
    <row r="27" spans="1:25" x14ac:dyDescent="0.25">
      <c r="A27" t="s">
        <v>27</v>
      </c>
      <c r="B27" t="s">
        <v>76</v>
      </c>
      <c r="C27" s="25">
        <v>0.01</v>
      </c>
      <c r="D27" s="10">
        <f>D21*$C$27</f>
        <v>675890000</v>
      </c>
      <c r="E27" s="10">
        <f t="shared" ref="E27:I27" si="9">E21*$C$27</f>
        <v>723202300</v>
      </c>
      <c r="F27" s="10">
        <f t="shared" si="9"/>
        <v>788290507</v>
      </c>
      <c r="G27" s="10">
        <f t="shared" si="9"/>
        <v>914416988.12</v>
      </c>
      <c r="H27" s="10">
        <f t="shared" si="9"/>
        <v>996714517.05080009</v>
      </c>
      <c r="I27" s="10">
        <f t="shared" si="9"/>
        <v>1046550242.90334</v>
      </c>
      <c r="P27" s="54">
        <v>44682</v>
      </c>
      <c r="Q27" s="57">
        <v>222.9</v>
      </c>
      <c r="R27" s="6">
        <v>4158.24</v>
      </c>
      <c r="S27" s="6">
        <v>11354.62</v>
      </c>
      <c r="T27" s="6">
        <v>33212.959999999999</v>
      </c>
      <c r="U27" s="54">
        <v>44682</v>
      </c>
      <c r="V27" s="57">
        <f t="shared" si="3"/>
        <v>92.458934793429563</v>
      </c>
      <c r="W27" s="57">
        <f t="shared" si="0"/>
        <v>98.306102522760625</v>
      </c>
      <c r="X27" s="57">
        <f t="shared" si="1"/>
        <v>82.193551843028601</v>
      </c>
      <c r="Y27" s="57">
        <f t="shared" si="2"/>
        <v>96.187341530201024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13990923000</v>
      </c>
      <c r="E28" s="12">
        <f t="shared" ref="E28:I28" si="10">E24+E25-E26-E27</f>
        <v>14970287610</v>
      </c>
      <c r="F28" s="12">
        <f t="shared" si="10"/>
        <v>16317613494.900002</v>
      </c>
      <c r="G28" s="12">
        <f t="shared" si="10"/>
        <v>18928431654.084</v>
      </c>
      <c r="H28" s="12">
        <f t="shared" si="10"/>
        <v>20631990502.951557</v>
      </c>
      <c r="I28" s="12">
        <f t="shared" si="10"/>
        <v>21663590028.09914</v>
      </c>
      <c r="P28" s="54">
        <v>44713</v>
      </c>
      <c r="Q28" s="6">
        <v>178.29</v>
      </c>
      <c r="R28" s="6">
        <v>3911.74</v>
      </c>
      <c r="S28" s="6">
        <v>11127.85</v>
      </c>
      <c r="T28" s="6">
        <v>31097.26</v>
      </c>
      <c r="U28" s="54">
        <v>44713</v>
      </c>
      <c r="V28" s="57">
        <f t="shared" si="3"/>
        <v>73.954703832752614</v>
      </c>
      <c r="W28" s="57">
        <f t="shared" si="0"/>
        <v>92.478527810415855</v>
      </c>
      <c r="X28" s="57">
        <f t="shared" si="1"/>
        <v>80.552014587581596</v>
      </c>
      <c r="Y28" s="57">
        <f t="shared" si="2"/>
        <v>90.060108110612831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4">
        <v>44743</v>
      </c>
      <c r="Q29" s="6">
        <v>198.25</v>
      </c>
      <c r="R29" s="6">
        <v>4130.29</v>
      </c>
      <c r="S29" s="6">
        <v>12390.69</v>
      </c>
      <c r="T29" s="6">
        <v>32845.129999999997</v>
      </c>
      <c r="U29" s="54">
        <v>44743</v>
      </c>
      <c r="V29" s="57">
        <f t="shared" si="3"/>
        <v>82.234113157458097</v>
      </c>
      <c r="W29" s="57">
        <f t="shared" si="0"/>
        <v>97.645328838338571</v>
      </c>
      <c r="X29" s="57">
        <f t="shared" si="1"/>
        <v>89.693430593528973</v>
      </c>
      <c r="Y29" s="57">
        <f t="shared" si="2"/>
        <v>95.122076951703548</v>
      </c>
    </row>
    <row r="30" spans="1:25" x14ac:dyDescent="0.25">
      <c r="A30" t="s">
        <v>36</v>
      </c>
      <c r="C30" s="13">
        <f>-G39</f>
        <v>-436836000000</v>
      </c>
      <c r="D30" s="5">
        <f>D28</f>
        <v>13990923000</v>
      </c>
      <c r="E30" s="5">
        <f t="shared" ref="E30:I30" si="11">E28</f>
        <v>14970287610</v>
      </c>
      <c r="F30" s="5">
        <f t="shared" si="11"/>
        <v>16317613494.900002</v>
      </c>
      <c r="G30" s="5">
        <f t="shared" si="11"/>
        <v>18928431654.084</v>
      </c>
      <c r="H30" s="5">
        <f t="shared" si="11"/>
        <v>20631990502.951557</v>
      </c>
      <c r="I30" s="5">
        <f t="shared" si="11"/>
        <v>21663590028.09914</v>
      </c>
      <c r="J30" s="13">
        <f>I28+M22</f>
        <v>686871590670.62842</v>
      </c>
      <c r="K30" t="s">
        <v>38</v>
      </c>
      <c r="P30" s="54">
        <v>44774</v>
      </c>
      <c r="Q30" s="6">
        <v>191.92</v>
      </c>
      <c r="R30" s="6">
        <v>3924.26</v>
      </c>
      <c r="S30" s="6">
        <v>12141.71</v>
      </c>
      <c r="T30" s="6">
        <v>31318.44</v>
      </c>
      <c r="U30" s="54">
        <v>44774</v>
      </c>
      <c r="V30" s="57">
        <f t="shared" si="3"/>
        <v>79.608428737348589</v>
      </c>
      <c r="W30" s="57">
        <f t="shared" si="0"/>
        <v>92.774516594994196</v>
      </c>
      <c r="X30" s="57">
        <f t="shared" si="1"/>
        <v>87.891120120974421</v>
      </c>
      <c r="Y30" s="57">
        <f t="shared" si="2"/>
        <v>90.700662767579558</v>
      </c>
    </row>
    <row r="31" spans="1:25" x14ac:dyDescent="0.25">
      <c r="A31" t="s">
        <v>37</v>
      </c>
      <c r="D31" s="6">
        <f>1/(1+$B$7)^D29</f>
        <v>0.95025644847710267</v>
      </c>
      <c r="E31" s="6">
        <f t="shared" ref="E31:I31" si="12">1/(1+$B$7)^E29</f>
        <v>0.85806952170121209</v>
      </c>
      <c r="F31" s="6">
        <f t="shared" si="12"/>
        <v>0.7748258959489589</v>
      </c>
      <c r="G31" s="6">
        <f t="shared" si="12"/>
        <v>0.69965795760096505</v>
      </c>
      <c r="H31" s="6">
        <f t="shared" si="12"/>
        <v>0.63178226256211845</v>
      </c>
      <c r="I31" s="6">
        <f t="shared" si="12"/>
        <v>0.60035516903310704</v>
      </c>
      <c r="J31" t="s">
        <v>39</v>
      </c>
      <c r="P31" s="54">
        <v>44805</v>
      </c>
      <c r="Q31" s="6">
        <v>164.08</v>
      </c>
      <c r="R31" s="6">
        <v>3585.62</v>
      </c>
      <c r="S31" s="6">
        <v>10867.93</v>
      </c>
      <c r="T31" s="6">
        <v>30822.42</v>
      </c>
      <c r="U31" s="54">
        <v>44805</v>
      </c>
      <c r="V31" s="57">
        <f t="shared" si="3"/>
        <v>68.060394889663186</v>
      </c>
      <c r="W31" s="57">
        <f t="shared" si="0"/>
        <v>84.768634645345372</v>
      </c>
      <c r="X31" s="57">
        <f t="shared" si="1"/>
        <v>78.670511904529235</v>
      </c>
      <c r="Y31" s="57">
        <f t="shared" si="2"/>
        <v>89.264149877857889</v>
      </c>
    </row>
    <row r="32" spans="1:25" x14ac:dyDescent="0.25">
      <c r="A32" t="s">
        <v>40</v>
      </c>
      <c r="C32" s="13">
        <f>-G39</f>
        <v>-436836000000</v>
      </c>
      <c r="D32" s="5">
        <f>D30*D31</f>
        <v>13294964800.89661</v>
      </c>
      <c r="E32" s="5">
        <f t="shared" ref="E32:I32" si="13">E30*E31</f>
        <v>12845547529.242281</v>
      </c>
      <c r="F32" s="5">
        <f t="shared" si="13"/>
        <v>12643309495.934715</v>
      </c>
      <c r="G32" s="5">
        <f t="shared" si="13"/>
        <v>13243427831.685867</v>
      </c>
      <c r="H32" s="5">
        <f t="shared" si="13"/>
        <v>13034925641.114876</v>
      </c>
      <c r="I32" s="5">
        <f t="shared" si="13"/>
        <v>13005848253.183392</v>
      </c>
      <c r="J32" s="14">
        <f>M22</f>
        <v>665208000642.5293</v>
      </c>
      <c r="P32" s="54">
        <v>44835</v>
      </c>
      <c r="Q32" s="6">
        <v>219.34</v>
      </c>
      <c r="R32" s="6">
        <v>3901.06</v>
      </c>
      <c r="S32" s="6">
        <v>11102.45</v>
      </c>
      <c r="T32" s="6">
        <v>32861.800000000003</v>
      </c>
      <c r="U32" s="54">
        <v>44835</v>
      </c>
      <c r="V32" s="57">
        <f t="shared" si="3"/>
        <v>90.982246557159442</v>
      </c>
      <c r="W32" s="57">
        <f t="shared" si="0"/>
        <v>92.226038975008791</v>
      </c>
      <c r="X32" s="57">
        <f t="shared" si="1"/>
        <v>80.368149674725601</v>
      </c>
      <c r="Y32" s="57">
        <f t="shared" si="2"/>
        <v>95.170354581379101</v>
      </c>
    </row>
    <row r="33" spans="1:25" x14ac:dyDescent="0.25">
      <c r="A33" t="s">
        <v>56</v>
      </c>
      <c r="C33" s="29">
        <v>-436836</v>
      </c>
      <c r="D33" s="24">
        <v>13295</v>
      </c>
      <c r="E33" s="24">
        <v>12846</v>
      </c>
      <c r="F33" s="24">
        <v>12643</v>
      </c>
      <c r="G33" s="24">
        <v>13243</v>
      </c>
      <c r="H33" s="24">
        <v>13035</v>
      </c>
      <c r="I33" s="24">
        <v>13006</v>
      </c>
      <c r="J33" s="24">
        <v>665208</v>
      </c>
      <c r="P33" s="54">
        <v>44866</v>
      </c>
      <c r="Q33" s="6">
        <v>236.13</v>
      </c>
      <c r="R33" s="6">
        <v>4026.12</v>
      </c>
      <c r="S33" s="6">
        <v>11226.36</v>
      </c>
      <c r="T33" s="6">
        <v>34429.879999999997</v>
      </c>
      <c r="U33" s="54">
        <v>44866</v>
      </c>
      <c r="V33" s="57">
        <f t="shared" si="3"/>
        <v>97.94673967147834</v>
      </c>
      <c r="W33" s="57">
        <f t="shared" si="0"/>
        <v>95.182617042050737</v>
      </c>
      <c r="X33" s="57">
        <f t="shared" si="1"/>
        <v>81.2651064208668</v>
      </c>
      <c r="Y33" s="57">
        <f t="shared" si="2"/>
        <v>99.711637457300938</v>
      </c>
    </row>
    <row r="34" spans="1:25" x14ac:dyDescent="0.25">
      <c r="P34" s="54">
        <v>44896</v>
      </c>
      <c r="Q34" s="6">
        <v>239.56</v>
      </c>
      <c r="R34" s="6">
        <v>3839.5</v>
      </c>
      <c r="S34" s="6">
        <v>10466.48</v>
      </c>
      <c r="T34" s="6">
        <v>33203.93</v>
      </c>
      <c r="U34" s="54">
        <v>44896</v>
      </c>
      <c r="V34" s="57">
        <f t="shared" si="3"/>
        <v>99.369503899120616</v>
      </c>
      <c r="W34" s="57">
        <f t="shared" si="0"/>
        <v>90.770681979909639</v>
      </c>
      <c r="X34" s="57">
        <f t="shared" si="1"/>
        <v>75.764505240511951</v>
      </c>
      <c r="Y34" s="57">
        <f t="shared" si="2"/>
        <v>96.161189940760721</v>
      </c>
    </row>
    <row r="35" spans="1:25" x14ac:dyDescent="0.25">
      <c r="A35" s="3" t="s">
        <v>41</v>
      </c>
      <c r="F35" s="3" t="s">
        <v>31</v>
      </c>
      <c r="P35" s="54">
        <v>44927</v>
      </c>
      <c r="Q35" s="6">
        <v>264.54000000000002</v>
      </c>
      <c r="R35" s="6">
        <v>4070.56</v>
      </c>
      <c r="S35" s="6">
        <v>11140.43</v>
      </c>
      <c r="T35" s="6">
        <v>33375.49</v>
      </c>
      <c r="U35" s="54">
        <v>44927</v>
      </c>
      <c r="V35" s="57">
        <f t="shared" si="3"/>
        <v>109.73120955699353</v>
      </c>
      <c r="W35" s="57">
        <f t="shared" si="0"/>
        <v>96.233235379643432</v>
      </c>
      <c r="X35" s="57">
        <f t="shared" si="1"/>
        <v>80.643078390877989</v>
      </c>
      <c r="Y35" s="57">
        <f t="shared" si="2"/>
        <v>96.658041179341112</v>
      </c>
    </row>
    <row r="36" spans="1:25" x14ac:dyDescent="0.25">
      <c r="A36" s="13" t="s">
        <v>42</v>
      </c>
      <c r="B36" s="17">
        <f>SUM(D32:I32)</f>
        <v>78068023552.057739</v>
      </c>
      <c r="C36" t="s">
        <v>45</v>
      </c>
      <c r="F36" t="s">
        <v>33</v>
      </c>
      <c r="G36" s="15">
        <f>B13*B12</f>
        <v>403836000000</v>
      </c>
      <c r="H36" t="s">
        <v>34</v>
      </c>
      <c r="L36" s="3" t="s">
        <v>51</v>
      </c>
      <c r="P36" s="54">
        <v>44958</v>
      </c>
      <c r="Q36" s="6">
        <v>255.31</v>
      </c>
      <c r="R36" s="6">
        <v>4045.64</v>
      </c>
      <c r="S36" s="6">
        <v>11689.01</v>
      </c>
      <c r="T36" s="6">
        <v>32816.92</v>
      </c>
      <c r="U36" s="54">
        <v>44958</v>
      </c>
      <c r="V36" s="57">
        <f t="shared" si="3"/>
        <v>105.90260494441679</v>
      </c>
      <c r="W36" s="57">
        <f t="shared" si="0"/>
        <v>95.644094763693616</v>
      </c>
      <c r="X36" s="57">
        <f t="shared" si="1"/>
        <v>84.614126182001655</v>
      </c>
      <c r="Y36" s="57">
        <f t="shared" si="2"/>
        <v>95.040378575389994</v>
      </c>
    </row>
    <row r="37" spans="1:25" x14ac:dyDescent="0.25">
      <c r="A37" t="s">
        <v>11</v>
      </c>
      <c r="B37" s="19">
        <f>B15</f>
        <v>10000000000</v>
      </c>
      <c r="F37" t="s">
        <v>10</v>
      </c>
      <c r="G37" s="14">
        <f>B14</f>
        <v>43000000000</v>
      </c>
      <c r="L37" t="s">
        <v>52</v>
      </c>
      <c r="M37" s="21">
        <f>(B40/B12)-1</f>
        <v>-0.12058852579439794</v>
      </c>
      <c r="P37" s="54">
        <v>44986</v>
      </c>
      <c r="Q37" s="6">
        <v>228.84</v>
      </c>
      <c r="R37" s="6">
        <v>3970.99</v>
      </c>
      <c r="S37" s="6">
        <v>11823.96</v>
      </c>
      <c r="T37" s="6">
        <v>33274.15</v>
      </c>
      <c r="U37" s="54">
        <v>44986</v>
      </c>
      <c r="V37" s="57">
        <f t="shared" si="3"/>
        <v>94.922847187655549</v>
      </c>
      <c r="W37" s="57">
        <f t="shared" si="0"/>
        <v>93.879273456283713</v>
      </c>
      <c r="X37" s="57">
        <f t="shared" si="1"/>
        <v>85.590999016250322</v>
      </c>
      <c r="Y37" s="57">
        <f t="shared" si="2"/>
        <v>96.364552577582344</v>
      </c>
    </row>
    <row r="38" spans="1:25" x14ac:dyDescent="0.25">
      <c r="A38" t="s">
        <v>10</v>
      </c>
      <c r="B38" s="19">
        <f>B14</f>
        <v>43000000000</v>
      </c>
      <c r="C38" s="3"/>
      <c r="F38" t="s">
        <v>11</v>
      </c>
      <c r="G38" s="14">
        <f>B15</f>
        <v>10000000000</v>
      </c>
      <c r="L38" t="s">
        <v>53</v>
      </c>
      <c r="M38" s="23">
        <f>IRR(C33:J33)</f>
        <v>8.431697103809821E-2</v>
      </c>
      <c r="N38" t="s">
        <v>57</v>
      </c>
      <c r="P38" s="54">
        <v>45017</v>
      </c>
      <c r="Q38" s="6">
        <v>218.8</v>
      </c>
      <c r="R38" s="6">
        <v>4133.5200000000004</v>
      </c>
      <c r="S38" s="6">
        <v>12072.46</v>
      </c>
      <c r="T38" s="6">
        <v>33808.959999999999</v>
      </c>
      <c r="U38" s="54">
        <v>45017</v>
      </c>
      <c r="V38" s="57">
        <f t="shared" si="3"/>
        <v>90.758254521320723</v>
      </c>
      <c r="W38" s="57">
        <f t="shared" si="0"/>
        <v>97.721690162155511</v>
      </c>
      <c r="X38" s="57">
        <f t="shared" si="1"/>
        <v>87.389834876278456</v>
      </c>
      <c r="Y38" s="57">
        <f t="shared" si="2"/>
        <v>97.913404354833347</v>
      </c>
    </row>
    <row r="39" spans="1:25" x14ac:dyDescent="0.25">
      <c r="A39" t="s">
        <v>44</v>
      </c>
      <c r="B39" s="17">
        <f>(((B36+B37)-B38)+(M22))/2</f>
        <v>355138012097.29352</v>
      </c>
      <c r="C39" t="s">
        <v>81</v>
      </c>
      <c r="F39" t="s">
        <v>30</v>
      </c>
      <c r="G39" s="13">
        <f>G36+G37-G38</f>
        <v>436836000000</v>
      </c>
      <c r="H39" t="s">
        <v>32</v>
      </c>
      <c r="P39" s="54">
        <v>45047</v>
      </c>
      <c r="Q39" s="6">
        <v>226.63</v>
      </c>
      <c r="R39" s="6">
        <v>4282.37</v>
      </c>
      <c r="S39" s="6">
        <v>13240.77</v>
      </c>
      <c r="T39" s="6">
        <v>33093.339999999997</v>
      </c>
      <c r="U39" s="54">
        <v>45047</v>
      </c>
      <c r="V39" s="57">
        <f t="shared" si="3"/>
        <v>94.006139040982234</v>
      </c>
      <c r="W39" s="57">
        <f t="shared" si="0"/>
        <v>101.2406942024497</v>
      </c>
      <c r="X39" s="57">
        <f t="shared" si="1"/>
        <v>95.846969377805479</v>
      </c>
      <c r="Y39" s="57">
        <f t="shared" si="2"/>
        <v>95.840912612277336</v>
      </c>
    </row>
    <row r="40" spans="1:25" x14ac:dyDescent="0.25">
      <c r="A40" t="s">
        <v>73</v>
      </c>
      <c r="B40" s="20">
        <f>B39/B13</f>
        <v>770.3644514041074</v>
      </c>
      <c r="C40" t="s">
        <v>82</v>
      </c>
      <c r="F40" t="s">
        <v>48</v>
      </c>
      <c r="G40" s="16">
        <f>G39/B13</f>
        <v>947.58351409978309</v>
      </c>
      <c r="H40" t="s">
        <v>49</v>
      </c>
      <c r="L40" s="45" t="s">
        <v>101</v>
      </c>
      <c r="M40" s="46"/>
      <c r="P40" s="54">
        <v>45078</v>
      </c>
      <c r="Q40" s="6">
        <v>246.05</v>
      </c>
      <c r="R40" s="6">
        <v>4450.38</v>
      </c>
      <c r="S40" s="6">
        <v>13492.52</v>
      </c>
      <c r="T40" s="6">
        <v>33727.43</v>
      </c>
      <c r="U40" s="54">
        <v>45078</v>
      </c>
      <c r="V40" s="57">
        <f t="shared" si="3"/>
        <v>102.06155632984901</v>
      </c>
      <c r="W40" s="57">
        <f t="shared" si="0"/>
        <v>105.21266510476633</v>
      </c>
      <c r="X40" s="57">
        <f t="shared" si="1"/>
        <v>97.669331260147857</v>
      </c>
      <c r="Y40" s="57">
        <f t="shared" si="2"/>
        <v>97.677287069443636</v>
      </c>
    </row>
    <row r="41" spans="1:25" x14ac:dyDescent="0.25">
      <c r="A41" t="s">
        <v>46</v>
      </c>
      <c r="B41" s="22">
        <f>(B40/B12)-1</f>
        <v>-0.12058852579439794</v>
      </c>
      <c r="C41" t="s">
        <v>47</v>
      </c>
      <c r="F41" t="s">
        <v>46</v>
      </c>
      <c r="G41" s="21">
        <f>(G40/B12)-1</f>
        <v>8.1716340296555945E-2</v>
      </c>
      <c r="H41" t="s">
        <v>50</v>
      </c>
      <c r="L41" s="47" t="s">
        <v>41</v>
      </c>
      <c r="M41" s="48">
        <f>B40</f>
        <v>770.3644514041074</v>
      </c>
      <c r="P41" s="54">
        <v>45108</v>
      </c>
      <c r="Q41" s="6">
        <v>260.43</v>
      </c>
      <c r="R41" s="6">
        <v>4582.2299999999996</v>
      </c>
      <c r="S41" s="6">
        <v>14032.81</v>
      </c>
      <c r="T41" s="6">
        <v>35065.620000000003</v>
      </c>
      <c r="U41" s="54">
        <v>45108</v>
      </c>
      <c r="V41" s="57">
        <f t="shared" si="3"/>
        <v>108.026381284221</v>
      </c>
      <c r="W41" s="57">
        <f t="shared" si="0"/>
        <v>108.32976744076086</v>
      </c>
      <c r="X41" s="57">
        <f t="shared" si="1"/>
        <v>101.58036959742995</v>
      </c>
      <c r="Y41" s="57">
        <f t="shared" si="2"/>
        <v>101.5527904440992</v>
      </c>
    </row>
    <row r="42" spans="1:25" x14ac:dyDescent="0.25">
      <c r="L42" s="47" t="s">
        <v>8</v>
      </c>
      <c r="M42" s="48">
        <f>B12</f>
        <v>876</v>
      </c>
      <c r="P42" s="54">
        <v>45139</v>
      </c>
      <c r="Q42" s="6">
        <v>286.25</v>
      </c>
      <c r="R42" s="6">
        <v>4515.7700000000004</v>
      </c>
      <c r="S42" s="6">
        <v>13590.65</v>
      </c>
      <c r="T42" s="6">
        <v>34837.71</v>
      </c>
      <c r="U42" s="54">
        <v>45139</v>
      </c>
      <c r="V42" s="57">
        <f t="shared" si="3"/>
        <v>118.73651899784304</v>
      </c>
      <c r="W42" s="57">
        <f t="shared" si="0"/>
        <v>106.75856818971651</v>
      </c>
      <c r="X42" s="57">
        <f t="shared" si="1"/>
        <v>98.379672358516316</v>
      </c>
      <c r="Y42" s="57">
        <f t="shared" si="2"/>
        <v>100.89274517839119</v>
      </c>
    </row>
    <row r="43" spans="1:25" x14ac:dyDescent="0.25">
      <c r="L43" s="47" t="s">
        <v>102</v>
      </c>
      <c r="M43" s="48">
        <f>(B40-B12)</f>
        <v>-105.6355485958926</v>
      </c>
      <c r="P43" s="54">
        <v>45170</v>
      </c>
      <c r="Q43" s="6">
        <v>273</v>
      </c>
      <c r="R43" s="6">
        <v>4320.0600000000004</v>
      </c>
      <c r="S43" s="6">
        <v>13211.81</v>
      </c>
      <c r="T43" s="6">
        <v>33507.5</v>
      </c>
      <c r="U43" s="54">
        <v>45170</v>
      </c>
      <c r="V43" s="57">
        <f t="shared" si="3"/>
        <v>113.24041811846691</v>
      </c>
      <c r="W43" s="57">
        <f t="shared" si="0"/>
        <v>102.13173392215873</v>
      </c>
      <c r="X43" s="57">
        <f t="shared" si="1"/>
        <v>95.637334422045257</v>
      </c>
      <c r="Y43" s="57">
        <f t="shared" si="2"/>
        <v>97.040352510682908</v>
      </c>
    </row>
    <row r="44" spans="1:25" x14ac:dyDescent="0.25">
      <c r="L44" s="47" t="s">
        <v>103</v>
      </c>
      <c r="M44" s="52">
        <f>((B40-B12)/(B12))</f>
        <v>-0.12058852579439795</v>
      </c>
      <c r="P44" s="54">
        <v>45200</v>
      </c>
      <c r="Q44" s="6">
        <v>238.56</v>
      </c>
      <c r="R44" s="6">
        <v>4117.37</v>
      </c>
      <c r="S44" s="6">
        <v>12643.01</v>
      </c>
      <c r="T44" s="6">
        <v>34061.32</v>
      </c>
      <c r="U44" s="54">
        <v>45200</v>
      </c>
      <c r="V44" s="57">
        <f t="shared" si="3"/>
        <v>98.954703832752614</v>
      </c>
      <c r="W44" s="57">
        <f t="shared" si="0"/>
        <v>97.339883543070854</v>
      </c>
      <c r="X44" s="57">
        <f t="shared" si="1"/>
        <v>91.519918578246461</v>
      </c>
      <c r="Y44" s="57">
        <f t="shared" si="2"/>
        <v>98.644258741451139</v>
      </c>
    </row>
    <row r="45" spans="1:25" x14ac:dyDescent="0.25">
      <c r="L45" s="50"/>
      <c r="M45" s="49"/>
      <c r="P45" s="54">
        <v>45231</v>
      </c>
      <c r="Q45" s="6">
        <v>256.76</v>
      </c>
      <c r="R45" s="6">
        <v>4559.34</v>
      </c>
      <c r="S45" s="6">
        <v>14250.85</v>
      </c>
      <c r="T45" s="6">
        <v>36245.5</v>
      </c>
      <c r="U45" s="54">
        <v>45231</v>
      </c>
      <c r="V45" s="57">
        <f t="shared" si="3"/>
        <v>106.5040650406504</v>
      </c>
      <c r="W45" s="57">
        <f t="shared" si="0"/>
        <v>107.78861861655977</v>
      </c>
      <c r="X45" s="57">
        <f t="shared" si="1"/>
        <v>103.15871233755283</v>
      </c>
      <c r="Y45" s="57">
        <f t="shared" si="2"/>
        <v>104.96981562115818</v>
      </c>
    </row>
    <row r="46" spans="1:25" x14ac:dyDescent="0.25">
      <c r="L46" s="50" t="s">
        <v>54</v>
      </c>
      <c r="M46" s="48"/>
      <c r="P46" s="54">
        <v>45261</v>
      </c>
      <c r="Q46" s="6">
        <v>295.67</v>
      </c>
      <c r="R46" s="6">
        <v>4769.83</v>
      </c>
      <c r="S46" s="6">
        <v>14992.97</v>
      </c>
      <c r="T46" s="6">
        <v>37689.54</v>
      </c>
      <c r="U46" s="54">
        <v>45261</v>
      </c>
      <c r="V46" s="57">
        <f t="shared" si="3"/>
        <v>122.64393562302971</v>
      </c>
      <c r="W46" s="57">
        <f t="shared" si="0"/>
        <v>112.76487095409099</v>
      </c>
      <c r="X46" s="57">
        <f t="shared" si="1"/>
        <v>108.53075285443039</v>
      </c>
      <c r="Y46" s="57">
        <f t="shared" si="2"/>
        <v>109.15186891189985</v>
      </c>
    </row>
    <row r="47" spans="1:25" x14ac:dyDescent="0.25">
      <c r="L47" s="47" t="s">
        <v>41</v>
      </c>
      <c r="M47" s="48">
        <f>B40</f>
        <v>770.3644514041074</v>
      </c>
      <c r="P47" s="54">
        <v>45292</v>
      </c>
      <c r="Q47" s="6">
        <v>315.08999999999997</v>
      </c>
      <c r="R47" s="6">
        <v>4958.6099999999997</v>
      </c>
      <c r="S47" s="6">
        <v>15628.95</v>
      </c>
      <c r="T47" s="6">
        <v>38109.43</v>
      </c>
      <c r="U47" s="54">
        <v>45292</v>
      </c>
      <c r="V47" s="57">
        <f t="shared" si="3"/>
        <v>130.69935291189645</v>
      </c>
      <c r="W47" s="57">
        <f t="shared" si="0"/>
        <v>117.22787117395485</v>
      </c>
      <c r="X47" s="57">
        <f t="shared" si="1"/>
        <v>113.13446967640499</v>
      </c>
      <c r="Y47" s="57">
        <f t="shared" si="2"/>
        <v>110.36790334048183</v>
      </c>
    </row>
    <row r="48" spans="1:25" x14ac:dyDescent="0.25">
      <c r="L48" s="47" t="s">
        <v>31</v>
      </c>
      <c r="M48" s="48">
        <f>G40</f>
        <v>947.58351409978309</v>
      </c>
      <c r="P48" s="54">
        <v>45323</v>
      </c>
      <c r="Q48" s="6">
        <v>336.7</v>
      </c>
      <c r="R48" s="6">
        <v>5137.08</v>
      </c>
      <c r="S48" s="6">
        <v>16274.94</v>
      </c>
      <c r="T48" s="6">
        <v>39087.379999999997</v>
      </c>
      <c r="U48" s="54">
        <v>45323</v>
      </c>
      <c r="V48" s="57">
        <f t="shared" si="3"/>
        <v>139.66318234610918</v>
      </c>
      <c r="W48" s="57">
        <f t="shared" si="0"/>
        <v>121.44712983079937</v>
      </c>
      <c r="X48" s="57">
        <f t="shared" si="1"/>
        <v>117.8106466471075</v>
      </c>
      <c r="Y48" s="57">
        <f t="shared" si="2"/>
        <v>113.20012337294688</v>
      </c>
    </row>
    <row r="49" spans="12:25" x14ac:dyDescent="0.25">
      <c r="L49" s="47" t="s">
        <v>102</v>
      </c>
      <c r="M49" s="48">
        <f>-(G40-B40)</f>
        <v>-177.21906269567569</v>
      </c>
      <c r="P49" s="54">
        <v>45352</v>
      </c>
      <c r="Q49" s="6">
        <v>366.43</v>
      </c>
      <c r="R49" s="6">
        <v>5234.18</v>
      </c>
      <c r="S49" s="6">
        <v>16428.82</v>
      </c>
      <c r="T49" s="6">
        <v>39807.370000000003</v>
      </c>
      <c r="U49" s="54">
        <v>45352</v>
      </c>
      <c r="V49" s="57">
        <f t="shared" si="3"/>
        <v>151.99518831923012</v>
      </c>
      <c r="W49" s="57">
        <f t="shared" si="0"/>
        <v>123.74269780065201</v>
      </c>
      <c r="X49" s="57">
        <f t="shared" si="1"/>
        <v>118.92454951286658</v>
      </c>
      <c r="Y49" s="57">
        <f t="shared" si="2"/>
        <v>115.28527097883112</v>
      </c>
    </row>
    <row r="50" spans="12:25" x14ac:dyDescent="0.25">
      <c r="L50" s="51" t="s">
        <v>103</v>
      </c>
      <c r="M50" s="53">
        <f>((B40-G40)/(G40))</f>
        <v>-0.18702210418259138</v>
      </c>
      <c r="P50" s="54">
        <v>45383</v>
      </c>
      <c r="Q50" s="6">
        <v>336.75</v>
      </c>
      <c r="R50" s="6">
        <v>4967.2299999999996</v>
      </c>
      <c r="S50" s="6">
        <v>15282.01</v>
      </c>
      <c r="T50" s="6">
        <v>37986.400000000001</v>
      </c>
      <c r="U50" s="54">
        <v>45383</v>
      </c>
      <c r="V50" s="57">
        <f t="shared" si="3"/>
        <v>139.68392234942758</v>
      </c>
      <c r="W50" s="57">
        <f t="shared" si="0"/>
        <v>117.43165897931149</v>
      </c>
      <c r="X50" s="57">
        <f t="shared" si="1"/>
        <v>110.62304869741844</v>
      </c>
      <c r="Y50" s="57">
        <f t="shared" si="2"/>
        <v>110.01159879465212</v>
      </c>
    </row>
    <row r="51" spans="12:25" x14ac:dyDescent="0.25">
      <c r="P51" s="54">
        <v>45413</v>
      </c>
      <c r="Q51" s="6">
        <v>338.52</v>
      </c>
      <c r="R51" s="6">
        <v>5277.51</v>
      </c>
      <c r="S51" s="6">
        <v>16735.02</v>
      </c>
      <c r="T51" s="6">
        <v>38686.32</v>
      </c>
      <c r="U51" s="54">
        <v>45413</v>
      </c>
      <c r="V51" s="57">
        <f t="shared" si="3"/>
        <v>140.41811846689893</v>
      </c>
      <c r="W51" s="57">
        <f t="shared" si="0"/>
        <v>124.76707432108162</v>
      </c>
      <c r="X51" s="57">
        <f t="shared" si="1"/>
        <v>121.14106275367386</v>
      </c>
      <c r="Y51" s="57">
        <f t="shared" si="2"/>
        <v>112.03862210374045</v>
      </c>
    </row>
    <row r="52" spans="12:25" x14ac:dyDescent="0.25">
      <c r="P52" s="54">
        <v>45444</v>
      </c>
      <c r="Q52" s="6">
        <v>333.1</v>
      </c>
      <c r="R52" s="6">
        <v>5464.62</v>
      </c>
      <c r="S52" s="6">
        <v>17689.36</v>
      </c>
      <c r="T52" s="6">
        <v>39150.33</v>
      </c>
      <c r="U52" s="54">
        <v>45444</v>
      </c>
      <c r="V52" s="57">
        <f t="shared" si="3"/>
        <v>138.16990210718433</v>
      </c>
      <c r="W52" s="57">
        <f t="shared" si="0"/>
        <v>129.19059360881724</v>
      </c>
      <c r="X52" s="57">
        <f t="shared" si="1"/>
        <v>128.04931633379155</v>
      </c>
      <c r="Y52" s="57">
        <f t="shared" si="2"/>
        <v>113.38243151860226</v>
      </c>
    </row>
    <row r="53" spans="12:25" x14ac:dyDescent="0.25">
      <c r="P53" s="54">
        <v>45474</v>
      </c>
      <c r="Q53" s="6">
        <v>320.87</v>
      </c>
      <c r="R53" s="6">
        <v>5459.1</v>
      </c>
      <c r="S53" s="6">
        <v>17357.88</v>
      </c>
      <c r="T53" s="6">
        <v>40287.53</v>
      </c>
      <c r="U53" s="54">
        <v>45474</v>
      </c>
      <c r="V53" s="57">
        <f t="shared" si="3"/>
        <v>133.09689729550357</v>
      </c>
      <c r="W53" s="57">
        <f t="shared" si="0"/>
        <v>129.06009376130348</v>
      </c>
      <c r="X53" s="57">
        <f t="shared" si="1"/>
        <v>125.64980683325986</v>
      </c>
      <c r="Y53" s="57">
        <f t="shared" si="2"/>
        <v>116.67585206251476</v>
      </c>
    </row>
    <row r="54" spans="12:25" x14ac:dyDescent="0.25">
      <c r="P54" s="54">
        <v>45505</v>
      </c>
      <c r="Q54" s="6">
        <v>356.1</v>
      </c>
      <c r="R54" s="6">
        <v>5648.4</v>
      </c>
      <c r="S54" s="6">
        <v>17877.79</v>
      </c>
      <c r="T54" s="6">
        <v>41175.08</v>
      </c>
      <c r="U54" s="54">
        <v>45505</v>
      </c>
      <c r="V54" s="57">
        <f t="shared" si="3"/>
        <v>147.71030363364858</v>
      </c>
      <c r="W54" s="57">
        <f t="shared" si="0"/>
        <v>133.53538744506358</v>
      </c>
      <c r="X54" s="57">
        <f t="shared" si="1"/>
        <v>129.41331891369137</v>
      </c>
      <c r="Y54" s="57">
        <f t="shared" si="2"/>
        <v>119.24626659272015</v>
      </c>
    </row>
    <row r="55" spans="12:25" x14ac:dyDescent="0.25">
      <c r="P55" s="54">
        <v>45536</v>
      </c>
      <c r="Q55" s="6">
        <v>397.09</v>
      </c>
      <c r="R55" s="6">
        <v>5751.07</v>
      </c>
      <c r="S55" s="6">
        <v>18137.849999999999</v>
      </c>
      <c r="T55" s="6">
        <v>42313</v>
      </c>
      <c r="U55" s="54">
        <v>45536</v>
      </c>
      <c r="V55" s="57">
        <f t="shared" si="3"/>
        <v>164.71295835407332</v>
      </c>
      <c r="W55" s="57">
        <f t="shared" si="0"/>
        <v>135.96263732626613</v>
      </c>
      <c r="X55" s="57">
        <f t="shared" si="1"/>
        <v>131.29583502539722</v>
      </c>
      <c r="Y55" s="57">
        <f t="shared" si="2"/>
        <v>122.54177231319932</v>
      </c>
    </row>
    <row r="56" spans="12:25" x14ac:dyDescent="0.25">
      <c r="P56" s="54">
        <v>45566</v>
      </c>
      <c r="Q56" s="6">
        <v>379.63</v>
      </c>
      <c r="R56" s="6">
        <v>5728.8</v>
      </c>
      <c r="S56" s="6">
        <v>18518.61</v>
      </c>
      <c r="T56" s="6">
        <v>42052.19</v>
      </c>
      <c r="U56" s="54">
        <v>45566</v>
      </c>
      <c r="V56" s="57">
        <f t="shared" si="3"/>
        <v>157.47054919528787</v>
      </c>
      <c r="W56" s="57">
        <f t="shared" si="0"/>
        <v>135.43614609363362</v>
      </c>
      <c r="X56" s="57">
        <f t="shared" si="1"/>
        <v>134.05207141197394</v>
      </c>
      <c r="Y56" s="57">
        <f t="shared" si="2"/>
        <v>121.78644606270881</v>
      </c>
    </row>
    <row r="57" spans="12:25" x14ac:dyDescent="0.25">
      <c r="P57" s="54">
        <v>45597</v>
      </c>
      <c r="Q57" s="6">
        <v>406.11</v>
      </c>
      <c r="R57" s="6">
        <v>5969.34</v>
      </c>
      <c r="S57" s="6">
        <v>19003.650000000001</v>
      </c>
      <c r="T57" s="6">
        <v>44296.51</v>
      </c>
      <c r="U57" s="54">
        <v>45597</v>
      </c>
      <c r="V57" s="57">
        <f t="shared" si="3"/>
        <v>168.45445495271278</v>
      </c>
      <c r="W57" s="57">
        <f t="shared" si="0"/>
        <v>141.1228187967063</v>
      </c>
      <c r="X57" s="57">
        <f t="shared" si="1"/>
        <v>137.5631673699138</v>
      </c>
      <c r="Y57" s="57">
        <f t="shared" si="2"/>
        <v>128.28617310730408</v>
      </c>
    </row>
    <row r="58" spans="12:25" x14ac:dyDescent="0.25">
      <c r="P58" s="54">
        <v>45627</v>
      </c>
      <c r="Q58" s="6">
        <v>364.86</v>
      </c>
      <c r="R58" s="6">
        <v>5942.47</v>
      </c>
      <c r="S58" s="6">
        <v>19722.03</v>
      </c>
      <c r="T58" s="6">
        <v>42840.26</v>
      </c>
      <c r="U58" s="54">
        <v>45627</v>
      </c>
      <c r="V58" s="57">
        <f t="shared" si="3"/>
        <v>151.34395221503237</v>
      </c>
      <c r="W58" s="57">
        <f t="shared" si="0"/>
        <v>140.48757769114565</v>
      </c>
      <c r="X58" s="57">
        <f t="shared" si="1"/>
        <v>142.76335934225582</v>
      </c>
      <c r="Y58" s="57">
        <f t="shared" si="2"/>
        <v>124.06875869728596</v>
      </c>
    </row>
    <row r="59" spans="12:25" x14ac:dyDescent="0.25">
      <c r="P59" s="54">
        <v>45658</v>
      </c>
      <c r="Q59" s="6">
        <v>407.63</v>
      </c>
      <c r="R59" s="6">
        <v>6040.53</v>
      </c>
      <c r="S59" s="6">
        <v>19627.439999999999</v>
      </c>
      <c r="T59" s="6">
        <v>44424.25</v>
      </c>
      <c r="U59" s="54">
        <v>45658</v>
      </c>
      <c r="V59" s="57">
        <f t="shared" si="3"/>
        <v>169.08495105359216</v>
      </c>
      <c r="W59" s="57">
        <f t="shared" si="0"/>
        <v>142.80584128665282</v>
      </c>
      <c r="X59" s="57">
        <f t="shared" si="1"/>
        <v>142.07864351126969</v>
      </c>
      <c r="Y59" s="57">
        <f t="shared" si="2"/>
        <v>128.65611818317407</v>
      </c>
    </row>
    <row r="60" spans="12:25" x14ac:dyDescent="0.25">
      <c r="P60" s="54">
        <v>45689</v>
      </c>
      <c r="Q60" s="6">
        <v>343.95</v>
      </c>
      <c r="R60" s="6">
        <v>5954.5</v>
      </c>
      <c r="S60" s="6">
        <v>19524.009999999998</v>
      </c>
      <c r="T60" s="6">
        <v>43840.91</v>
      </c>
      <c r="U60" s="54">
        <v>45689</v>
      </c>
      <c r="V60" s="57">
        <f t="shared" si="3"/>
        <v>142.67048282727723</v>
      </c>
      <c r="W60" s="57">
        <f t="shared" si="0"/>
        <v>140.77198225012944</v>
      </c>
      <c r="X60" s="57">
        <f t="shared" si="1"/>
        <v>141.32993689958874</v>
      </c>
      <c r="Y60" s="57">
        <f t="shared" si="2"/>
        <v>126.9667197131724</v>
      </c>
    </row>
    <row r="61" spans="12:25" x14ac:dyDescent="0.25">
      <c r="P61" s="54">
        <v>45717</v>
      </c>
      <c r="Q61" s="6">
        <v>288.08</v>
      </c>
      <c r="R61" s="6">
        <v>5074.08</v>
      </c>
      <c r="S61" s="6">
        <v>15587.79</v>
      </c>
      <c r="T61" s="6">
        <v>38314.86</v>
      </c>
      <c r="U61" s="54">
        <v>45717</v>
      </c>
      <c r="V61" s="57">
        <f t="shared" si="3"/>
        <v>119.49560311929648</v>
      </c>
      <c r="W61" s="57">
        <f t="shared" si="0"/>
        <v>119.95772939721836</v>
      </c>
      <c r="X61" s="57">
        <f t="shared" si="1"/>
        <v>112.83652165226512</v>
      </c>
      <c r="Y61" s="57">
        <f t="shared" si="2"/>
        <v>110.96284476005268</v>
      </c>
    </row>
    <row r="62" spans="12:25" x14ac:dyDescent="0.25">
      <c r="P62" s="54">
        <v>45748</v>
      </c>
      <c r="Q62" s="6">
        <v>323.68</v>
      </c>
      <c r="R62" s="6">
        <v>5282.7</v>
      </c>
      <c r="S62" s="6">
        <v>16286.45</v>
      </c>
      <c r="T62" s="6">
        <v>39142.230000000003</v>
      </c>
      <c r="U62" s="54">
        <v>45748</v>
      </c>
      <c r="V62" s="57">
        <f t="shared" si="3"/>
        <v>134.26248548199766</v>
      </c>
      <c r="W62" s="57">
        <f t="shared" si="0"/>
        <v>124.88977254727662</v>
      </c>
      <c r="X62" s="57">
        <f t="shared" si="1"/>
        <v>117.89396495998044</v>
      </c>
      <c r="Y62" s="57">
        <f t="shared" si="2"/>
        <v>113.35897328222721</v>
      </c>
    </row>
    <row r="63" spans="12:25" x14ac:dyDescent="0.25">
      <c r="P63" s="54">
        <v>45778</v>
      </c>
      <c r="Q63" s="6">
        <v>348.03</v>
      </c>
      <c r="R63" s="6">
        <v>5802.82</v>
      </c>
      <c r="S63" s="6">
        <v>19113.77</v>
      </c>
      <c r="T63" s="6">
        <v>41603.07</v>
      </c>
      <c r="U63" s="54">
        <v>45778</v>
      </c>
      <c r="V63" s="57">
        <f t="shared" si="3"/>
        <v>144.36286709805873</v>
      </c>
      <c r="W63" s="57">
        <f t="shared" si="0"/>
        <v>137.18607339670768</v>
      </c>
      <c r="X63" s="57">
        <f t="shared" si="1"/>
        <v>138.36030139368157</v>
      </c>
      <c r="Y63" s="57">
        <f t="shared" si="2"/>
        <v>120.48575925767715</v>
      </c>
    </row>
    <row r="64" spans="12:25" x14ac:dyDescent="0.25">
      <c r="P64" s="54">
        <v>45809</v>
      </c>
      <c r="Q64" s="6">
        <v>397.86</v>
      </c>
      <c r="R64" s="6">
        <v>6279.35</v>
      </c>
      <c r="S64" s="6">
        <v>19447.41</v>
      </c>
      <c r="T64" s="6">
        <v>42206.82</v>
      </c>
      <c r="U64" s="54">
        <v>45809</v>
      </c>
      <c r="V64" s="57">
        <f t="shared" si="3"/>
        <v>165.0323544051767</v>
      </c>
      <c r="W64" s="57">
        <f t="shared" si="0"/>
        <v>148.45185099376107</v>
      </c>
      <c r="X64" s="57">
        <f t="shared" si="1"/>
        <v>140.7754466505821</v>
      </c>
      <c r="Y64" s="57">
        <f t="shared" si="2"/>
        <v>122.2342666911868</v>
      </c>
    </row>
    <row r="65" spans="16:25" x14ac:dyDescent="0.25">
      <c r="P65" s="54">
        <v>45839</v>
      </c>
      <c r="Q65" s="6">
        <v>428.69</v>
      </c>
      <c r="R65" s="6">
        <v>6238.01</v>
      </c>
      <c r="S65" s="6">
        <v>20650.13</v>
      </c>
      <c r="T65" s="6">
        <v>44901.919999999998</v>
      </c>
      <c r="U65" s="54">
        <v>45839</v>
      </c>
      <c r="V65" s="57">
        <f t="shared" si="3"/>
        <v>177.82064045130247</v>
      </c>
      <c r="W65" s="57">
        <f t="shared" si="0"/>
        <v>147.47452061401123</v>
      </c>
      <c r="X65" s="57">
        <f t="shared" si="1"/>
        <v>149.48166743759631</v>
      </c>
      <c r="Y65" s="57">
        <f t="shared" si="2"/>
        <v>130.03948803123131</v>
      </c>
    </row>
    <row r="66" spans="16:25" x14ac:dyDescent="0.25">
      <c r="P66" s="54">
        <v>45870</v>
      </c>
      <c r="Q66" s="6">
        <v>419.04</v>
      </c>
      <c r="R66" s="6">
        <v>6460.26</v>
      </c>
      <c r="S66" s="6">
        <v>21496.54</v>
      </c>
      <c r="T66" s="6">
        <v>45544.88</v>
      </c>
      <c r="U66" s="54">
        <v>45870</v>
      </c>
      <c r="V66" s="57">
        <f t="shared" si="3"/>
        <v>173.81781981085115</v>
      </c>
      <c r="W66" s="57">
        <f t="shared" si="0"/>
        <v>152.72879436581093</v>
      </c>
      <c r="X66" s="57">
        <f t="shared" si="1"/>
        <v>155.60863991359795</v>
      </c>
      <c r="Y66" s="57">
        <f t="shared" si="2"/>
        <v>131.90155070526754</v>
      </c>
    </row>
    <row r="67" spans="16:25" x14ac:dyDescent="0.25">
      <c r="P67" s="54">
        <v>45901</v>
      </c>
      <c r="Q67" s="6">
        <v>497.85</v>
      </c>
      <c r="R67" s="6">
        <v>6715.79</v>
      </c>
      <c r="S67" s="6">
        <v>22780.51</v>
      </c>
      <c r="T67" s="6">
        <v>46758.28</v>
      </c>
      <c r="U67" s="54">
        <v>45901</v>
      </c>
      <c r="V67" s="57">
        <f t="shared" si="3"/>
        <v>206.50821304131409</v>
      </c>
      <c r="W67" s="57">
        <f t="shared" si="0"/>
        <v>158.76984980696895</v>
      </c>
      <c r="X67" s="57">
        <f t="shared" si="1"/>
        <v>164.90301125846844</v>
      </c>
      <c r="Y67" s="57">
        <f t="shared" si="2"/>
        <v>135.41565243581928</v>
      </c>
    </row>
    <row r="68" spans="16:25" x14ac:dyDescent="0.25">
      <c r="P68" s="54">
        <v>45931</v>
      </c>
      <c r="Q68" s="6">
        <v>577.26</v>
      </c>
      <c r="R68" s="6">
        <v>6840.2</v>
      </c>
      <c r="S68" s="6">
        <v>23204.87</v>
      </c>
      <c r="T68" s="6">
        <v>47207.12</v>
      </c>
      <c r="U68" s="54">
        <v>45931</v>
      </c>
      <c r="V68" s="57">
        <f t="shared" si="3"/>
        <v>239.4474863115978</v>
      </c>
      <c r="W68" s="57">
        <f t="shared" si="0"/>
        <v>161.71106104414062</v>
      </c>
      <c r="X68" s="57">
        <f t="shared" si="1"/>
        <v>167.97485828286096</v>
      </c>
      <c r="Y68" s="57">
        <f t="shared" si="2"/>
        <v>136.71552833885278</v>
      </c>
    </row>
    <row r="69" spans="16:25" x14ac:dyDescent="0.25">
      <c r="P69" s="54">
        <v>45962</v>
      </c>
      <c r="Q69" s="6">
        <v>575.76</v>
      </c>
      <c r="R69" s="6">
        <v>6849.09</v>
      </c>
      <c r="S69" s="6">
        <v>23365.69</v>
      </c>
      <c r="T69" s="6">
        <v>46245.41</v>
      </c>
      <c r="U69" s="54">
        <v>45962</v>
      </c>
      <c r="V69" s="57">
        <f t="shared" si="3"/>
        <v>238.82528621204577</v>
      </c>
      <c r="W69" s="57">
        <f t="shared" si="0"/>
        <v>161.9212319942126</v>
      </c>
      <c r="X69" s="57">
        <f t="shared" si="1"/>
        <v>169.13899825473106</v>
      </c>
      <c r="Y69" s="57">
        <f t="shared" si="2"/>
        <v>133.93034062228043</v>
      </c>
    </row>
    <row r="70" spans="16:25" x14ac:dyDescent="0.25">
      <c r="P70" s="54">
        <v>45992</v>
      </c>
      <c r="Q70" s="6">
        <v>598.41</v>
      </c>
      <c r="R70" s="6">
        <v>6929.94</v>
      </c>
      <c r="S70" s="6">
        <v>23593.1</v>
      </c>
      <c r="T70" s="6">
        <v>48134.89</v>
      </c>
      <c r="U70" s="54">
        <v>45992</v>
      </c>
      <c r="V70" s="57">
        <f t="shared" si="3"/>
        <v>248.2205077152812</v>
      </c>
      <c r="W70" s="57">
        <f t="shared" si="0"/>
        <v>163.83262921730824</v>
      </c>
      <c r="X70" s="57">
        <f t="shared" si="1"/>
        <v>170.78516832687995</v>
      </c>
      <c r="Y70" s="57">
        <f t="shared" si="2"/>
        <v>139.40242314893518</v>
      </c>
    </row>
    <row r="71" spans="16:25" x14ac:dyDescent="0.25">
      <c r="P71" s="54">
        <v>46023</v>
      </c>
      <c r="Q71" s="6">
        <v>657.36</v>
      </c>
      <c r="R71" s="6">
        <v>6939.03</v>
      </c>
      <c r="S71" s="6">
        <v>23461.82</v>
      </c>
      <c r="T71" s="6">
        <v>49098.71</v>
      </c>
      <c r="U71" s="54">
        <v>46023</v>
      </c>
      <c r="V71" s="57">
        <f t="shared" si="3"/>
        <v>272.67297162767545</v>
      </c>
      <c r="W71" s="57">
        <f t="shared" si="0"/>
        <v>164.04752842272492</v>
      </c>
      <c r="X71" s="57">
        <f t="shared" si="1"/>
        <v>169.83486180090614</v>
      </c>
      <c r="Y71" s="57">
        <f t="shared" si="2"/>
        <v>142.19372159127934</v>
      </c>
    </row>
    <row r="72" spans="16:25" x14ac:dyDescent="0.25">
      <c r="P72" s="54">
        <v>46054</v>
      </c>
      <c r="Q72" s="6">
        <v>742.83</v>
      </c>
      <c r="R72" s="6">
        <v>6909.51</v>
      </c>
      <c r="S72" s="6">
        <v>22668.21</v>
      </c>
      <c r="T72" s="6">
        <v>48977.919999999998</v>
      </c>
      <c r="U72" s="54">
        <v>46054</v>
      </c>
      <c r="V72" s="57">
        <f t="shared" si="3"/>
        <v>308.12593330014931</v>
      </c>
      <c r="W72" s="57">
        <f t="shared" si="0"/>
        <v>163.34963793384699</v>
      </c>
      <c r="X72" s="57">
        <f t="shared" si="1"/>
        <v>164.09009670280989</v>
      </c>
      <c r="Y72" s="57">
        <f t="shared" si="2"/>
        <v>141.8439042614348</v>
      </c>
    </row>
    <row r="73" spans="16:25" x14ac:dyDescent="0.25">
      <c r="P73" s="54">
        <v>46082</v>
      </c>
      <c r="Q73" s="6">
        <v>695.4</v>
      </c>
      <c r="R73" s="6">
        <v>6368.85</v>
      </c>
      <c r="S73" s="6">
        <v>20948.36</v>
      </c>
      <c r="T73" s="6">
        <v>45577.47</v>
      </c>
      <c r="U73" s="54">
        <v>46082</v>
      </c>
      <c r="V73" s="57">
        <f t="shared" si="3"/>
        <v>288.45196615231458</v>
      </c>
      <c r="W73" s="57">
        <f t="shared" si="0"/>
        <v>150.56774526051504</v>
      </c>
      <c r="X73" s="57">
        <f t="shared" si="1"/>
        <v>151.64048763291299</v>
      </c>
      <c r="Y73" s="57">
        <f t="shared" si="2"/>
        <v>131.99593390569501</v>
      </c>
    </row>
    <row r="74" spans="16:25" x14ac:dyDescent="0.25">
      <c r="P74" s="54">
        <v>46113</v>
      </c>
      <c r="Q74" s="6">
        <v>889.67</v>
      </c>
      <c r="R74" s="6">
        <v>7123.06</v>
      </c>
      <c r="S74" s="6">
        <v>24468.48</v>
      </c>
      <c r="T74" s="6">
        <v>49447.43</v>
      </c>
      <c r="U74" s="54">
        <v>46113</v>
      </c>
      <c r="V74" s="57">
        <f t="shared" si="3"/>
        <v>369.03517504562797</v>
      </c>
      <c r="W74" s="57">
        <f t="shared" si="0"/>
        <v>168.39823257815215</v>
      </c>
      <c r="X74" s="57">
        <f t="shared" si="1"/>
        <v>177.12184814640278</v>
      </c>
      <c r="Y74" s="57">
        <f t="shared" si="2"/>
        <v>143.20364210840313</v>
      </c>
    </row>
    <row r="75" spans="16:25" x14ac:dyDescent="0.25">
      <c r="P75" s="54">
        <v>46143</v>
      </c>
      <c r="Q75" s="58">
        <v>875.87</v>
      </c>
      <c r="R75" s="6">
        <v>7473.47</v>
      </c>
      <c r="S75" s="6">
        <v>26343.97</v>
      </c>
      <c r="T75" s="6">
        <v>50579.7</v>
      </c>
      <c r="U75" s="54">
        <v>46143</v>
      </c>
      <c r="V75" s="57">
        <f t="shared" si="3"/>
        <v>363.31093412974946</v>
      </c>
      <c r="W75" s="57">
        <f t="shared" si="0"/>
        <v>176.68237235483664</v>
      </c>
      <c r="X75" s="57">
        <f t="shared" si="1"/>
        <v>190.69810032798895</v>
      </c>
      <c r="Y75" s="57">
        <f t="shared" si="2"/>
        <v>146.48278498499107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AB6C-E8CA-4C34-ADD5-FBC782EDE4BD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0.23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0.1174</v>
      </c>
      <c r="C7" s="41"/>
      <c r="P7">
        <v>2026</v>
      </c>
      <c r="Q7" s="26">
        <f>D28</f>
        <v>8955542500</v>
      </c>
      <c r="R7" s="26"/>
      <c r="S7" t="s">
        <v>41</v>
      </c>
      <c r="T7" s="16">
        <f>B40</f>
        <v>416.67893933091869</v>
      </c>
    </row>
    <row r="8" spans="1:26" x14ac:dyDescent="0.25">
      <c r="A8" s="40" t="s">
        <v>4</v>
      </c>
      <c r="B8" s="32">
        <v>0.03</v>
      </c>
      <c r="C8" s="41"/>
      <c r="P8">
        <v>2027</v>
      </c>
      <c r="Q8" s="26">
        <f>E28</f>
        <v>9403319625</v>
      </c>
      <c r="R8" s="26"/>
      <c r="S8" t="s">
        <v>74</v>
      </c>
      <c r="T8" s="16">
        <v>459.32</v>
      </c>
    </row>
    <row r="9" spans="1:26" x14ac:dyDescent="0.25">
      <c r="A9" s="40" t="s">
        <v>5</v>
      </c>
      <c r="B9" s="33" t="s">
        <v>91</v>
      </c>
      <c r="C9" s="41"/>
      <c r="P9">
        <v>2028</v>
      </c>
      <c r="Q9" s="26">
        <f>F28</f>
        <v>9873485606.25</v>
      </c>
      <c r="R9" s="26"/>
      <c r="S9" t="s">
        <v>8</v>
      </c>
      <c r="T9" s="16">
        <f>B12</f>
        <v>876</v>
      </c>
    </row>
    <row r="10" spans="1:26" x14ac:dyDescent="0.25">
      <c r="A10" s="40" t="s">
        <v>6</v>
      </c>
      <c r="B10" s="34">
        <v>46171</v>
      </c>
      <c r="C10" s="41"/>
      <c r="P10">
        <v>2029</v>
      </c>
      <c r="Q10" s="26">
        <f>G28</f>
        <v>10959569022.9375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11945930235.001873</v>
      </c>
      <c r="R11" s="26"/>
    </row>
    <row r="12" spans="1:26" x14ac:dyDescent="0.25">
      <c r="A12" s="40" t="s">
        <v>8</v>
      </c>
      <c r="B12" s="35">
        <v>876</v>
      </c>
      <c r="C12" s="41" t="s">
        <v>86</v>
      </c>
      <c r="P12">
        <v>2031</v>
      </c>
      <c r="Q12" s="26">
        <f>I28</f>
        <v>12304308142.051933</v>
      </c>
      <c r="R12" s="26"/>
    </row>
    <row r="13" spans="1:26" x14ac:dyDescent="0.25">
      <c r="A13" s="40" t="s">
        <v>9</v>
      </c>
      <c r="B13" s="36">
        <v>461000000</v>
      </c>
      <c r="C13" s="41"/>
    </row>
    <row r="14" spans="1:26" x14ac:dyDescent="0.25">
      <c r="A14" s="40" t="s">
        <v>10</v>
      </c>
      <c r="B14" s="35">
        <v>43000000000</v>
      </c>
      <c r="C14" s="41"/>
      <c r="P14" s="6" t="s">
        <v>16</v>
      </c>
      <c r="Q14" s="6" t="s">
        <v>85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84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10000000000</v>
      </c>
      <c r="C15" s="41"/>
      <c r="P15" s="54">
        <v>44317</v>
      </c>
      <c r="Q15" s="55">
        <v>241.08</v>
      </c>
      <c r="R15" s="6">
        <v>4229.8900000000003</v>
      </c>
      <c r="S15" s="6">
        <v>13814.49</v>
      </c>
      <c r="T15" s="6">
        <v>34529.449999999997</v>
      </c>
      <c r="U15" s="54">
        <v>44317</v>
      </c>
      <c r="V15" s="56">
        <v>100</v>
      </c>
      <c r="W15" s="56">
        <v>100</v>
      </c>
      <c r="X15" s="56">
        <v>100</v>
      </c>
      <c r="Y15" s="56">
        <v>100</v>
      </c>
      <c r="Z15" t="s">
        <v>69</v>
      </c>
    </row>
    <row r="16" spans="1:26" x14ac:dyDescent="0.25">
      <c r="A16" s="40" t="s">
        <v>12</v>
      </c>
      <c r="B16" s="35" t="s">
        <v>96</v>
      </c>
      <c r="C16" s="41"/>
      <c r="P16" s="54">
        <v>44348</v>
      </c>
      <c r="Q16" s="6">
        <v>217.76</v>
      </c>
      <c r="R16" s="6">
        <v>4352.34</v>
      </c>
      <c r="S16" s="6">
        <v>14639.33</v>
      </c>
      <c r="T16" s="6">
        <v>34433.839999999997</v>
      </c>
      <c r="U16" s="54">
        <v>44348</v>
      </c>
      <c r="V16" s="57">
        <f>(Q16/$Q$15)*100</f>
        <v>90.326862452297988</v>
      </c>
      <c r="W16" s="57">
        <f>(R16/$R$15)*100</f>
        <v>102.89487433479356</v>
      </c>
      <c r="X16" s="57">
        <f>(S16/$S$15)*100</f>
        <v>105.97083207559599</v>
      </c>
      <c r="Y16" s="57">
        <f>(T16/$T$15)*100</f>
        <v>99.723105928417624</v>
      </c>
      <c r="Z16" t="s">
        <v>75</v>
      </c>
    </row>
    <row r="17" spans="1:25" x14ac:dyDescent="0.25">
      <c r="A17" s="42" t="s">
        <v>89</v>
      </c>
      <c r="B17" s="43"/>
      <c r="C17" s="44"/>
      <c r="P17" s="54">
        <v>44378</v>
      </c>
      <c r="Q17" s="6">
        <v>206.75</v>
      </c>
      <c r="R17" s="6">
        <v>4395.26</v>
      </c>
      <c r="S17" s="6">
        <v>14672.68</v>
      </c>
      <c r="T17" s="6">
        <v>35061.550000000003</v>
      </c>
      <c r="U17" s="54">
        <v>44378</v>
      </c>
      <c r="V17" s="57">
        <f>(Q17/$Q$15)*100</f>
        <v>85.759913721586187</v>
      </c>
      <c r="W17" s="57">
        <f>(R17/$R$15)*100</f>
        <v>103.90955793176656</v>
      </c>
      <c r="X17" s="57">
        <f>(S17/$S$15)*100</f>
        <v>106.21224525842069</v>
      </c>
      <c r="Y17" s="57">
        <f>(T17/$T$15)*100</f>
        <v>101.54100340434039</v>
      </c>
    </row>
    <row r="18" spans="1:25" x14ac:dyDescent="0.25">
      <c r="P18" s="54">
        <v>44409</v>
      </c>
      <c r="Q18" s="6">
        <v>210.37</v>
      </c>
      <c r="R18" s="6">
        <v>4509.37</v>
      </c>
      <c r="S18" s="6">
        <v>14714.66</v>
      </c>
      <c r="T18" s="6">
        <v>35120.080000000002</v>
      </c>
      <c r="U18" s="54">
        <v>44409</v>
      </c>
      <c r="V18" s="57">
        <f>(Q18/$Q$15)*100</f>
        <v>87.261489961838393</v>
      </c>
      <c r="W18" s="57">
        <f t="shared" ref="W18:W75" si="0">(R18/$R$15)*100</f>
        <v>106.60726401868605</v>
      </c>
      <c r="X18" s="57">
        <f t="shared" ref="X18:X75" si="1">(S18/$S$15)*100</f>
        <v>106.51612907895984</v>
      </c>
      <c r="Y18" s="57">
        <f t="shared" ref="Y18:Y75" si="2">(T18/$T$15)*100</f>
        <v>101.71051088273924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4">
        <v>44440</v>
      </c>
      <c r="Q19" s="6">
        <v>194.33</v>
      </c>
      <c r="R19" s="6">
        <v>4455.4799999999996</v>
      </c>
      <c r="S19" s="6">
        <v>15047.7</v>
      </c>
      <c r="T19" s="6">
        <v>34326.46</v>
      </c>
      <c r="U19" s="54">
        <v>44440</v>
      </c>
      <c r="V19" s="57">
        <f t="shared" ref="V19:V75" si="3">(Q19/$Q$15)*100</f>
        <v>80.608096897295496</v>
      </c>
      <c r="W19" s="57">
        <f t="shared" si="0"/>
        <v>105.33323561605619</v>
      </c>
      <c r="X19" s="57">
        <f t="shared" si="1"/>
        <v>108.92693107020237</v>
      </c>
      <c r="Y19" s="57">
        <f t="shared" si="2"/>
        <v>99.412125012127333</v>
      </c>
    </row>
    <row r="20" spans="1:25" x14ac:dyDescent="0.25">
      <c r="A20" t="s">
        <v>16</v>
      </c>
      <c r="C20" s="7">
        <v>46171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145005004420.06284</v>
      </c>
      <c r="P20" s="54">
        <v>44470</v>
      </c>
      <c r="Q20" s="6">
        <v>204.01</v>
      </c>
      <c r="R20" s="6">
        <v>4544.8999999999996</v>
      </c>
      <c r="S20" s="6">
        <v>15498.39</v>
      </c>
      <c r="T20" s="6">
        <v>35677.019999999997</v>
      </c>
      <c r="U20" s="54">
        <v>44470</v>
      </c>
      <c r="V20" s="57">
        <f t="shared" si="3"/>
        <v>84.623361539737843</v>
      </c>
      <c r="W20" s="57">
        <f t="shared" si="0"/>
        <v>107.44723858067229</v>
      </c>
      <c r="X20" s="57">
        <f t="shared" si="1"/>
        <v>112.1893750692208</v>
      </c>
      <c r="Y20" s="57">
        <f t="shared" si="2"/>
        <v>103.32345287862969</v>
      </c>
    </row>
    <row r="21" spans="1:25" x14ac:dyDescent="0.25">
      <c r="A21" t="s">
        <v>18</v>
      </c>
      <c r="B21" t="s">
        <v>72</v>
      </c>
      <c r="D21" s="5">
        <v>67589000000</v>
      </c>
      <c r="E21" s="5">
        <f>D21*1.05</f>
        <v>70968450000</v>
      </c>
      <c r="F21" s="5">
        <f>E21*1.05</f>
        <v>74516872500</v>
      </c>
      <c r="G21" s="5">
        <f>F21*1.11</f>
        <v>82713728475</v>
      </c>
      <c r="H21" s="5">
        <f>G21*1.09</f>
        <v>90157964037.75</v>
      </c>
      <c r="I21" s="5">
        <f>H21*1.03</f>
        <v>92862702958.882507</v>
      </c>
      <c r="L21" t="s">
        <v>19</v>
      </c>
      <c r="M21" s="13">
        <f>(I22+I25)*23</f>
        <v>598035807055.20337</v>
      </c>
      <c r="P21" s="54">
        <v>44501</v>
      </c>
      <c r="Q21" s="6">
        <v>197.8</v>
      </c>
      <c r="R21" s="6">
        <v>4594.62</v>
      </c>
      <c r="S21" s="6">
        <v>15085.47</v>
      </c>
      <c r="T21" s="6">
        <v>34889.339999999997</v>
      </c>
      <c r="U21" s="54">
        <v>44501</v>
      </c>
      <c r="V21" s="57">
        <f t="shared" si="3"/>
        <v>82.04745312759249</v>
      </c>
      <c r="W21" s="57">
        <f t="shared" si="0"/>
        <v>108.62268285936511</v>
      </c>
      <c r="X21" s="57">
        <f t="shared" si="1"/>
        <v>109.20033964337446</v>
      </c>
      <c r="Y21" s="57">
        <f t="shared" si="2"/>
        <v>101.04226971469281</v>
      </c>
    </row>
    <row r="22" spans="1:25" x14ac:dyDescent="0.25">
      <c r="A22" t="s">
        <v>87</v>
      </c>
      <c r="B22" t="s">
        <v>83</v>
      </c>
      <c r="C22" s="25">
        <v>0.25</v>
      </c>
      <c r="D22" s="5">
        <f>D21*$C$22</f>
        <v>16897250000</v>
      </c>
      <c r="E22" s="5">
        <f t="shared" ref="E22:I22" si="4">E21*$C$22</f>
        <v>17742112500</v>
      </c>
      <c r="F22" s="5">
        <f t="shared" si="4"/>
        <v>18629218125</v>
      </c>
      <c r="G22" s="5">
        <f t="shared" si="4"/>
        <v>20678432118.75</v>
      </c>
      <c r="H22" s="5">
        <f t="shared" si="4"/>
        <v>22539491009.4375</v>
      </c>
      <c r="I22" s="5">
        <f t="shared" si="4"/>
        <v>23215675739.720627</v>
      </c>
      <c r="L22" t="s">
        <v>20</v>
      </c>
      <c r="M22" s="13">
        <f>(M20+M21)/2</f>
        <v>371520405737.63312</v>
      </c>
      <c r="P22" s="54">
        <v>44531</v>
      </c>
      <c r="Q22" s="6">
        <v>206.74</v>
      </c>
      <c r="R22" s="6">
        <v>4766.18</v>
      </c>
      <c r="S22" s="6">
        <v>15653.37</v>
      </c>
      <c r="T22" s="6">
        <v>35950.559999999998</v>
      </c>
      <c r="U22" s="54">
        <v>44531</v>
      </c>
      <c r="V22" s="57">
        <f t="shared" si="3"/>
        <v>85.755765720922511</v>
      </c>
      <c r="W22" s="57">
        <f t="shared" si="0"/>
        <v>112.67858029405021</v>
      </c>
      <c r="X22" s="57">
        <f t="shared" si="1"/>
        <v>113.31124058868622</v>
      </c>
      <c r="Y22" s="57">
        <f t="shared" si="2"/>
        <v>104.11564620925036</v>
      </c>
    </row>
    <row r="23" spans="1:25" x14ac:dyDescent="0.25">
      <c r="A23" t="s">
        <v>21</v>
      </c>
      <c r="B23" t="s">
        <v>22</v>
      </c>
      <c r="C23" s="25"/>
      <c r="D23" s="5">
        <f>D22*$B$6</f>
        <v>3886367500</v>
      </c>
      <c r="E23" s="30">
        <f t="shared" ref="E23:I23" si="5">E22*$B$6</f>
        <v>4080685875</v>
      </c>
      <c r="F23" s="5">
        <f t="shared" si="5"/>
        <v>4284720168.75</v>
      </c>
      <c r="G23" s="30">
        <f t="shared" si="5"/>
        <v>4756039387.3125</v>
      </c>
      <c r="H23" s="30">
        <f t="shared" si="5"/>
        <v>5184082932.1706257</v>
      </c>
      <c r="I23" s="5">
        <f t="shared" si="5"/>
        <v>5339605420.1357441</v>
      </c>
      <c r="P23" s="54">
        <v>44562</v>
      </c>
      <c r="Q23" s="6">
        <v>201.16</v>
      </c>
      <c r="R23" s="6">
        <v>4500.53</v>
      </c>
      <c r="S23" s="6">
        <v>13770.57</v>
      </c>
      <c r="T23" s="6">
        <v>34725.47</v>
      </c>
      <c r="U23" s="54">
        <v>44562</v>
      </c>
      <c r="V23" s="57">
        <f t="shared" si="3"/>
        <v>83.441181350589005</v>
      </c>
      <c r="W23" s="57">
        <f t="shared" si="0"/>
        <v>106.39827513245024</v>
      </c>
      <c r="X23" s="57">
        <f t="shared" si="1"/>
        <v>99.682072953833256</v>
      </c>
      <c r="Y23" s="57">
        <f t="shared" si="2"/>
        <v>100.56768932027589</v>
      </c>
    </row>
    <row r="24" spans="1:25" x14ac:dyDescent="0.25">
      <c r="A24" t="s">
        <v>23</v>
      </c>
      <c r="B24" t="s">
        <v>24</v>
      </c>
      <c r="C24" s="25"/>
      <c r="D24" s="5">
        <f>D22*(1-$B$6)</f>
        <v>13010882500</v>
      </c>
      <c r="E24" s="5">
        <f t="shared" ref="E24:I24" si="6">E22*(1-$B$6)</f>
        <v>13661426625</v>
      </c>
      <c r="F24" s="5">
        <f t="shared" si="6"/>
        <v>14344497956.25</v>
      </c>
      <c r="G24" s="5">
        <f t="shared" si="6"/>
        <v>15922392731.4375</v>
      </c>
      <c r="H24" s="5">
        <f t="shared" si="6"/>
        <v>17355408077.266876</v>
      </c>
      <c r="I24" s="5">
        <f t="shared" si="6"/>
        <v>17876070319.584885</v>
      </c>
      <c r="P24" s="54">
        <v>44593</v>
      </c>
      <c r="Q24" s="6">
        <v>195.66</v>
      </c>
      <c r="R24" s="6">
        <v>4384.6499999999996</v>
      </c>
      <c r="S24" s="6">
        <v>13313.44</v>
      </c>
      <c r="T24" s="6">
        <v>34058.75</v>
      </c>
      <c r="U24" s="54">
        <v>44593</v>
      </c>
      <c r="V24" s="57">
        <f t="shared" si="3"/>
        <v>81.15978098556495</v>
      </c>
      <c r="W24" s="57">
        <f t="shared" si="0"/>
        <v>103.65872398573011</v>
      </c>
      <c r="X24" s="57">
        <f t="shared" si="1"/>
        <v>96.373011236752134</v>
      </c>
      <c r="Y24" s="57">
        <f t="shared" si="2"/>
        <v>98.636815819539564</v>
      </c>
    </row>
    <row r="25" spans="1:25" x14ac:dyDescent="0.25">
      <c r="A25" s="4" t="s">
        <v>25</v>
      </c>
      <c r="B25" s="8" t="s">
        <v>92</v>
      </c>
      <c r="C25" s="25">
        <v>0.03</v>
      </c>
      <c r="D25" s="12">
        <f>D21*$C$25</f>
        <v>2027670000</v>
      </c>
      <c r="E25" s="12">
        <f t="shared" ref="E25:I25" si="7">E21*$C$25</f>
        <v>2129053500</v>
      </c>
      <c r="F25" s="12">
        <f t="shared" si="7"/>
        <v>2235506175</v>
      </c>
      <c r="G25" s="12">
        <f t="shared" si="7"/>
        <v>2481411854.25</v>
      </c>
      <c r="H25" s="12">
        <f t="shared" si="7"/>
        <v>2704738921.1324997</v>
      </c>
      <c r="I25" s="12">
        <f t="shared" si="7"/>
        <v>2785881088.7664752</v>
      </c>
      <c r="P25" s="54">
        <v>44621</v>
      </c>
      <c r="Q25" s="6">
        <v>219.77</v>
      </c>
      <c r="R25" s="6">
        <v>4543.0600000000004</v>
      </c>
      <c r="S25" s="6">
        <v>14169.3</v>
      </c>
      <c r="T25" s="6">
        <v>34861.24</v>
      </c>
      <c r="U25" s="54">
        <v>44621</v>
      </c>
      <c r="V25" s="57">
        <f t="shared" si="3"/>
        <v>91.160610585697682</v>
      </c>
      <c r="W25" s="57">
        <f t="shared" si="0"/>
        <v>107.40373863150106</v>
      </c>
      <c r="X25" s="57">
        <f t="shared" si="1"/>
        <v>102.56839014686751</v>
      </c>
      <c r="Y25" s="57">
        <f t="shared" si="2"/>
        <v>100.9608899070214</v>
      </c>
    </row>
    <row r="26" spans="1:25" x14ac:dyDescent="0.25">
      <c r="A26" t="s">
        <v>26</v>
      </c>
      <c r="B26" t="s">
        <v>94</v>
      </c>
      <c r="C26" s="25">
        <v>7.0000000000000007E-2</v>
      </c>
      <c r="D26" s="10">
        <f>D21*$C$26</f>
        <v>4731230000</v>
      </c>
      <c r="E26" s="10">
        <f t="shared" ref="E26:I26" si="8">E21*$C$26</f>
        <v>4967791500</v>
      </c>
      <c r="F26" s="10">
        <f t="shared" si="8"/>
        <v>5216181075.000001</v>
      </c>
      <c r="G26" s="10">
        <f t="shared" si="8"/>
        <v>5789960993.250001</v>
      </c>
      <c r="H26" s="10">
        <f t="shared" si="8"/>
        <v>6311057482.6425009</v>
      </c>
      <c r="I26" s="10">
        <f t="shared" si="8"/>
        <v>6500389207.1217766</v>
      </c>
      <c r="P26" s="54">
        <v>44652</v>
      </c>
      <c r="Q26" s="6">
        <v>210.54</v>
      </c>
      <c r="R26" s="6">
        <v>4271.78</v>
      </c>
      <c r="S26" s="6">
        <v>12839.29</v>
      </c>
      <c r="T26" s="6">
        <v>33811.4</v>
      </c>
      <c r="U26" s="54">
        <v>44652</v>
      </c>
      <c r="V26" s="57">
        <f t="shared" si="3"/>
        <v>87.332005973120957</v>
      </c>
      <c r="W26" s="57">
        <f t="shared" si="0"/>
        <v>100.99033308194774</v>
      </c>
      <c r="X26" s="57">
        <f t="shared" si="1"/>
        <v>92.940745550505312</v>
      </c>
      <c r="Y26" s="57">
        <f t="shared" si="2"/>
        <v>97.92047078653151</v>
      </c>
    </row>
    <row r="27" spans="1:25" x14ac:dyDescent="0.25">
      <c r="A27" t="s">
        <v>27</v>
      </c>
      <c r="B27" t="s">
        <v>95</v>
      </c>
      <c r="C27" s="25">
        <v>0.02</v>
      </c>
      <c r="D27" s="10">
        <f>D21*$C$27</f>
        <v>1351780000</v>
      </c>
      <c r="E27" s="10">
        <f t="shared" ref="E27:I27" si="9">E21*$C$27</f>
        <v>1419369000</v>
      </c>
      <c r="F27" s="10">
        <f t="shared" si="9"/>
        <v>1490337450</v>
      </c>
      <c r="G27" s="10">
        <f t="shared" si="9"/>
        <v>1654274569.5</v>
      </c>
      <c r="H27" s="10">
        <f t="shared" si="9"/>
        <v>1803159280.7550001</v>
      </c>
      <c r="I27" s="10">
        <f t="shared" si="9"/>
        <v>1857254059.1776502</v>
      </c>
      <c r="P27" s="54">
        <v>44682</v>
      </c>
      <c r="Q27" s="57">
        <v>222.9</v>
      </c>
      <c r="R27" s="6">
        <v>4158.24</v>
      </c>
      <c r="S27" s="6">
        <v>11354.62</v>
      </c>
      <c r="T27" s="6">
        <v>33212.959999999999</v>
      </c>
      <c r="U27" s="54">
        <v>44682</v>
      </c>
      <c r="V27" s="57">
        <f t="shared" si="3"/>
        <v>92.458934793429563</v>
      </c>
      <c r="W27" s="57">
        <f t="shared" si="0"/>
        <v>98.306102522760625</v>
      </c>
      <c r="X27" s="57">
        <f t="shared" si="1"/>
        <v>82.193551843028601</v>
      </c>
      <c r="Y27" s="57">
        <f t="shared" si="2"/>
        <v>96.187341530201024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8955542500</v>
      </c>
      <c r="E28" s="12">
        <f t="shared" ref="E28:I28" si="10">E24+E25-E26-E27</f>
        <v>9403319625</v>
      </c>
      <c r="F28" s="12">
        <f t="shared" si="10"/>
        <v>9873485606.25</v>
      </c>
      <c r="G28" s="12">
        <f t="shared" si="10"/>
        <v>10959569022.9375</v>
      </c>
      <c r="H28" s="12">
        <f t="shared" si="10"/>
        <v>11945930235.001873</v>
      </c>
      <c r="I28" s="12">
        <f t="shared" si="10"/>
        <v>12304308142.051933</v>
      </c>
      <c r="P28" s="54">
        <v>44713</v>
      </c>
      <c r="Q28" s="6">
        <v>178.29</v>
      </c>
      <c r="R28" s="6">
        <v>3911.74</v>
      </c>
      <c r="S28" s="6">
        <v>11127.85</v>
      </c>
      <c r="T28" s="6">
        <v>31097.26</v>
      </c>
      <c r="U28" s="54">
        <v>44713</v>
      </c>
      <c r="V28" s="57">
        <f t="shared" si="3"/>
        <v>73.954703832752614</v>
      </c>
      <c r="W28" s="57">
        <f t="shared" si="0"/>
        <v>92.478527810415855</v>
      </c>
      <c r="X28" s="57">
        <f t="shared" si="1"/>
        <v>80.552014587581596</v>
      </c>
      <c r="Y28" s="57">
        <f t="shared" si="2"/>
        <v>90.060108110612831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4">
        <v>44743</v>
      </c>
      <c r="Q29" s="6">
        <v>198.25</v>
      </c>
      <c r="R29" s="6">
        <v>4130.29</v>
      </c>
      <c r="S29" s="6">
        <v>12390.69</v>
      </c>
      <c r="T29" s="6">
        <v>32845.129999999997</v>
      </c>
      <c r="U29" s="54">
        <v>44743</v>
      </c>
      <c r="V29" s="57">
        <f t="shared" si="3"/>
        <v>82.234113157458097</v>
      </c>
      <c r="W29" s="57">
        <f t="shared" si="0"/>
        <v>97.645328838338571</v>
      </c>
      <c r="X29" s="57">
        <f t="shared" si="1"/>
        <v>89.693430593528973</v>
      </c>
      <c r="Y29" s="57">
        <f t="shared" si="2"/>
        <v>95.122076951703548</v>
      </c>
    </row>
    <row r="30" spans="1:25" x14ac:dyDescent="0.25">
      <c r="A30" t="s">
        <v>36</v>
      </c>
      <c r="C30" s="13">
        <f>-G39</f>
        <v>-436836000000</v>
      </c>
      <c r="D30" s="5">
        <f>D28</f>
        <v>8955542500</v>
      </c>
      <c r="E30" s="5">
        <f t="shared" ref="E30:I30" si="11">E28</f>
        <v>9403319625</v>
      </c>
      <c r="F30" s="5">
        <f t="shared" si="11"/>
        <v>9873485606.25</v>
      </c>
      <c r="G30" s="5">
        <f t="shared" si="11"/>
        <v>10959569022.9375</v>
      </c>
      <c r="H30" s="5">
        <f t="shared" si="11"/>
        <v>11945930235.001873</v>
      </c>
      <c r="I30" s="5">
        <f t="shared" si="11"/>
        <v>12304308142.051933</v>
      </c>
      <c r="J30" s="13">
        <f>I28+M22</f>
        <v>383824713879.68506</v>
      </c>
      <c r="K30" t="s">
        <v>38</v>
      </c>
      <c r="P30" s="54">
        <v>44774</v>
      </c>
      <c r="Q30" s="6">
        <v>191.92</v>
      </c>
      <c r="R30" s="6">
        <v>3924.26</v>
      </c>
      <c r="S30" s="6">
        <v>12141.71</v>
      </c>
      <c r="T30" s="6">
        <v>31318.44</v>
      </c>
      <c r="U30" s="54">
        <v>44774</v>
      </c>
      <c r="V30" s="57">
        <f t="shared" si="3"/>
        <v>79.608428737348589</v>
      </c>
      <c r="W30" s="57">
        <f t="shared" si="0"/>
        <v>92.774516594994196</v>
      </c>
      <c r="X30" s="57">
        <f t="shared" si="1"/>
        <v>87.891120120974421</v>
      </c>
      <c r="Y30" s="57">
        <f t="shared" si="2"/>
        <v>90.700662767579558</v>
      </c>
    </row>
    <row r="31" spans="1:25" x14ac:dyDescent="0.25">
      <c r="A31" t="s">
        <v>37</v>
      </c>
      <c r="D31" s="6">
        <f>1/(1+$B$7)^D29</f>
        <v>0.94600986769119222</v>
      </c>
      <c r="E31" s="6">
        <f t="shared" ref="E31:I31" si="12">1/(1+$B$7)^E29</f>
        <v>0.84661702854053367</v>
      </c>
      <c r="F31" s="6">
        <f t="shared" si="12"/>
        <v>0.75766693085782499</v>
      </c>
      <c r="G31" s="6">
        <f t="shared" si="12"/>
        <v>0.67806240456222033</v>
      </c>
      <c r="H31" s="6">
        <f t="shared" si="12"/>
        <v>0.60682155410973715</v>
      </c>
      <c r="I31" s="6">
        <f t="shared" si="12"/>
        <v>0.5740591781155161</v>
      </c>
      <c r="J31" t="s">
        <v>39</v>
      </c>
      <c r="P31" s="54">
        <v>44805</v>
      </c>
      <c r="Q31" s="6">
        <v>164.08</v>
      </c>
      <c r="R31" s="6">
        <v>3585.62</v>
      </c>
      <c r="S31" s="6">
        <v>10867.93</v>
      </c>
      <c r="T31" s="6">
        <v>30822.42</v>
      </c>
      <c r="U31" s="54">
        <v>44805</v>
      </c>
      <c r="V31" s="57">
        <f t="shared" si="3"/>
        <v>68.060394889663186</v>
      </c>
      <c r="W31" s="57">
        <f t="shared" si="0"/>
        <v>84.768634645345372</v>
      </c>
      <c r="X31" s="57">
        <f t="shared" si="1"/>
        <v>78.670511904529235</v>
      </c>
      <c r="Y31" s="57">
        <f t="shared" si="2"/>
        <v>89.264149877857889</v>
      </c>
    </row>
    <row r="32" spans="1:25" x14ac:dyDescent="0.25">
      <c r="A32" t="s">
        <v>40</v>
      </c>
      <c r="C32" s="13">
        <f>-G39</f>
        <v>-436836000000</v>
      </c>
      <c r="D32" s="5">
        <f>D30*D31</f>
        <v>8472031575.5278492</v>
      </c>
      <c r="E32" s="5">
        <f t="shared" ref="E32:I32" si="13">E30*E31</f>
        <v>7961010519.3343849</v>
      </c>
      <c r="F32" s="5">
        <f t="shared" si="13"/>
        <v>7480813536.1563492</v>
      </c>
      <c r="G32" s="5">
        <f t="shared" si="13"/>
        <v>7431271724.6586246</v>
      </c>
      <c r="H32" s="5">
        <f t="shared" si="13"/>
        <v>7249047950.4903345</v>
      </c>
      <c r="I32" s="5">
        <f t="shared" si="13"/>
        <v>7063401019.306386</v>
      </c>
      <c r="J32" s="14">
        <f>M22</f>
        <v>371520405737.63312</v>
      </c>
      <c r="P32" s="54">
        <v>44835</v>
      </c>
      <c r="Q32" s="6">
        <v>219.34</v>
      </c>
      <c r="R32" s="6">
        <v>3901.06</v>
      </c>
      <c r="S32" s="6">
        <v>11102.45</v>
      </c>
      <c r="T32" s="6">
        <v>32861.800000000003</v>
      </c>
      <c r="U32" s="54">
        <v>44835</v>
      </c>
      <c r="V32" s="57">
        <f t="shared" si="3"/>
        <v>90.982246557159442</v>
      </c>
      <c r="W32" s="57">
        <f t="shared" si="0"/>
        <v>92.226038975008791</v>
      </c>
      <c r="X32" s="57">
        <f t="shared" si="1"/>
        <v>80.368149674725601</v>
      </c>
      <c r="Y32" s="57">
        <f t="shared" si="2"/>
        <v>95.170354581379101</v>
      </c>
    </row>
    <row r="33" spans="1:25" x14ac:dyDescent="0.25">
      <c r="A33" t="s">
        <v>56</v>
      </c>
      <c r="C33" s="29">
        <v>-436836</v>
      </c>
      <c r="D33" s="24">
        <v>8472</v>
      </c>
      <c r="E33" s="24">
        <v>7961</v>
      </c>
      <c r="F33" s="24">
        <v>7481</v>
      </c>
      <c r="G33" s="24">
        <v>7431</v>
      </c>
      <c r="H33" s="24">
        <v>7249</v>
      </c>
      <c r="I33" s="24">
        <v>7063</v>
      </c>
      <c r="J33" s="24">
        <v>371520</v>
      </c>
      <c r="P33" s="54">
        <v>44866</v>
      </c>
      <c r="Q33" s="6">
        <v>236.13</v>
      </c>
      <c r="R33" s="6">
        <v>4026.12</v>
      </c>
      <c r="S33" s="6">
        <v>11226.36</v>
      </c>
      <c r="T33" s="6">
        <v>34429.879999999997</v>
      </c>
      <c r="U33" s="54">
        <v>44866</v>
      </c>
      <c r="V33" s="57">
        <f t="shared" si="3"/>
        <v>97.94673967147834</v>
      </c>
      <c r="W33" s="57">
        <f t="shared" si="0"/>
        <v>95.182617042050737</v>
      </c>
      <c r="X33" s="57">
        <f t="shared" si="1"/>
        <v>81.2651064208668</v>
      </c>
      <c r="Y33" s="57">
        <f t="shared" si="2"/>
        <v>99.711637457300938</v>
      </c>
    </row>
    <row r="34" spans="1:25" x14ac:dyDescent="0.25">
      <c r="P34" s="54">
        <v>44896</v>
      </c>
      <c r="Q34" s="6">
        <v>239.56</v>
      </c>
      <c r="R34" s="6">
        <v>3839.5</v>
      </c>
      <c r="S34" s="6">
        <v>10466.48</v>
      </c>
      <c r="T34" s="6">
        <v>33203.93</v>
      </c>
      <c r="U34" s="54">
        <v>44896</v>
      </c>
      <c r="V34" s="57">
        <f t="shared" si="3"/>
        <v>99.369503899120616</v>
      </c>
      <c r="W34" s="57">
        <f t="shared" si="0"/>
        <v>90.770681979909639</v>
      </c>
      <c r="X34" s="57">
        <f t="shared" si="1"/>
        <v>75.764505240511951</v>
      </c>
      <c r="Y34" s="57">
        <f t="shared" si="2"/>
        <v>96.161189940760721</v>
      </c>
    </row>
    <row r="35" spans="1:25" x14ac:dyDescent="0.25">
      <c r="A35" s="3" t="s">
        <v>41</v>
      </c>
      <c r="F35" s="3" t="s">
        <v>31</v>
      </c>
      <c r="P35" s="54">
        <v>44927</v>
      </c>
      <c r="Q35" s="6">
        <v>264.54000000000002</v>
      </c>
      <c r="R35" s="6">
        <v>4070.56</v>
      </c>
      <c r="S35" s="6">
        <v>11140.43</v>
      </c>
      <c r="T35" s="6">
        <v>33375.49</v>
      </c>
      <c r="U35" s="54">
        <v>44927</v>
      </c>
      <c r="V35" s="57">
        <f t="shared" si="3"/>
        <v>109.73120955699353</v>
      </c>
      <c r="W35" s="57">
        <f t="shared" si="0"/>
        <v>96.233235379643432</v>
      </c>
      <c r="X35" s="57">
        <f t="shared" si="1"/>
        <v>80.643078390877989</v>
      </c>
      <c r="Y35" s="57">
        <f t="shared" si="2"/>
        <v>96.658041179341112</v>
      </c>
    </row>
    <row r="36" spans="1:25" x14ac:dyDescent="0.25">
      <c r="A36" s="13" t="s">
        <v>42</v>
      </c>
      <c r="B36" s="17">
        <f>SUM(D32:I32)</f>
        <v>45657576325.47393</v>
      </c>
      <c r="C36" t="s">
        <v>45</v>
      </c>
      <c r="F36" t="s">
        <v>33</v>
      </c>
      <c r="G36" s="15">
        <f>B13*B12</f>
        <v>403836000000</v>
      </c>
      <c r="H36" t="s">
        <v>34</v>
      </c>
      <c r="L36" s="3" t="s">
        <v>51</v>
      </c>
      <c r="P36" s="54">
        <v>44958</v>
      </c>
      <c r="Q36" s="6">
        <v>255.31</v>
      </c>
      <c r="R36" s="6">
        <v>4045.64</v>
      </c>
      <c r="S36" s="6">
        <v>11689.01</v>
      </c>
      <c r="T36" s="6">
        <v>32816.92</v>
      </c>
      <c r="U36" s="54">
        <v>44958</v>
      </c>
      <c r="V36" s="57">
        <f t="shared" si="3"/>
        <v>105.90260494441679</v>
      </c>
      <c r="W36" s="57">
        <f t="shared" si="0"/>
        <v>95.644094763693616</v>
      </c>
      <c r="X36" s="57">
        <f t="shared" si="1"/>
        <v>84.614126182001655</v>
      </c>
      <c r="Y36" s="57">
        <f t="shared" si="2"/>
        <v>95.040378575389994</v>
      </c>
    </row>
    <row r="37" spans="1:25" x14ac:dyDescent="0.25">
      <c r="A37" t="s">
        <v>11</v>
      </c>
      <c r="B37" s="19">
        <f>B15</f>
        <v>10000000000</v>
      </c>
      <c r="F37" t="s">
        <v>10</v>
      </c>
      <c r="G37" s="14">
        <f>B14</f>
        <v>43000000000</v>
      </c>
      <c r="L37" t="s">
        <v>52</v>
      </c>
      <c r="M37" s="21">
        <f>(B40/B12)-1</f>
        <v>-0.52433911035283254</v>
      </c>
      <c r="P37" s="54">
        <v>44986</v>
      </c>
      <c r="Q37" s="6">
        <v>228.84</v>
      </c>
      <c r="R37" s="6">
        <v>3970.99</v>
      </c>
      <c r="S37" s="6">
        <v>11823.96</v>
      </c>
      <c r="T37" s="6">
        <v>33274.15</v>
      </c>
      <c r="U37" s="54">
        <v>44986</v>
      </c>
      <c r="V37" s="57">
        <f t="shared" si="3"/>
        <v>94.922847187655549</v>
      </c>
      <c r="W37" s="57">
        <f t="shared" si="0"/>
        <v>93.879273456283713</v>
      </c>
      <c r="X37" s="57">
        <f t="shared" si="1"/>
        <v>85.590999016250322</v>
      </c>
      <c r="Y37" s="57">
        <f t="shared" si="2"/>
        <v>96.364552577582344</v>
      </c>
    </row>
    <row r="38" spans="1:25" x14ac:dyDescent="0.25">
      <c r="A38" t="s">
        <v>10</v>
      </c>
      <c r="B38" s="19">
        <f>B14</f>
        <v>43000000000</v>
      </c>
      <c r="C38" s="3"/>
      <c r="F38" t="s">
        <v>11</v>
      </c>
      <c r="G38" s="14">
        <f>B15</f>
        <v>10000000000</v>
      </c>
      <c r="L38" t="s">
        <v>53</v>
      </c>
      <c r="M38" s="23">
        <f>IRR(C33:J33)</f>
        <v>-6.9406706623565961E-3</v>
      </c>
      <c r="N38" t="s">
        <v>57</v>
      </c>
      <c r="P38" s="54">
        <v>45017</v>
      </c>
      <c r="Q38" s="6">
        <v>218.8</v>
      </c>
      <c r="R38" s="6">
        <v>4133.5200000000004</v>
      </c>
      <c r="S38" s="6">
        <v>12072.46</v>
      </c>
      <c r="T38" s="6">
        <v>33808.959999999999</v>
      </c>
      <c r="U38" s="54">
        <v>45017</v>
      </c>
      <c r="V38" s="57">
        <f t="shared" si="3"/>
        <v>90.758254521320723</v>
      </c>
      <c r="W38" s="57">
        <f t="shared" si="0"/>
        <v>97.721690162155511</v>
      </c>
      <c r="X38" s="57">
        <f t="shared" si="1"/>
        <v>87.389834876278456</v>
      </c>
      <c r="Y38" s="57">
        <f t="shared" si="2"/>
        <v>97.913404354833347</v>
      </c>
    </row>
    <row r="39" spans="1:25" x14ac:dyDescent="0.25">
      <c r="A39" t="s">
        <v>44</v>
      </c>
      <c r="B39" s="17">
        <f>(((B36+B37)-B38)+(M22))/2</f>
        <v>192088991031.55353</v>
      </c>
      <c r="C39" t="s">
        <v>81</v>
      </c>
      <c r="F39" t="s">
        <v>30</v>
      </c>
      <c r="G39" s="13">
        <f>G36+G37-G38</f>
        <v>436836000000</v>
      </c>
      <c r="H39" t="s">
        <v>32</v>
      </c>
      <c r="P39" s="54">
        <v>45047</v>
      </c>
      <c r="Q39" s="6">
        <v>226.63</v>
      </c>
      <c r="R39" s="6">
        <v>4282.37</v>
      </c>
      <c r="S39" s="6">
        <v>13240.77</v>
      </c>
      <c r="T39" s="6">
        <v>33093.339999999997</v>
      </c>
      <c r="U39" s="54">
        <v>45047</v>
      </c>
      <c r="V39" s="57">
        <f t="shared" si="3"/>
        <v>94.006139040982234</v>
      </c>
      <c r="W39" s="57">
        <f t="shared" si="0"/>
        <v>101.2406942024497</v>
      </c>
      <c r="X39" s="57">
        <f t="shared" si="1"/>
        <v>95.846969377805479</v>
      </c>
      <c r="Y39" s="57">
        <f t="shared" si="2"/>
        <v>95.840912612277336</v>
      </c>
    </row>
    <row r="40" spans="1:25" x14ac:dyDescent="0.25">
      <c r="A40" t="s">
        <v>73</v>
      </c>
      <c r="B40" s="20">
        <f>B39/B13</f>
        <v>416.67893933091869</v>
      </c>
      <c r="C40" t="s">
        <v>82</v>
      </c>
      <c r="F40" t="s">
        <v>48</v>
      </c>
      <c r="G40" s="16">
        <f>G39/B13</f>
        <v>947.58351409978309</v>
      </c>
      <c r="H40" t="s">
        <v>49</v>
      </c>
      <c r="L40" s="45" t="s">
        <v>101</v>
      </c>
      <c r="M40" s="46"/>
      <c r="P40" s="54">
        <v>45078</v>
      </c>
      <c r="Q40" s="6">
        <v>246.05</v>
      </c>
      <c r="R40" s="6">
        <v>4450.38</v>
      </c>
      <c r="S40" s="6">
        <v>13492.52</v>
      </c>
      <c r="T40" s="6">
        <v>33727.43</v>
      </c>
      <c r="U40" s="54">
        <v>45078</v>
      </c>
      <c r="V40" s="57">
        <f t="shared" si="3"/>
        <v>102.06155632984901</v>
      </c>
      <c r="W40" s="57">
        <f t="shared" si="0"/>
        <v>105.21266510476633</v>
      </c>
      <c r="X40" s="57">
        <f t="shared" si="1"/>
        <v>97.669331260147857</v>
      </c>
      <c r="Y40" s="57">
        <f t="shared" si="2"/>
        <v>97.677287069443636</v>
      </c>
    </row>
    <row r="41" spans="1:25" x14ac:dyDescent="0.25">
      <c r="A41" t="s">
        <v>46</v>
      </c>
      <c r="B41" s="22">
        <f>(B40/B12)-1</f>
        <v>-0.52433911035283254</v>
      </c>
      <c r="C41" t="s">
        <v>47</v>
      </c>
      <c r="F41" t="s">
        <v>46</v>
      </c>
      <c r="G41" s="21">
        <f>(G40/B12)-1</f>
        <v>8.1716340296555945E-2</v>
      </c>
      <c r="H41" t="s">
        <v>50</v>
      </c>
      <c r="L41" s="47" t="s">
        <v>41</v>
      </c>
      <c r="M41" s="48">
        <f>B40</f>
        <v>416.67893933091869</v>
      </c>
      <c r="P41" s="54">
        <v>45108</v>
      </c>
      <c r="Q41" s="6">
        <v>260.43</v>
      </c>
      <c r="R41" s="6">
        <v>4582.2299999999996</v>
      </c>
      <c r="S41" s="6">
        <v>14032.81</v>
      </c>
      <c r="T41" s="6">
        <v>35065.620000000003</v>
      </c>
      <c r="U41" s="54">
        <v>45108</v>
      </c>
      <c r="V41" s="57">
        <f t="shared" si="3"/>
        <v>108.026381284221</v>
      </c>
      <c r="W41" s="57">
        <f t="shared" si="0"/>
        <v>108.32976744076086</v>
      </c>
      <c r="X41" s="57">
        <f t="shared" si="1"/>
        <v>101.58036959742995</v>
      </c>
      <c r="Y41" s="57">
        <f t="shared" si="2"/>
        <v>101.5527904440992</v>
      </c>
    </row>
    <row r="42" spans="1:25" x14ac:dyDescent="0.25">
      <c r="L42" s="47" t="s">
        <v>8</v>
      </c>
      <c r="M42" s="48">
        <f>B12</f>
        <v>876</v>
      </c>
      <c r="P42" s="54">
        <v>45139</v>
      </c>
      <c r="Q42" s="6">
        <v>286.25</v>
      </c>
      <c r="R42" s="6">
        <v>4515.7700000000004</v>
      </c>
      <c r="S42" s="6">
        <v>13590.65</v>
      </c>
      <c r="T42" s="6">
        <v>34837.71</v>
      </c>
      <c r="U42" s="54">
        <v>45139</v>
      </c>
      <c r="V42" s="57">
        <f t="shared" si="3"/>
        <v>118.73651899784304</v>
      </c>
      <c r="W42" s="57">
        <f t="shared" si="0"/>
        <v>106.75856818971651</v>
      </c>
      <c r="X42" s="57">
        <f t="shared" si="1"/>
        <v>98.379672358516316</v>
      </c>
      <c r="Y42" s="57">
        <f t="shared" si="2"/>
        <v>100.89274517839119</v>
      </c>
    </row>
    <row r="43" spans="1:25" x14ac:dyDescent="0.25">
      <c r="L43" s="47" t="s">
        <v>102</v>
      </c>
      <c r="M43" s="48">
        <f>(B40-B12)</f>
        <v>-459.32106066908131</v>
      </c>
      <c r="P43" s="54">
        <v>45170</v>
      </c>
      <c r="Q43" s="6">
        <v>273</v>
      </c>
      <c r="R43" s="6">
        <v>4320.0600000000004</v>
      </c>
      <c r="S43" s="6">
        <v>13211.81</v>
      </c>
      <c r="T43" s="6">
        <v>33507.5</v>
      </c>
      <c r="U43" s="54">
        <v>45170</v>
      </c>
      <c r="V43" s="57">
        <f t="shared" si="3"/>
        <v>113.24041811846691</v>
      </c>
      <c r="W43" s="57">
        <f t="shared" si="0"/>
        <v>102.13173392215873</v>
      </c>
      <c r="X43" s="57">
        <f t="shared" si="1"/>
        <v>95.637334422045257</v>
      </c>
      <c r="Y43" s="57">
        <f t="shared" si="2"/>
        <v>97.040352510682908</v>
      </c>
    </row>
    <row r="44" spans="1:25" x14ac:dyDescent="0.25">
      <c r="L44" s="47" t="s">
        <v>103</v>
      </c>
      <c r="M44" s="52">
        <f>((B40-B12)/(B12))</f>
        <v>-0.52433911035283254</v>
      </c>
      <c r="P44" s="54">
        <v>45200</v>
      </c>
      <c r="Q44" s="6">
        <v>238.56</v>
      </c>
      <c r="R44" s="6">
        <v>4117.37</v>
      </c>
      <c r="S44" s="6">
        <v>12643.01</v>
      </c>
      <c r="T44" s="6">
        <v>34061.32</v>
      </c>
      <c r="U44" s="54">
        <v>45200</v>
      </c>
      <c r="V44" s="57">
        <f t="shared" si="3"/>
        <v>98.954703832752614</v>
      </c>
      <c r="W44" s="57">
        <f t="shared" si="0"/>
        <v>97.339883543070854</v>
      </c>
      <c r="X44" s="57">
        <f t="shared" si="1"/>
        <v>91.519918578246461</v>
      </c>
      <c r="Y44" s="57">
        <f t="shared" si="2"/>
        <v>98.644258741451139</v>
      </c>
    </row>
    <row r="45" spans="1:25" x14ac:dyDescent="0.25">
      <c r="L45" s="50"/>
      <c r="M45" s="49"/>
      <c r="P45" s="54">
        <v>45231</v>
      </c>
      <c r="Q45" s="6">
        <v>256.76</v>
      </c>
      <c r="R45" s="6">
        <v>4559.34</v>
      </c>
      <c r="S45" s="6">
        <v>14250.85</v>
      </c>
      <c r="T45" s="6">
        <v>36245.5</v>
      </c>
      <c r="U45" s="54">
        <v>45231</v>
      </c>
      <c r="V45" s="57">
        <f t="shared" si="3"/>
        <v>106.5040650406504</v>
      </c>
      <c r="W45" s="57">
        <f t="shared" si="0"/>
        <v>107.78861861655977</v>
      </c>
      <c r="X45" s="57">
        <f t="shared" si="1"/>
        <v>103.15871233755283</v>
      </c>
      <c r="Y45" s="57">
        <f t="shared" si="2"/>
        <v>104.96981562115818</v>
      </c>
    </row>
    <row r="46" spans="1:25" x14ac:dyDescent="0.25">
      <c r="L46" s="50" t="s">
        <v>54</v>
      </c>
      <c r="M46" s="48"/>
      <c r="P46" s="54">
        <v>45261</v>
      </c>
      <c r="Q46" s="6">
        <v>295.67</v>
      </c>
      <c r="R46" s="6">
        <v>4769.83</v>
      </c>
      <c r="S46" s="6">
        <v>14992.97</v>
      </c>
      <c r="T46" s="6">
        <v>37689.54</v>
      </c>
      <c r="U46" s="54">
        <v>45261</v>
      </c>
      <c r="V46" s="57">
        <f t="shared" si="3"/>
        <v>122.64393562302971</v>
      </c>
      <c r="W46" s="57">
        <f t="shared" si="0"/>
        <v>112.76487095409099</v>
      </c>
      <c r="X46" s="57">
        <f t="shared" si="1"/>
        <v>108.53075285443039</v>
      </c>
      <c r="Y46" s="57">
        <f t="shared" si="2"/>
        <v>109.15186891189985</v>
      </c>
    </row>
    <row r="47" spans="1:25" x14ac:dyDescent="0.25">
      <c r="L47" s="47" t="s">
        <v>41</v>
      </c>
      <c r="M47" s="48">
        <f>B40</f>
        <v>416.67893933091869</v>
      </c>
      <c r="P47" s="54">
        <v>45292</v>
      </c>
      <c r="Q47" s="6">
        <v>315.08999999999997</v>
      </c>
      <c r="R47" s="6">
        <v>4958.6099999999997</v>
      </c>
      <c r="S47" s="6">
        <v>15628.95</v>
      </c>
      <c r="T47" s="6">
        <v>38109.43</v>
      </c>
      <c r="U47" s="54">
        <v>45292</v>
      </c>
      <c r="V47" s="57">
        <f t="shared" si="3"/>
        <v>130.69935291189645</v>
      </c>
      <c r="W47" s="57">
        <f t="shared" si="0"/>
        <v>117.22787117395485</v>
      </c>
      <c r="X47" s="57">
        <f t="shared" si="1"/>
        <v>113.13446967640499</v>
      </c>
      <c r="Y47" s="57">
        <f t="shared" si="2"/>
        <v>110.36790334048183</v>
      </c>
    </row>
    <row r="48" spans="1:25" x14ac:dyDescent="0.25">
      <c r="L48" s="47" t="s">
        <v>31</v>
      </c>
      <c r="M48" s="48">
        <f>G40</f>
        <v>947.58351409978309</v>
      </c>
      <c r="P48" s="54">
        <v>45323</v>
      </c>
      <c r="Q48" s="6">
        <v>336.7</v>
      </c>
      <c r="R48" s="6">
        <v>5137.08</v>
      </c>
      <c r="S48" s="6">
        <v>16274.94</v>
      </c>
      <c r="T48" s="6">
        <v>39087.379999999997</v>
      </c>
      <c r="U48" s="54">
        <v>45323</v>
      </c>
      <c r="V48" s="57">
        <f t="shared" si="3"/>
        <v>139.66318234610918</v>
      </c>
      <c r="W48" s="57">
        <f t="shared" si="0"/>
        <v>121.44712983079937</v>
      </c>
      <c r="X48" s="57">
        <f t="shared" si="1"/>
        <v>117.8106466471075</v>
      </c>
      <c r="Y48" s="57">
        <f t="shared" si="2"/>
        <v>113.20012337294688</v>
      </c>
    </row>
    <row r="49" spans="12:25" x14ac:dyDescent="0.25">
      <c r="L49" s="47" t="s">
        <v>102</v>
      </c>
      <c r="M49" s="48">
        <f>-(G40-B40)</f>
        <v>-530.90457476886445</v>
      </c>
      <c r="P49" s="54">
        <v>45352</v>
      </c>
      <c r="Q49" s="6">
        <v>366.43</v>
      </c>
      <c r="R49" s="6">
        <v>5234.18</v>
      </c>
      <c r="S49" s="6">
        <v>16428.82</v>
      </c>
      <c r="T49" s="6">
        <v>39807.370000000003</v>
      </c>
      <c r="U49" s="54">
        <v>45352</v>
      </c>
      <c r="V49" s="57">
        <f t="shared" si="3"/>
        <v>151.99518831923012</v>
      </c>
      <c r="W49" s="57">
        <f t="shared" si="0"/>
        <v>123.74269780065201</v>
      </c>
      <c r="X49" s="57">
        <f t="shared" si="1"/>
        <v>118.92454951286658</v>
      </c>
      <c r="Y49" s="57">
        <f t="shared" si="2"/>
        <v>115.28527097883112</v>
      </c>
    </row>
    <row r="50" spans="12:25" x14ac:dyDescent="0.25">
      <c r="L50" s="51" t="s">
        <v>103</v>
      </c>
      <c r="M50" s="53">
        <f>((B40-G40)/(G40))</f>
        <v>-0.56027206770606475</v>
      </c>
      <c r="P50" s="54">
        <v>45383</v>
      </c>
      <c r="Q50" s="6">
        <v>336.75</v>
      </c>
      <c r="R50" s="6">
        <v>4967.2299999999996</v>
      </c>
      <c r="S50" s="6">
        <v>15282.01</v>
      </c>
      <c r="T50" s="6">
        <v>37986.400000000001</v>
      </c>
      <c r="U50" s="54">
        <v>45383</v>
      </c>
      <c r="V50" s="57">
        <f t="shared" si="3"/>
        <v>139.68392234942758</v>
      </c>
      <c r="W50" s="57">
        <f t="shared" si="0"/>
        <v>117.43165897931149</v>
      </c>
      <c r="X50" s="57">
        <f t="shared" si="1"/>
        <v>110.62304869741844</v>
      </c>
      <c r="Y50" s="57">
        <f t="shared" si="2"/>
        <v>110.01159879465212</v>
      </c>
    </row>
    <row r="51" spans="12:25" x14ac:dyDescent="0.25">
      <c r="P51" s="54">
        <v>45413</v>
      </c>
      <c r="Q51" s="6">
        <v>338.52</v>
      </c>
      <c r="R51" s="6">
        <v>5277.51</v>
      </c>
      <c r="S51" s="6">
        <v>16735.02</v>
      </c>
      <c r="T51" s="6">
        <v>38686.32</v>
      </c>
      <c r="U51" s="54">
        <v>45413</v>
      </c>
      <c r="V51" s="57">
        <f t="shared" si="3"/>
        <v>140.41811846689893</v>
      </c>
      <c r="W51" s="57">
        <f t="shared" si="0"/>
        <v>124.76707432108162</v>
      </c>
      <c r="X51" s="57">
        <f t="shared" si="1"/>
        <v>121.14106275367386</v>
      </c>
      <c r="Y51" s="57">
        <f t="shared" si="2"/>
        <v>112.03862210374045</v>
      </c>
    </row>
    <row r="52" spans="12:25" x14ac:dyDescent="0.25">
      <c r="P52" s="54">
        <v>45444</v>
      </c>
      <c r="Q52" s="6">
        <v>333.1</v>
      </c>
      <c r="R52" s="6">
        <v>5464.62</v>
      </c>
      <c r="S52" s="6">
        <v>17689.36</v>
      </c>
      <c r="T52" s="6">
        <v>39150.33</v>
      </c>
      <c r="U52" s="54">
        <v>45444</v>
      </c>
      <c r="V52" s="57">
        <f t="shared" si="3"/>
        <v>138.16990210718433</v>
      </c>
      <c r="W52" s="57">
        <f t="shared" si="0"/>
        <v>129.19059360881724</v>
      </c>
      <c r="X52" s="57">
        <f t="shared" si="1"/>
        <v>128.04931633379155</v>
      </c>
      <c r="Y52" s="57">
        <f t="shared" si="2"/>
        <v>113.38243151860226</v>
      </c>
    </row>
    <row r="53" spans="12:25" x14ac:dyDescent="0.25">
      <c r="P53" s="54">
        <v>45474</v>
      </c>
      <c r="Q53" s="6">
        <v>320.87</v>
      </c>
      <c r="R53" s="6">
        <v>5459.1</v>
      </c>
      <c r="S53" s="6">
        <v>17357.88</v>
      </c>
      <c r="T53" s="6">
        <v>40287.53</v>
      </c>
      <c r="U53" s="54">
        <v>45474</v>
      </c>
      <c r="V53" s="57">
        <f t="shared" si="3"/>
        <v>133.09689729550357</v>
      </c>
      <c r="W53" s="57">
        <f t="shared" si="0"/>
        <v>129.06009376130348</v>
      </c>
      <c r="X53" s="57">
        <f t="shared" si="1"/>
        <v>125.64980683325986</v>
      </c>
      <c r="Y53" s="57">
        <f t="shared" si="2"/>
        <v>116.67585206251476</v>
      </c>
    </row>
    <row r="54" spans="12:25" x14ac:dyDescent="0.25">
      <c r="P54" s="54">
        <v>45505</v>
      </c>
      <c r="Q54" s="6">
        <v>356.1</v>
      </c>
      <c r="R54" s="6">
        <v>5648.4</v>
      </c>
      <c r="S54" s="6">
        <v>17877.79</v>
      </c>
      <c r="T54" s="6">
        <v>41175.08</v>
      </c>
      <c r="U54" s="54">
        <v>45505</v>
      </c>
      <c r="V54" s="57">
        <f t="shared" si="3"/>
        <v>147.71030363364858</v>
      </c>
      <c r="W54" s="57">
        <f t="shared" si="0"/>
        <v>133.53538744506358</v>
      </c>
      <c r="X54" s="57">
        <f t="shared" si="1"/>
        <v>129.41331891369137</v>
      </c>
      <c r="Y54" s="57">
        <f t="shared" si="2"/>
        <v>119.24626659272015</v>
      </c>
    </row>
    <row r="55" spans="12:25" x14ac:dyDescent="0.25">
      <c r="P55" s="54">
        <v>45536</v>
      </c>
      <c r="Q55" s="6">
        <v>397.09</v>
      </c>
      <c r="R55" s="6">
        <v>5751.07</v>
      </c>
      <c r="S55" s="6">
        <v>18137.849999999999</v>
      </c>
      <c r="T55" s="6">
        <v>42313</v>
      </c>
      <c r="U55" s="54">
        <v>45536</v>
      </c>
      <c r="V55" s="57">
        <f t="shared" si="3"/>
        <v>164.71295835407332</v>
      </c>
      <c r="W55" s="57">
        <f t="shared" si="0"/>
        <v>135.96263732626613</v>
      </c>
      <c r="X55" s="57">
        <f t="shared" si="1"/>
        <v>131.29583502539722</v>
      </c>
      <c r="Y55" s="57">
        <f t="shared" si="2"/>
        <v>122.54177231319932</v>
      </c>
    </row>
    <row r="56" spans="12:25" x14ac:dyDescent="0.25">
      <c r="P56" s="54">
        <v>45566</v>
      </c>
      <c r="Q56" s="6">
        <v>379.63</v>
      </c>
      <c r="R56" s="6">
        <v>5728.8</v>
      </c>
      <c r="S56" s="6">
        <v>18518.61</v>
      </c>
      <c r="T56" s="6">
        <v>42052.19</v>
      </c>
      <c r="U56" s="54">
        <v>45566</v>
      </c>
      <c r="V56" s="57">
        <f t="shared" si="3"/>
        <v>157.47054919528787</v>
      </c>
      <c r="W56" s="57">
        <f t="shared" si="0"/>
        <v>135.43614609363362</v>
      </c>
      <c r="X56" s="57">
        <f t="shared" si="1"/>
        <v>134.05207141197394</v>
      </c>
      <c r="Y56" s="57">
        <f t="shared" si="2"/>
        <v>121.78644606270881</v>
      </c>
    </row>
    <row r="57" spans="12:25" x14ac:dyDescent="0.25">
      <c r="P57" s="54">
        <v>45597</v>
      </c>
      <c r="Q57" s="6">
        <v>406.11</v>
      </c>
      <c r="R57" s="6">
        <v>5969.34</v>
      </c>
      <c r="S57" s="6">
        <v>19003.650000000001</v>
      </c>
      <c r="T57" s="6">
        <v>44296.51</v>
      </c>
      <c r="U57" s="54">
        <v>45597</v>
      </c>
      <c r="V57" s="57">
        <f t="shared" si="3"/>
        <v>168.45445495271278</v>
      </c>
      <c r="W57" s="57">
        <f t="shared" si="0"/>
        <v>141.1228187967063</v>
      </c>
      <c r="X57" s="57">
        <f t="shared" si="1"/>
        <v>137.5631673699138</v>
      </c>
      <c r="Y57" s="57">
        <f t="shared" si="2"/>
        <v>128.28617310730408</v>
      </c>
    </row>
    <row r="58" spans="12:25" x14ac:dyDescent="0.25">
      <c r="P58" s="54">
        <v>45627</v>
      </c>
      <c r="Q58" s="6">
        <v>364.86</v>
      </c>
      <c r="R58" s="6">
        <v>5942.47</v>
      </c>
      <c r="S58" s="6">
        <v>19722.03</v>
      </c>
      <c r="T58" s="6">
        <v>42840.26</v>
      </c>
      <c r="U58" s="54">
        <v>45627</v>
      </c>
      <c r="V58" s="57">
        <f t="shared" si="3"/>
        <v>151.34395221503237</v>
      </c>
      <c r="W58" s="57">
        <f t="shared" si="0"/>
        <v>140.48757769114565</v>
      </c>
      <c r="X58" s="57">
        <f t="shared" si="1"/>
        <v>142.76335934225582</v>
      </c>
      <c r="Y58" s="57">
        <f t="shared" si="2"/>
        <v>124.06875869728596</v>
      </c>
    </row>
    <row r="59" spans="12:25" x14ac:dyDescent="0.25">
      <c r="P59" s="54">
        <v>45658</v>
      </c>
      <c r="Q59" s="6">
        <v>407.63</v>
      </c>
      <c r="R59" s="6">
        <v>6040.53</v>
      </c>
      <c r="S59" s="6">
        <v>19627.439999999999</v>
      </c>
      <c r="T59" s="6">
        <v>44424.25</v>
      </c>
      <c r="U59" s="54">
        <v>45658</v>
      </c>
      <c r="V59" s="57">
        <f t="shared" si="3"/>
        <v>169.08495105359216</v>
      </c>
      <c r="W59" s="57">
        <f t="shared" si="0"/>
        <v>142.80584128665282</v>
      </c>
      <c r="X59" s="57">
        <f t="shared" si="1"/>
        <v>142.07864351126969</v>
      </c>
      <c r="Y59" s="57">
        <f t="shared" si="2"/>
        <v>128.65611818317407</v>
      </c>
    </row>
    <row r="60" spans="12:25" x14ac:dyDescent="0.25">
      <c r="P60" s="54">
        <v>45689</v>
      </c>
      <c r="Q60" s="6">
        <v>343.95</v>
      </c>
      <c r="R60" s="6">
        <v>5954.5</v>
      </c>
      <c r="S60" s="6">
        <v>19524.009999999998</v>
      </c>
      <c r="T60" s="6">
        <v>43840.91</v>
      </c>
      <c r="U60" s="54">
        <v>45689</v>
      </c>
      <c r="V60" s="57">
        <f t="shared" si="3"/>
        <v>142.67048282727723</v>
      </c>
      <c r="W60" s="57">
        <f t="shared" si="0"/>
        <v>140.77198225012944</v>
      </c>
      <c r="X60" s="57">
        <f t="shared" si="1"/>
        <v>141.32993689958874</v>
      </c>
      <c r="Y60" s="57">
        <f t="shared" si="2"/>
        <v>126.9667197131724</v>
      </c>
    </row>
    <row r="61" spans="12:25" x14ac:dyDescent="0.25">
      <c r="P61" s="54">
        <v>45717</v>
      </c>
      <c r="Q61" s="6">
        <v>288.08</v>
      </c>
      <c r="R61" s="6">
        <v>5074.08</v>
      </c>
      <c r="S61" s="6">
        <v>15587.79</v>
      </c>
      <c r="T61" s="6">
        <v>38314.86</v>
      </c>
      <c r="U61" s="54">
        <v>45717</v>
      </c>
      <c r="V61" s="57">
        <f t="shared" si="3"/>
        <v>119.49560311929648</v>
      </c>
      <c r="W61" s="57">
        <f t="shared" si="0"/>
        <v>119.95772939721836</v>
      </c>
      <c r="X61" s="57">
        <f t="shared" si="1"/>
        <v>112.83652165226512</v>
      </c>
      <c r="Y61" s="57">
        <f t="shared" si="2"/>
        <v>110.96284476005268</v>
      </c>
    </row>
    <row r="62" spans="12:25" x14ac:dyDescent="0.25">
      <c r="P62" s="54">
        <v>45748</v>
      </c>
      <c r="Q62" s="6">
        <v>323.68</v>
      </c>
      <c r="R62" s="6">
        <v>5282.7</v>
      </c>
      <c r="S62" s="6">
        <v>16286.45</v>
      </c>
      <c r="T62" s="6">
        <v>39142.230000000003</v>
      </c>
      <c r="U62" s="54">
        <v>45748</v>
      </c>
      <c r="V62" s="57">
        <f t="shared" si="3"/>
        <v>134.26248548199766</v>
      </c>
      <c r="W62" s="57">
        <f t="shared" si="0"/>
        <v>124.88977254727662</v>
      </c>
      <c r="X62" s="57">
        <f t="shared" si="1"/>
        <v>117.89396495998044</v>
      </c>
      <c r="Y62" s="57">
        <f t="shared" si="2"/>
        <v>113.35897328222721</v>
      </c>
    </row>
    <row r="63" spans="12:25" x14ac:dyDescent="0.25">
      <c r="P63" s="54">
        <v>45778</v>
      </c>
      <c r="Q63" s="6">
        <v>348.03</v>
      </c>
      <c r="R63" s="6">
        <v>5802.82</v>
      </c>
      <c r="S63" s="6">
        <v>19113.77</v>
      </c>
      <c r="T63" s="6">
        <v>41603.07</v>
      </c>
      <c r="U63" s="54">
        <v>45778</v>
      </c>
      <c r="V63" s="57">
        <f t="shared" si="3"/>
        <v>144.36286709805873</v>
      </c>
      <c r="W63" s="57">
        <f t="shared" si="0"/>
        <v>137.18607339670768</v>
      </c>
      <c r="X63" s="57">
        <f t="shared" si="1"/>
        <v>138.36030139368157</v>
      </c>
      <c r="Y63" s="57">
        <f t="shared" si="2"/>
        <v>120.48575925767715</v>
      </c>
    </row>
    <row r="64" spans="12:25" x14ac:dyDescent="0.25">
      <c r="P64" s="54">
        <v>45809</v>
      </c>
      <c r="Q64" s="6">
        <v>397.86</v>
      </c>
      <c r="R64" s="6">
        <v>6279.35</v>
      </c>
      <c r="S64" s="6">
        <v>19447.41</v>
      </c>
      <c r="T64" s="6">
        <v>42206.82</v>
      </c>
      <c r="U64" s="54">
        <v>45809</v>
      </c>
      <c r="V64" s="57">
        <f t="shared" si="3"/>
        <v>165.0323544051767</v>
      </c>
      <c r="W64" s="57">
        <f t="shared" si="0"/>
        <v>148.45185099376107</v>
      </c>
      <c r="X64" s="57">
        <f t="shared" si="1"/>
        <v>140.7754466505821</v>
      </c>
      <c r="Y64" s="57">
        <f t="shared" si="2"/>
        <v>122.2342666911868</v>
      </c>
    </row>
    <row r="65" spans="16:25" x14ac:dyDescent="0.25">
      <c r="P65" s="54">
        <v>45839</v>
      </c>
      <c r="Q65" s="6">
        <v>428.69</v>
      </c>
      <c r="R65" s="6">
        <v>6238.01</v>
      </c>
      <c r="S65" s="6">
        <v>20650.13</v>
      </c>
      <c r="T65" s="6">
        <v>44901.919999999998</v>
      </c>
      <c r="U65" s="54">
        <v>45839</v>
      </c>
      <c r="V65" s="57">
        <f t="shared" si="3"/>
        <v>177.82064045130247</v>
      </c>
      <c r="W65" s="57">
        <f t="shared" si="0"/>
        <v>147.47452061401123</v>
      </c>
      <c r="X65" s="57">
        <f t="shared" si="1"/>
        <v>149.48166743759631</v>
      </c>
      <c r="Y65" s="57">
        <f t="shared" si="2"/>
        <v>130.03948803123131</v>
      </c>
    </row>
    <row r="66" spans="16:25" x14ac:dyDescent="0.25">
      <c r="P66" s="54">
        <v>45870</v>
      </c>
      <c r="Q66" s="6">
        <v>419.04</v>
      </c>
      <c r="R66" s="6">
        <v>6460.26</v>
      </c>
      <c r="S66" s="6">
        <v>21496.54</v>
      </c>
      <c r="T66" s="6">
        <v>45544.88</v>
      </c>
      <c r="U66" s="54">
        <v>45870</v>
      </c>
      <c r="V66" s="57">
        <f t="shared" si="3"/>
        <v>173.81781981085115</v>
      </c>
      <c r="W66" s="57">
        <f t="shared" si="0"/>
        <v>152.72879436581093</v>
      </c>
      <c r="X66" s="57">
        <f t="shared" si="1"/>
        <v>155.60863991359795</v>
      </c>
      <c r="Y66" s="57">
        <f t="shared" si="2"/>
        <v>131.90155070526754</v>
      </c>
    </row>
    <row r="67" spans="16:25" x14ac:dyDescent="0.25">
      <c r="P67" s="54">
        <v>45901</v>
      </c>
      <c r="Q67" s="6">
        <v>497.85</v>
      </c>
      <c r="R67" s="6">
        <v>6715.79</v>
      </c>
      <c r="S67" s="6">
        <v>22780.51</v>
      </c>
      <c r="T67" s="6">
        <v>46758.28</v>
      </c>
      <c r="U67" s="54">
        <v>45901</v>
      </c>
      <c r="V67" s="57">
        <f t="shared" si="3"/>
        <v>206.50821304131409</v>
      </c>
      <c r="W67" s="57">
        <f t="shared" si="0"/>
        <v>158.76984980696895</v>
      </c>
      <c r="X67" s="57">
        <f t="shared" si="1"/>
        <v>164.90301125846844</v>
      </c>
      <c r="Y67" s="57">
        <f t="shared" si="2"/>
        <v>135.41565243581928</v>
      </c>
    </row>
    <row r="68" spans="16:25" x14ac:dyDescent="0.25">
      <c r="P68" s="54">
        <v>45931</v>
      </c>
      <c r="Q68" s="6">
        <v>577.26</v>
      </c>
      <c r="R68" s="6">
        <v>6840.2</v>
      </c>
      <c r="S68" s="6">
        <v>23204.87</v>
      </c>
      <c r="T68" s="6">
        <v>47207.12</v>
      </c>
      <c r="U68" s="54">
        <v>45931</v>
      </c>
      <c r="V68" s="57">
        <f t="shared" si="3"/>
        <v>239.4474863115978</v>
      </c>
      <c r="W68" s="57">
        <f t="shared" si="0"/>
        <v>161.71106104414062</v>
      </c>
      <c r="X68" s="57">
        <f t="shared" si="1"/>
        <v>167.97485828286096</v>
      </c>
      <c r="Y68" s="57">
        <f t="shared" si="2"/>
        <v>136.71552833885278</v>
      </c>
    </row>
    <row r="69" spans="16:25" x14ac:dyDescent="0.25">
      <c r="P69" s="54">
        <v>45962</v>
      </c>
      <c r="Q69" s="6">
        <v>575.76</v>
      </c>
      <c r="R69" s="6">
        <v>6849.09</v>
      </c>
      <c r="S69" s="6">
        <v>23365.69</v>
      </c>
      <c r="T69" s="6">
        <v>46245.41</v>
      </c>
      <c r="U69" s="54">
        <v>45962</v>
      </c>
      <c r="V69" s="57">
        <f t="shared" si="3"/>
        <v>238.82528621204577</v>
      </c>
      <c r="W69" s="57">
        <f t="shared" si="0"/>
        <v>161.9212319942126</v>
      </c>
      <c r="X69" s="57">
        <f t="shared" si="1"/>
        <v>169.13899825473106</v>
      </c>
      <c r="Y69" s="57">
        <f t="shared" si="2"/>
        <v>133.93034062228043</v>
      </c>
    </row>
    <row r="70" spans="16:25" x14ac:dyDescent="0.25">
      <c r="P70" s="54">
        <v>45992</v>
      </c>
      <c r="Q70" s="6">
        <v>598.41</v>
      </c>
      <c r="R70" s="6">
        <v>6929.94</v>
      </c>
      <c r="S70" s="6">
        <v>23593.1</v>
      </c>
      <c r="T70" s="6">
        <v>48134.89</v>
      </c>
      <c r="U70" s="54">
        <v>45992</v>
      </c>
      <c r="V70" s="57">
        <f t="shared" si="3"/>
        <v>248.2205077152812</v>
      </c>
      <c r="W70" s="57">
        <f t="shared" si="0"/>
        <v>163.83262921730824</v>
      </c>
      <c r="X70" s="57">
        <f t="shared" si="1"/>
        <v>170.78516832687995</v>
      </c>
      <c r="Y70" s="57">
        <f t="shared" si="2"/>
        <v>139.40242314893518</v>
      </c>
    </row>
    <row r="71" spans="16:25" x14ac:dyDescent="0.25">
      <c r="P71" s="54">
        <v>46023</v>
      </c>
      <c r="Q71" s="6">
        <v>657.36</v>
      </c>
      <c r="R71" s="6">
        <v>6939.03</v>
      </c>
      <c r="S71" s="6">
        <v>23461.82</v>
      </c>
      <c r="T71" s="6">
        <v>49098.71</v>
      </c>
      <c r="U71" s="54">
        <v>46023</v>
      </c>
      <c r="V71" s="57">
        <f t="shared" si="3"/>
        <v>272.67297162767545</v>
      </c>
      <c r="W71" s="57">
        <f t="shared" si="0"/>
        <v>164.04752842272492</v>
      </c>
      <c r="X71" s="57">
        <f t="shared" si="1"/>
        <v>169.83486180090614</v>
      </c>
      <c r="Y71" s="57">
        <f t="shared" si="2"/>
        <v>142.19372159127934</v>
      </c>
    </row>
    <row r="72" spans="16:25" x14ac:dyDescent="0.25">
      <c r="P72" s="54">
        <v>46054</v>
      </c>
      <c r="Q72" s="6">
        <v>742.83</v>
      </c>
      <c r="R72" s="6">
        <v>6909.51</v>
      </c>
      <c r="S72" s="6">
        <v>22668.21</v>
      </c>
      <c r="T72" s="6">
        <v>48977.919999999998</v>
      </c>
      <c r="U72" s="54">
        <v>46054</v>
      </c>
      <c r="V72" s="57">
        <f t="shared" si="3"/>
        <v>308.12593330014931</v>
      </c>
      <c r="W72" s="57">
        <f t="shared" si="0"/>
        <v>163.34963793384699</v>
      </c>
      <c r="X72" s="57">
        <f t="shared" si="1"/>
        <v>164.09009670280989</v>
      </c>
      <c r="Y72" s="57">
        <f t="shared" si="2"/>
        <v>141.8439042614348</v>
      </c>
    </row>
    <row r="73" spans="16:25" x14ac:dyDescent="0.25">
      <c r="P73" s="54">
        <v>46082</v>
      </c>
      <c r="Q73" s="6">
        <v>695.4</v>
      </c>
      <c r="R73" s="6">
        <v>6368.85</v>
      </c>
      <c r="S73" s="6">
        <v>20948.36</v>
      </c>
      <c r="T73" s="6">
        <v>45577.47</v>
      </c>
      <c r="U73" s="54">
        <v>46082</v>
      </c>
      <c r="V73" s="57">
        <f t="shared" si="3"/>
        <v>288.45196615231458</v>
      </c>
      <c r="W73" s="57">
        <f t="shared" si="0"/>
        <v>150.56774526051504</v>
      </c>
      <c r="X73" s="57">
        <f t="shared" si="1"/>
        <v>151.64048763291299</v>
      </c>
      <c r="Y73" s="57">
        <f t="shared" si="2"/>
        <v>131.99593390569501</v>
      </c>
    </row>
    <row r="74" spans="16:25" x14ac:dyDescent="0.25">
      <c r="P74" s="54">
        <v>46113</v>
      </c>
      <c r="Q74" s="6">
        <v>889.67</v>
      </c>
      <c r="R74" s="6">
        <v>7123.06</v>
      </c>
      <c r="S74" s="6">
        <v>24468.48</v>
      </c>
      <c r="T74" s="6">
        <v>49447.43</v>
      </c>
      <c r="U74" s="54">
        <v>46113</v>
      </c>
      <c r="V74" s="57">
        <f t="shared" si="3"/>
        <v>369.03517504562797</v>
      </c>
      <c r="W74" s="57">
        <f t="shared" si="0"/>
        <v>168.39823257815215</v>
      </c>
      <c r="X74" s="57">
        <f t="shared" si="1"/>
        <v>177.12184814640278</v>
      </c>
      <c r="Y74" s="57">
        <f t="shared" si="2"/>
        <v>143.20364210840313</v>
      </c>
    </row>
    <row r="75" spans="16:25" x14ac:dyDescent="0.25">
      <c r="P75" s="54">
        <v>46143</v>
      </c>
      <c r="Q75" s="58">
        <v>875.87</v>
      </c>
      <c r="R75" s="6">
        <v>7473.47</v>
      </c>
      <c r="S75" s="6">
        <v>26343.97</v>
      </c>
      <c r="T75" s="6">
        <v>50579.7</v>
      </c>
      <c r="U75" s="54">
        <v>46143</v>
      </c>
      <c r="V75" s="57">
        <f t="shared" si="3"/>
        <v>363.31093412974946</v>
      </c>
      <c r="W75" s="57">
        <f t="shared" si="0"/>
        <v>176.68237235483664</v>
      </c>
      <c r="X75" s="57">
        <f t="shared" si="1"/>
        <v>190.69810032798895</v>
      </c>
      <c r="Y75" s="57">
        <f t="shared" si="2"/>
        <v>146.48278498499107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B949-E139-4A7B-BF73-C8F0FFE9E169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0.19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9.74E-2</v>
      </c>
      <c r="C7" s="41"/>
      <c r="P7">
        <v>2026</v>
      </c>
      <c r="Q7" s="26">
        <f>D28</f>
        <v>18823536500</v>
      </c>
      <c r="R7" s="26"/>
      <c r="S7" t="s">
        <v>41</v>
      </c>
      <c r="T7" s="16">
        <f>B40</f>
        <v>1314.2658008787955</v>
      </c>
    </row>
    <row r="8" spans="1:26" x14ac:dyDescent="0.25">
      <c r="A8" s="40" t="s">
        <v>4</v>
      </c>
      <c r="B8" s="32">
        <v>0.05</v>
      </c>
      <c r="C8" s="41"/>
      <c r="P8">
        <v>2027</v>
      </c>
      <c r="Q8" s="26">
        <f>E28</f>
        <v>20705890150</v>
      </c>
      <c r="R8" s="26"/>
      <c r="S8" t="s">
        <v>55</v>
      </c>
      <c r="T8" s="16">
        <v>438.27</v>
      </c>
    </row>
    <row r="9" spans="1:26" x14ac:dyDescent="0.25">
      <c r="A9" s="40" t="s">
        <v>5</v>
      </c>
      <c r="B9" s="33" t="s">
        <v>97</v>
      </c>
      <c r="C9" s="41"/>
      <c r="P9">
        <v>2028</v>
      </c>
      <c r="Q9" s="26">
        <f>F28</f>
        <v>23190596968.000004</v>
      </c>
      <c r="R9" s="26"/>
      <c r="S9" t="s">
        <v>8</v>
      </c>
      <c r="T9" s="16">
        <f>B12</f>
        <v>876</v>
      </c>
    </row>
    <row r="10" spans="1:26" x14ac:dyDescent="0.25">
      <c r="A10" s="40" t="s">
        <v>6</v>
      </c>
      <c r="B10" s="34">
        <v>46171</v>
      </c>
      <c r="C10" s="41"/>
      <c r="P10">
        <v>2029</v>
      </c>
      <c r="Q10" s="26">
        <f>G28</f>
        <v>27364904422.240002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30375043908.686413</v>
      </c>
      <c r="R11" s="26"/>
    </row>
    <row r="12" spans="1:26" x14ac:dyDescent="0.25">
      <c r="A12" s="40" t="s">
        <v>8</v>
      </c>
      <c r="B12" s="35">
        <v>876</v>
      </c>
      <c r="C12" s="41" t="s">
        <v>86</v>
      </c>
      <c r="P12">
        <v>2031</v>
      </c>
      <c r="Q12" s="26">
        <f>I28</f>
        <v>32501296982.29446</v>
      </c>
      <c r="R12" s="26"/>
    </row>
    <row r="13" spans="1:26" x14ac:dyDescent="0.25">
      <c r="A13" s="40" t="s">
        <v>9</v>
      </c>
      <c r="B13" s="36">
        <v>461000000</v>
      </c>
      <c r="C13" s="41"/>
    </row>
    <row r="14" spans="1:26" x14ac:dyDescent="0.25">
      <c r="A14" s="40" t="s">
        <v>10</v>
      </c>
      <c r="B14" s="35">
        <v>43000000000</v>
      </c>
      <c r="C14" s="41"/>
      <c r="P14" s="6" t="s">
        <v>16</v>
      </c>
      <c r="Q14" s="6" t="s">
        <v>85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84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10000000000</v>
      </c>
      <c r="C15" s="41"/>
      <c r="P15" s="54">
        <v>44317</v>
      </c>
      <c r="Q15" s="55">
        <v>241.08</v>
      </c>
      <c r="R15" s="6">
        <v>4229.8900000000003</v>
      </c>
      <c r="S15" s="6">
        <v>13814.49</v>
      </c>
      <c r="T15" s="6">
        <v>34529.449999999997</v>
      </c>
      <c r="U15" s="54">
        <v>44317</v>
      </c>
      <c r="V15" s="56">
        <v>100</v>
      </c>
      <c r="W15" s="56">
        <v>100</v>
      </c>
      <c r="X15" s="56">
        <v>100</v>
      </c>
      <c r="Y15" s="56">
        <v>100</v>
      </c>
      <c r="Z15" t="s">
        <v>69</v>
      </c>
    </row>
    <row r="16" spans="1:26" x14ac:dyDescent="0.25">
      <c r="A16" s="40" t="s">
        <v>12</v>
      </c>
      <c r="B16" s="35" t="s">
        <v>100</v>
      </c>
      <c r="C16" s="41"/>
      <c r="P16" s="54">
        <v>44348</v>
      </c>
      <c r="Q16" s="6">
        <v>217.76</v>
      </c>
      <c r="R16" s="6">
        <v>4352.34</v>
      </c>
      <c r="S16" s="6">
        <v>14639.33</v>
      </c>
      <c r="T16" s="6">
        <v>34433.839999999997</v>
      </c>
      <c r="U16" s="54">
        <v>44348</v>
      </c>
      <c r="V16" s="57">
        <f>(Q16/$Q$15)*100</f>
        <v>90.326862452297988</v>
      </c>
      <c r="W16" s="57">
        <f>(R16/$R$15)*100</f>
        <v>102.89487433479356</v>
      </c>
      <c r="X16" s="57">
        <f>(S16/$S$15)*100</f>
        <v>105.97083207559599</v>
      </c>
      <c r="Y16" s="57">
        <f>(T16/$T$15)*100</f>
        <v>99.723105928417624</v>
      </c>
      <c r="Z16" t="s">
        <v>75</v>
      </c>
    </row>
    <row r="17" spans="1:25" x14ac:dyDescent="0.25">
      <c r="A17" s="42" t="s">
        <v>90</v>
      </c>
      <c r="B17" s="43"/>
      <c r="C17" s="44"/>
      <c r="P17" s="54">
        <v>44378</v>
      </c>
      <c r="Q17" s="6">
        <v>206.75</v>
      </c>
      <c r="R17" s="6">
        <v>4395.26</v>
      </c>
      <c r="S17" s="6">
        <v>14672.68</v>
      </c>
      <c r="T17" s="6">
        <v>35061.550000000003</v>
      </c>
      <c r="U17" s="54">
        <v>44378</v>
      </c>
      <c r="V17" s="57">
        <f>(Q17/$Q$15)*100</f>
        <v>85.759913721586187</v>
      </c>
      <c r="W17" s="57">
        <f>(R17/$R$15)*100</f>
        <v>103.90955793176656</v>
      </c>
      <c r="X17" s="57">
        <f>(S17/$S$15)*100</f>
        <v>106.21224525842069</v>
      </c>
      <c r="Y17" s="57">
        <f>(T17/$T$15)*100</f>
        <v>101.54100340434039</v>
      </c>
    </row>
    <row r="18" spans="1:25" x14ac:dyDescent="0.25">
      <c r="P18" s="54">
        <v>44409</v>
      </c>
      <c r="Q18" s="6">
        <v>210.37</v>
      </c>
      <c r="R18" s="6">
        <v>4509.37</v>
      </c>
      <c r="S18" s="6">
        <v>14714.66</v>
      </c>
      <c r="T18" s="6">
        <v>35120.080000000002</v>
      </c>
      <c r="U18" s="54">
        <v>44409</v>
      </c>
      <c r="V18" s="57">
        <f>(Q18/$Q$15)*100</f>
        <v>87.261489961838393</v>
      </c>
      <c r="W18" s="57">
        <f t="shared" ref="W18:W75" si="0">(R18/$R$15)*100</f>
        <v>106.60726401868605</v>
      </c>
      <c r="X18" s="57">
        <f t="shared" ref="X18:X75" si="1">(S18/$S$15)*100</f>
        <v>106.51612907895984</v>
      </c>
      <c r="Y18" s="57">
        <f t="shared" ref="Y18:Y75" si="2">(T18/$T$15)*100</f>
        <v>101.71051088273924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4">
        <v>44440</v>
      </c>
      <c r="Q19" s="6">
        <v>194.33</v>
      </c>
      <c r="R19" s="6">
        <v>4455.4799999999996</v>
      </c>
      <c r="S19" s="6">
        <v>15047.7</v>
      </c>
      <c r="T19" s="6">
        <v>34326.46</v>
      </c>
      <c r="U19" s="54">
        <v>44440</v>
      </c>
      <c r="V19" s="57">
        <f t="shared" ref="V19:V75" si="3">(Q19/$Q$15)*100</f>
        <v>80.608096897295496</v>
      </c>
      <c r="W19" s="57">
        <f t="shared" si="0"/>
        <v>105.33323561605619</v>
      </c>
      <c r="X19" s="57">
        <f t="shared" si="1"/>
        <v>108.92693107020237</v>
      </c>
      <c r="Y19" s="57">
        <f t="shared" si="2"/>
        <v>99.412125012127333</v>
      </c>
    </row>
    <row r="20" spans="1:25" x14ac:dyDescent="0.25">
      <c r="A20" t="s">
        <v>16</v>
      </c>
      <c r="C20" s="7">
        <v>46171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719965439481.20642</v>
      </c>
      <c r="P20" s="54">
        <v>44470</v>
      </c>
      <c r="Q20" s="6">
        <v>204.01</v>
      </c>
      <c r="R20" s="6">
        <v>4544.8999999999996</v>
      </c>
      <c r="S20" s="6">
        <v>15498.39</v>
      </c>
      <c r="T20" s="6">
        <v>35677.019999999997</v>
      </c>
      <c r="U20" s="54">
        <v>44470</v>
      </c>
      <c r="V20" s="57">
        <f t="shared" si="3"/>
        <v>84.623361539737843</v>
      </c>
      <c r="W20" s="57">
        <f t="shared" si="0"/>
        <v>107.44723858067229</v>
      </c>
      <c r="X20" s="57">
        <f t="shared" si="1"/>
        <v>112.1893750692208</v>
      </c>
      <c r="Y20" s="57">
        <f t="shared" si="2"/>
        <v>103.32345287862969</v>
      </c>
    </row>
    <row r="21" spans="1:25" x14ac:dyDescent="0.25">
      <c r="A21" t="s">
        <v>18</v>
      </c>
      <c r="B21" t="s">
        <v>72</v>
      </c>
      <c r="D21" s="5">
        <v>67589000000</v>
      </c>
      <c r="E21" s="5">
        <f>D21*1.1</f>
        <v>74347900000</v>
      </c>
      <c r="F21" s="5">
        <f>E21*1.12</f>
        <v>83269648000.000015</v>
      </c>
      <c r="G21" s="5">
        <f>F21*1.18</f>
        <v>98258184640.000015</v>
      </c>
      <c r="H21" s="5">
        <f>G21*1.11</f>
        <v>109066584950.40002</v>
      </c>
      <c r="I21" s="5">
        <f>H21*1.07</f>
        <v>116701245896.92804</v>
      </c>
      <c r="L21" t="s">
        <v>19</v>
      </c>
      <c r="M21" s="13">
        <f>(I22+I25)*33</f>
        <v>1540456445839.4502</v>
      </c>
      <c r="P21" s="54">
        <v>44501</v>
      </c>
      <c r="Q21" s="6">
        <v>197.8</v>
      </c>
      <c r="R21" s="6">
        <v>4594.62</v>
      </c>
      <c r="S21" s="6">
        <v>15085.47</v>
      </c>
      <c r="T21" s="6">
        <v>34889.339999999997</v>
      </c>
      <c r="U21" s="54">
        <v>44501</v>
      </c>
      <c r="V21" s="57">
        <f t="shared" si="3"/>
        <v>82.04745312759249</v>
      </c>
      <c r="W21" s="57">
        <f t="shared" si="0"/>
        <v>108.62268285936511</v>
      </c>
      <c r="X21" s="57">
        <f t="shared" si="1"/>
        <v>109.20033964337446</v>
      </c>
      <c r="Y21" s="57">
        <f t="shared" si="2"/>
        <v>101.04226971469281</v>
      </c>
    </row>
    <row r="22" spans="1:25" x14ac:dyDescent="0.25">
      <c r="A22" t="s">
        <v>87</v>
      </c>
      <c r="B22" t="s">
        <v>127</v>
      </c>
      <c r="C22" s="25">
        <v>0.35</v>
      </c>
      <c r="D22" s="5">
        <f>D21*$C$22</f>
        <v>23656150000</v>
      </c>
      <c r="E22" s="5">
        <f t="shared" ref="E22:I22" si="4">E21*$C$22</f>
        <v>26021765000</v>
      </c>
      <c r="F22" s="5">
        <f t="shared" si="4"/>
        <v>29144376800.000004</v>
      </c>
      <c r="G22" s="5">
        <f t="shared" si="4"/>
        <v>34390364624</v>
      </c>
      <c r="H22" s="5">
        <f t="shared" si="4"/>
        <v>38173304732.640007</v>
      </c>
      <c r="I22" s="5">
        <f t="shared" si="4"/>
        <v>40845436063.924812</v>
      </c>
      <c r="L22" t="s">
        <v>20</v>
      </c>
      <c r="M22" s="13">
        <f>(M20+M21)/2</f>
        <v>1130210942660.3284</v>
      </c>
      <c r="P22" s="54">
        <v>44531</v>
      </c>
      <c r="Q22" s="6">
        <v>206.74</v>
      </c>
      <c r="R22" s="6">
        <v>4766.18</v>
      </c>
      <c r="S22" s="6">
        <v>15653.37</v>
      </c>
      <c r="T22" s="6">
        <v>35950.559999999998</v>
      </c>
      <c r="U22" s="54">
        <v>44531</v>
      </c>
      <c r="V22" s="57">
        <f t="shared" si="3"/>
        <v>85.755765720922511</v>
      </c>
      <c r="W22" s="57">
        <f t="shared" si="0"/>
        <v>112.67858029405021</v>
      </c>
      <c r="X22" s="57">
        <f t="shared" si="1"/>
        <v>113.31124058868622</v>
      </c>
      <c r="Y22" s="57">
        <f t="shared" si="2"/>
        <v>104.11564620925036</v>
      </c>
    </row>
    <row r="23" spans="1:25" x14ac:dyDescent="0.25">
      <c r="A23" t="s">
        <v>21</v>
      </c>
      <c r="B23" t="s">
        <v>22</v>
      </c>
      <c r="C23" s="25"/>
      <c r="D23" s="5">
        <f>D22*$B$6</f>
        <v>4494668500</v>
      </c>
      <c r="E23" s="30">
        <f t="shared" ref="E23:I23" si="5">E22*$B$6</f>
        <v>4944135350</v>
      </c>
      <c r="F23" s="5">
        <f t="shared" si="5"/>
        <v>5537431592.000001</v>
      </c>
      <c r="G23" s="30">
        <f t="shared" si="5"/>
        <v>6534169278.5600004</v>
      </c>
      <c r="H23" s="30">
        <f t="shared" si="5"/>
        <v>7252927899.201601</v>
      </c>
      <c r="I23" s="5">
        <f t="shared" si="5"/>
        <v>7760632852.1457148</v>
      </c>
      <c r="P23" s="54">
        <v>44562</v>
      </c>
      <c r="Q23" s="6">
        <v>201.16</v>
      </c>
      <c r="R23" s="6">
        <v>4500.53</v>
      </c>
      <c r="S23" s="6">
        <v>13770.57</v>
      </c>
      <c r="T23" s="6">
        <v>34725.47</v>
      </c>
      <c r="U23" s="54">
        <v>44562</v>
      </c>
      <c r="V23" s="57">
        <f t="shared" si="3"/>
        <v>83.441181350589005</v>
      </c>
      <c r="W23" s="57">
        <f t="shared" si="0"/>
        <v>106.39827513245024</v>
      </c>
      <c r="X23" s="57">
        <f t="shared" si="1"/>
        <v>99.682072953833256</v>
      </c>
      <c r="Y23" s="57">
        <f t="shared" si="2"/>
        <v>100.56768932027589</v>
      </c>
    </row>
    <row r="24" spans="1:25" x14ac:dyDescent="0.25">
      <c r="A24" t="s">
        <v>23</v>
      </c>
      <c r="B24" t="s">
        <v>24</v>
      </c>
      <c r="C24" s="25"/>
      <c r="D24" s="5">
        <f>D22*(1-$B$6)</f>
        <v>19161481500</v>
      </c>
      <c r="E24" s="5">
        <f t="shared" ref="E24:I24" si="6">E22*(1-$B$6)</f>
        <v>21077629650</v>
      </c>
      <c r="F24" s="5">
        <f t="shared" si="6"/>
        <v>23606945208.000004</v>
      </c>
      <c r="G24" s="5">
        <f t="shared" si="6"/>
        <v>27856195345.440002</v>
      </c>
      <c r="H24" s="5">
        <f t="shared" si="6"/>
        <v>30920376833.438408</v>
      </c>
      <c r="I24" s="5">
        <f t="shared" si="6"/>
        <v>33084803211.779099</v>
      </c>
      <c r="P24" s="54">
        <v>44593</v>
      </c>
      <c r="Q24" s="6">
        <v>195.66</v>
      </c>
      <c r="R24" s="6">
        <v>4384.6499999999996</v>
      </c>
      <c r="S24" s="6">
        <v>13313.44</v>
      </c>
      <c r="T24" s="6">
        <v>34058.75</v>
      </c>
      <c r="U24" s="54">
        <v>44593</v>
      </c>
      <c r="V24" s="57">
        <f t="shared" si="3"/>
        <v>81.15978098556495</v>
      </c>
      <c r="W24" s="57">
        <f t="shared" si="0"/>
        <v>103.65872398573011</v>
      </c>
      <c r="X24" s="57">
        <f t="shared" si="1"/>
        <v>96.373011236752134</v>
      </c>
      <c r="Y24" s="57">
        <f t="shared" si="2"/>
        <v>98.636815819539564</v>
      </c>
    </row>
    <row r="25" spans="1:25" x14ac:dyDescent="0.25">
      <c r="A25" s="4" t="s">
        <v>25</v>
      </c>
      <c r="B25" s="8" t="s">
        <v>93</v>
      </c>
      <c r="C25" s="25">
        <v>0.05</v>
      </c>
      <c r="D25" s="12">
        <f>D21*$C$25</f>
        <v>3379450000</v>
      </c>
      <c r="E25" s="12">
        <f t="shared" ref="E25:I25" si="7">E21*$C$25</f>
        <v>3717395000</v>
      </c>
      <c r="F25" s="12">
        <f t="shared" si="7"/>
        <v>4163482400.000001</v>
      </c>
      <c r="G25" s="12">
        <f t="shared" si="7"/>
        <v>4912909232.000001</v>
      </c>
      <c r="H25" s="12">
        <f t="shared" si="7"/>
        <v>5453329247.5200014</v>
      </c>
      <c r="I25" s="12">
        <f t="shared" si="7"/>
        <v>5835062294.8464022</v>
      </c>
      <c r="P25" s="54">
        <v>44621</v>
      </c>
      <c r="Q25" s="6">
        <v>219.77</v>
      </c>
      <c r="R25" s="6">
        <v>4543.0600000000004</v>
      </c>
      <c r="S25" s="6">
        <v>14169.3</v>
      </c>
      <c r="T25" s="6">
        <v>34861.24</v>
      </c>
      <c r="U25" s="54">
        <v>44621</v>
      </c>
      <c r="V25" s="57">
        <f t="shared" si="3"/>
        <v>91.160610585697682</v>
      </c>
      <c r="W25" s="57">
        <f t="shared" si="0"/>
        <v>107.40373863150106</v>
      </c>
      <c r="X25" s="57">
        <f t="shared" si="1"/>
        <v>102.56839014686751</v>
      </c>
      <c r="Y25" s="57">
        <f t="shared" si="2"/>
        <v>100.9608899070214</v>
      </c>
    </row>
    <row r="26" spans="1:25" x14ac:dyDescent="0.25">
      <c r="A26" t="s">
        <v>26</v>
      </c>
      <c r="B26" t="s">
        <v>93</v>
      </c>
      <c r="C26" s="25">
        <v>0.05</v>
      </c>
      <c r="D26" s="10">
        <f>D21*$C$26</f>
        <v>3379450000</v>
      </c>
      <c r="E26" s="10">
        <f t="shared" ref="E26:I26" si="8">E21*$C$26</f>
        <v>3717395000</v>
      </c>
      <c r="F26" s="10">
        <f t="shared" si="8"/>
        <v>4163482400.000001</v>
      </c>
      <c r="G26" s="10">
        <f t="shared" si="8"/>
        <v>4912909232.000001</v>
      </c>
      <c r="H26" s="10">
        <f t="shared" si="8"/>
        <v>5453329247.5200014</v>
      </c>
      <c r="I26" s="10">
        <f t="shared" si="8"/>
        <v>5835062294.8464022</v>
      </c>
      <c r="P26" s="54">
        <v>44652</v>
      </c>
      <c r="Q26" s="6">
        <v>210.54</v>
      </c>
      <c r="R26" s="6">
        <v>4271.78</v>
      </c>
      <c r="S26" s="6">
        <v>12839.29</v>
      </c>
      <c r="T26" s="6">
        <v>33811.4</v>
      </c>
      <c r="U26" s="54">
        <v>44652</v>
      </c>
      <c r="V26" s="57">
        <f t="shared" si="3"/>
        <v>87.332005973120957</v>
      </c>
      <c r="W26" s="57">
        <f t="shared" si="0"/>
        <v>100.99033308194774</v>
      </c>
      <c r="X26" s="57">
        <f t="shared" si="1"/>
        <v>92.940745550505312</v>
      </c>
      <c r="Y26" s="57">
        <f t="shared" si="2"/>
        <v>97.92047078653151</v>
      </c>
    </row>
    <row r="27" spans="1:25" x14ac:dyDescent="0.25">
      <c r="A27" t="s">
        <v>27</v>
      </c>
      <c r="B27" t="s">
        <v>99</v>
      </c>
      <c r="C27" s="25">
        <v>5.0000000000000001E-3</v>
      </c>
      <c r="D27" s="10">
        <f>D21*$C$27</f>
        <v>337945000</v>
      </c>
      <c r="E27" s="10">
        <f t="shared" ref="E27:I27" si="9">E21*$C$27</f>
        <v>371739500</v>
      </c>
      <c r="F27" s="10">
        <f t="shared" si="9"/>
        <v>416348240.00000006</v>
      </c>
      <c r="G27" s="10">
        <f t="shared" si="9"/>
        <v>491290923.20000011</v>
      </c>
      <c r="H27" s="10">
        <f t="shared" si="9"/>
        <v>545332924.75200009</v>
      </c>
      <c r="I27" s="10">
        <f t="shared" si="9"/>
        <v>583506229.48464024</v>
      </c>
      <c r="P27" s="54">
        <v>44682</v>
      </c>
      <c r="Q27" s="57">
        <v>222.9</v>
      </c>
      <c r="R27" s="6">
        <v>4158.24</v>
      </c>
      <c r="S27" s="6">
        <v>11354.62</v>
      </c>
      <c r="T27" s="6">
        <v>33212.959999999999</v>
      </c>
      <c r="U27" s="54">
        <v>44682</v>
      </c>
      <c r="V27" s="57">
        <f t="shared" si="3"/>
        <v>92.458934793429563</v>
      </c>
      <c r="W27" s="57">
        <f t="shared" si="0"/>
        <v>98.306102522760625</v>
      </c>
      <c r="X27" s="57">
        <f t="shared" si="1"/>
        <v>82.193551843028601</v>
      </c>
      <c r="Y27" s="57">
        <f t="shared" si="2"/>
        <v>96.187341530201024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18823536500</v>
      </c>
      <c r="E28" s="12">
        <f t="shared" ref="E28:I28" si="10">E24+E25-E26-E27</f>
        <v>20705890150</v>
      </c>
      <c r="F28" s="12">
        <f t="shared" si="10"/>
        <v>23190596968.000004</v>
      </c>
      <c r="G28" s="12">
        <f t="shared" si="10"/>
        <v>27364904422.240002</v>
      </c>
      <c r="H28" s="12">
        <f t="shared" si="10"/>
        <v>30375043908.686413</v>
      </c>
      <c r="I28" s="12">
        <f t="shared" si="10"/>
        <v>32501296982.29446</v>
      </c>
      <c r="P28" s="54">
        <v>44713</v>
      </c>
      <c r="Q28" s="6">
        <v>178.29</v>
      </c>
      <c r="R28" s="6">
        <v>3911.74</v>
      </c>
      <c r="S28" s="6">
        <v>11127.85</v>
      </c>
      <c r="T28" s="6">
        <v>31097.26</v>
      </c>
      <c r="U28" s="54">
        <v>44713</v>
      </c>
      <c r="V28" s="57">
        <f t="shared" si="3"/>
        <v>73.954703832752614</v>
      </c>
      <c r="W28" s="57">
        <f t="shared" si="0"/>
        <v>92.478527810415855</v>
      </c>
      <c r="X28" s="57">
        <f t="shared" si="1"/>
        <v>80.552014587581596</v>
      </c>
      <c r="Y28" s="57">
        <f t="shared" si="2"/>
        <v>90.060108110612831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4">
        <v>44743</v>
      </c>
      <c r="Q29" s="6">
        <v>198.25</v>
      </c>
      <c r="R29" s="6">
        <v>4130.29</v>
      </c>
      <c r="S29" s="6">
        <v>12390.69</v>
      </c>
      <c r="T29" s="6">
        <v>32845.129999999997</v>
      </c>
      <c r="U29" s="54">
        <v>44743</v>
      </c>
      <c r="V29" s="57">
        <f t="shared" si="3"/>
        <v>82.234113157458097</v>
      </c>
      <c r="W29" s="57">
        <f t="shared" si="0"/>
        <v>97.645328838338571</v>
      </c>
      <c r="X29" s="57">
        <f t="shared" si="1"/>
        <v>89.693430593528973</v>
      </c>
      <c r="Y29" s="57">
        <f t="shared" si="2"/>
        <v>95.122076951703548</v>
      </c>
    </row>
    <row r="30" spans="1:25" x14ac:dyDescent="0.25">
      <c r="A30" t="s">
        <v>36</v>
      </c>
      <c r="C30" s="13">
        <f>-G39</f>
        <v>-436836000000</v>
      </c>
      <c r="D30" s="5">
        <f>D28</f>
        <v>18823536500</v>
      </c>
      <c r="E30" s="5">
        <f t="shared" ref="E30:I30" si="11">E28</f>
        <v>20705890150</v>
      </c>
      <c r="F30" s="5">
        <f t="shared" si="11"/>
        <v>23190596968.000004</v>
      </c>
      <c r="G30" s="5">
        <f t="shared" si="11"/>
        <v>27364904422.240002</v>
      </c>
      <c r="H30" s="5">
        <f t="shared" si="11"/>
        <v>30375043908.686413</v>
      </c>
      <c r="I30" s="5">
        <f t="shared" si="11"/>
        <v>32501296982.29446</v>
      </c>
      <c r="J30" s="13">
        <f>I28+M22</f>
        <v>1162712239642.6228</v>
      </c>
      <c r="K30" t="s">
        <v>38</v>
      </c>
      <c r="P30" s="54">
        <v>44774</v>
      </c>
      <c r="Q30" s="6">
        <v>191.92</v>
      </c>
      <c r="R30" s="6">
        <v>3924.26</v>
      </c>
      <c r="S30" s="6">
        <v>12141.71</v>
      </c>
      <c r="T30" s="6">
        <v>31318.44</v>
      </c>
      <c r="U30" s="54">
        <v>44774</v>
      </c>
      <c r="V30" s="57">
        <f t="shared" si="3"/>
        <v>79.608428737348589</v>
      </c>
      <c r="W30" s="57">
        <f t="shared" si="0"/>
        <v>92.774516594994196</v>
      </c>
      <c r="X30" s="57">
        <f t="shared" si="1"/>
        <v>87.891120120974421</v>
      </c>
      <c r="Y30" s="57">
        <f t="shared" si="2"/>
        <v>90.700662767579558</v>
      </c>
    </row>
    <row r="31" spans="1:25" x14ac:dyDescent="0.25">
      <c r="A31" t="s">
        <v>37</v>
      </c>
      <c r="D31" s="6">
        <f>1/(1+$B$7)^D29</f>
        <v>0.9545914101554801</v>
      </c>
      <c r="E31" s="6">
        <f t="shared" ref="E31:I31" si="12">1/(1+$B$7)^E29</f>
        <v>0.86986642077226195</v>
      </c>
      <c r="F31" s="6">
        <f t="shared" si="12"/>
        <v>0.79266121812671941</v>
      </c>
      <c r="G31" s="6">
        <f t="shared" si="12"/>
        <v>0.72230838174477818</v>
      </c>
      <c r="H31" s="6">
        <f t="shared" si="12"/>
        <v>0.65819972821649186</v>
      </c>
      <c r="I31" s="6">
        <f t="shared" si="12"/>
        <v>0.62831180672213482</v>
      </c>
      <c r="J31" t="s">
        <v>39</v>
      </c>
      <c r="P31" s="54">
        <v>44805</v>
      </c>
      <c r="Q31" s="6">
        <v>164.08</v>
      </c>
      <c r="R31" s="6">
        <v>3585.62</v>
      </c>
      <c r="S31" s="6">
        <v>10867.93</v>
      </c>
      <c r="T31" s="6">
        <v>30822.42</v>
      </c>
      <c r="U31" s="54">
        <v>44805</v>
      </c>
      <c r="V31" s="57">
        <f t="shared" si="3"/>
        <v>68.060394889663186</v>
      </c>
      <c r="W31" s="57">
        <f t="shared" si="0"/>
        <v>84.768634645345372</v>
      </c>
      <c r="X31" s="57">
        <f t="shared" si="1"/>
        <v>78.670511904529235</v>
      </c>
      <c r="Y31" s="57">
        <f t="shared" si="2"/>
        <v>89.264149877857889</v>
      </c>
    </row>
    <row r="32" spans="1:25" x14ac:dyDescent="0.25">
      <c r="A32" t="s">
        <v>40</v>
      </c>
      <c r="C32" s="13">
        <f>-G39</f>
        <v>-436836000000</v>
      </c>
      <c r="D32" s="5">
        <f>D30*D31</f>
        <v>17968786251.648151</v>
      </c>
      <c r="E32" s="5">
        <f t="shared" ref="E32:I32" si="13">E30*E31</f>
        <v>18011358553.684135</v>
      </c>
      <c r="F32" s="5">
        <f t="shared" si="13"/>
        <v>18382286841.740688</v>
      </c>
      <c r="G32" s="5">
        <f t="shared" si="13"/>
        <v>19765899829.828701</v>
      </c>
      <c r="H32" s="5">
        <f t="shared" si="13"/>
        <v>19992845645.261402</v>
      </c>
      <c r="I32" s="5">
        <f t="shared" si="13"/>
        <v>20420948627.758102</v>
      </c>
      <c r="J32" s="14">
        <f>M22</f>
        <v>1130210942660.3284</v>
      </c>
      <c r="P32" s="54">
        <v>44835</v>
      </c>
      <c r="Q32" s="6">
        <v>219.34</v>
      </c>
      <c r="R32" s="6">
        <v>3901.06</v>
      </c>
      <c r="S32" s="6">
        <v>11102.45</v>
      </c>
      <c r="T32" s="6">
        <v>32861.800000000003</v>
      </c>
      <c r="U32" s="54">
        <v>44835</v>
      </c>
      <c r="V32" s="57">
        <f t="shared" si="3"/>
        <v>90.982246557159442</v>
      </c>
      <c r="W32" s="57">
        <f t="shared" si="0"/>
        <v>92.226038975008791</v>
      </c>
      <c r="X32" s="57">
        <f t="shared" si="1"/>
        <v>80.368149674725601</v>
      </c>
      <c r="Y32" s="57">
        <f t="shared" si="2"/>
        <v>95.170354581379101</v>
      </c>
    </row>
    <row r="33" spans="1:25" x14ac:dyDescent="0.25">
      <c r="A33" t="s">
        <v>56</v>
      </c>
      <c r="C33" s="29">
        <v>-436836</v>
      </c>
      <c r="D33" s="24">
        <v>17969</v>
      </c>
      <c r="E33" s="24">
        <v>18011</v>
      </c>
      <c r="F33" s="24">
        <v>18382</v>
      </c>
      <c r="G33" s="24">
        <v>19766</v>
      </c>
      <c r="H33" s="24">
        <v>19993</v>
      </c>
      <c r="I33" s="24">
        <v>20421</v>
      </c>
      <c r="J33" s="24">
        <v>1130211</v>
      </c>
      <c r="P33" s="54">
        <v>44866</v>
      </c>
      <c r="Q33" s="6">
        <v>236.13</v>
      </c>
      <c r="R33" s="6">
        <v>4026.12</v>
      </c>
      <c r="S33" s="6">
        <v>11226.36</v>
      </c>
      <c r="T33" s="6">
        <v>34429.879999999997</v>
      </c>
      <c r="U33" s="54">
        <v>44866</v>
      </c>
      <c r="V33" s="57">
        <f t="shared" si="3"/>
        <v>97.94673967147834</v>
      </c>
      <c r="W33" s="57">
        <f t="shared" si="0"/>
        <v>95.182617042050737</v>
      </c>
      <c r="X33" s="57">
        <f t="shared" si="1"/>
        <v>81.2651064208668</v>
      </c>
      <c r="Y33" s="57">
        <f t="shared" si="2"/>
        <v>99.711637457300938</v>
      </c>
    </row>
    <row r="34" spans="1:25" x14ac:dyDescent="0.25">
      <c r="P34" s="54">
        <v>44896</v>
      </c>
      <c r="Q34" s="6">
        <v>239.56</v>
      </c>
      <c r="R34" s="6">
        <v>3839.5</v>
      </c>
      <c r="S34" s="6">
        <v>10466.48</v>
      </c>
      <c r="T34" s="6">
        <v>33203.93</v>
      </c>
      <c r="U34" s="54">
        <v>44896</v>
      </c>
      <c r="V34" s="57">
        <f t="shared" si="3"/>
        <v>99.369503899120616</v>
      </c>
      <c r="W34" s="57">
        <f t="shared" si="0"/>
        <v>90.770681979909639</v>
      </c>
      <c r="X34" s="57">
        <f t="shared" si="1"/>
        <v>75.764505240511951</v>
      </c>
      <c r="Y34" s="57">
        <f t="shared" si="2"/>
        <v>96.161189940760721</v>
      </c>
    </row>
    <row r="35" spans="1:25" x14ac:dyDescent="0.25">
      <c r="A35" s="3" t="s">
        <v>41</v>
      </c>
      <c r="F35" s="3" t="s">
        <v>31</v>
      </c>
      <c r="P35" s="54">
        <v>44927</v>
      </c>
      <c r="Q35" s="6">
        <v>264.54000000000002</v>
      </c>
      <c r="R35" s="6">
        <v>4070.56</v>
      </c>
      <c r="S35" s="6">
        <v>11140.43</v>
      </c>
      <c r="T35" s="6">
        <v>33375.49</v>
      </c>
      <c r="U35" s="54">
        <v>44927</v>
      </c>
      <c r="V35" s="57">
        <f t="shared" si="3"/>
        <v>109.73120955699353</v>
      </c>
      <c r="W35" s="57">
        <f t="shared" si="0"/>
        <v>96.233235379643432</v>
      </c>
      <c r="X35" s="57">
        <f t="shared" si="1"/>
        <v>80.643078390877989</v>
      </c>
      <c r="Y35" s="57">
        <f t="shared" si="2"/>
        <v>96.658041179341112</v>
      </c>
    </row>
    <row r="36" spans="1:25" x14ac:dyDescent="0.25">
      <c r="A36" s="13" t="s">
        <v>42</v>
      </c>
      <c r="B36" s="17">
        <f>SUM(D32:I32)</f>
        <v>114542125749.92119</v>
      </c>
      <c r="C36" t="s">
        <v>45</v>
      </c>
      <c r="F36" t="s">
        <v>33</v>
      </c>
      <c r="G36" s="15">
        <f>B13*B12</f>
        <v>403836000000</v>
      </c>
      <c r="H36" t="s">
        <v>34</v>
      </c>
      <c r="L36" s="3" t="s">
        <v>51</v>
      </c>
      <c r="P36" s="54">
        <v>44958</v>
      </c>
      <c r="Q36" s="6">
        <v>255.31</v>
      </c>
      <c r="R36" s="6">
        <v>4045.64</v>
      </c>
      <c r="S36" s="6">
        <v>11689.01</v>
      </c>
      <c r="T36" s="6">
        <v>32816.92</v>
      </c>
      <c r="U36" s="54">
        <v>44958</v>
      </c>
      <c r="V36" s="57">
        <f t="shared" si="3"/>
        <v>105.90260494441679</v>
      </c>
      <c r="W36" s="57">
        <f t="shared" si="0"/>
        <v>95.644094763693616</v>
      </c>
      <c r="X36" s="57">
        <f t="shared" si="1"/>
        <v>84.614126182001655</v>
      </c>
      <c r="Y36" s="57">
        <f t="shared" si="2"/>
        <v>95.040378575389994</v>
      </c>
    </row>
    <row r="37" spans="1:25" x14ac:dyDescent="0.25">
      <c r="A37" t="s">
        <v>11</v>
      </c>
      <c r="B37" s="19">
        <f>B15</f>
        <v>10000000000</v>
      </c>
      <c r="F37" t="s">
        <v>10</v>
      </c>
      <c r="G37" s="14">
        <f>B14</f>
        <v>43000000000</v>
      </c>
      <c r="L37" t="s">
        <v>52</v>
      </c>
      <c r="M37" s="21">
        <f>(B40/B12)-1</f>
        <v>0.5003034256607255</v>
      </c>
      <c r="P37" s="54">
        <v>44986</v>
      </c>
      <c r="Q37" s="6">
        <v>228.84</v>
      </c>
      <c r="R37" s="6">
        <v>3970.99</v>
      </c>
      <c r="S37" s="6">
        <v>11823.96</v>
      </c>
      <c r="T37" s="6">
        <v>33274.15</v>
      </c>
      <c r="U37" s="54">
        <v>44986</v>
      </c>
      <c r="V37" s="57">
        <f t="shared" si="3"/>
        <v>94.922847187655549</v>
      </c>
      <c r="W37" s="57">
        <f t="shared" si="0"/>
        <v>93.879273456283713</v>
      </c>
      <c r="X37" s="57">
        <f t="shared" si="1"/>
        <v>85.590999016250322</v>
      </c>
      <c r="Y37" s="57">
        <f t="shared" si="2"/>
        <v>96.364552577582344</v>
      </c>
    </row>
    <row r="38" spans="1:25" x14ac:dyDescent="0.25">
      <c r="A38" t="s">
        <v>10</v>
      </c>
      <c r="B38" s="19">
        <f>B14</f>
        <v>43000000000</v>
      </c>
      <c r="C38" s="3"/>
      <c r="F38" t="s">
        <v>11</v>
      </c>
      <c r="G38" s="14">
        <f>B15</f>
        <v>10000000000</v>
      </c>
      <c r="L38" t="s">
        <v>53</v>
      </c>
      <c r="M38" s="23">
        <f>IRR(C33:J33)</f>
        <v>0.17305706680373412</v>
      </c>
      <c r="N38" t="s">
        <v>57</v>
      </c>
      <c r="P38" s="54">
        <v>45017</v>
      </c>
      <c r="Q38" s="6">
        <v>218.8</v>
      </c>
      <c r="R38" s="6">
        <v>4133.5200000000004</v>
      </c>
      <c r="S38" s="6">
        <v>12072.46</v>
      </c>
      <c r="T38" s="6">
        <v>33808.959999999999</v>
      </c>
      <c r="U38" s="54">
        <v>45017</v>
      </c>
      <c r="V38" s="57">
        <f t="shared" si="3"/>
        <v>90.758254521320723</v>
      </c>
      <c r="W38" s="57">
        <f t="shared" si="0"/>
        <v>97.721690162155511</v>
      </c>
      <c r="X38" s="57">
        <f t="shared" si="1"/>
        <v>87.389834876278456</v>
      </c>
      <c r="Y38" s="57">
        <f t="shared" si="2"/>
        <v>97.913404354833347</v>
      </c>
    </row>
    <row r="39" spans="1:25" x14ac:dyDescent="0.25">
      <c r="A39" t="s">
        <v>44</v>
      </c>
      <c r="B39" s="17">
        <f>(((B36+B37)-B38)+(M22))/2</f>
        <v>605876534205.12476</v>
      </c>
      <c r="C39" t="s">
        <v>81</v>
      </c>
      <c r="F39" t="s">
        <v>30</v>
      </c>
      <c r="G39" s="13">
        <f>G36+G37-G38</f>
        <v>436836000000</v>
      </c>
      <c r="H39" t="s">
        <v>32</v>
      </c>
      <c r="P39" s="54">
        <v>45047</v>
      </c>
      <c r="Q39" s="6">
        <v>226.63</v>
      </c>
      <c r="R39" s="6">
        <v>4282.37</v>
      </c>
      <c r="S39" s="6">
        <v>13240.77</v>
      </c>
      <c r="T39" s="6">
        <v>33093.339999999997</v>
      </c>
      <c r="U39" s="54">
        <v>45047</v>
      </c>
      <c r="V39" s="57">
        <f t="shared" si="3"/>
        <v>94.006139040982234</v>
      </c>
      <c r="W39" s="57">
        <f t="shared" si="0"/>
        <v>101.2406942024497</v>
      </c>
      <c r="X39" s="57">
        <f t="shared" si="1"/>
        <v>95.846969377805479</v>
      </c>
      <c r="Y39" s="57">
        <f t="shared" si="2"/>
        <v>95.840912612277336</v>
      </c>
    </row>
    <row r="40" spans="1:25" x14ac:dyDescent="0.25">
      <c r="A40" t="s">
        <v>73</v>
      </c>
      <c r="B40" s="20">
        <f>B39/B13</f>
        <v>1314.2658008787955</v>
      </c>
      <c r="C40" t="s">
        <v>82</v>
      </c>
      <c r="F40" t="s">
        <v>48</v>
      </c>
      <c r="G40" s="16">
        <f>G39/B13</f>
        <v>947.58351409978309</v>
      </c>
      <c r="H40" t="s">
        <v>49</v>
      </c>
      <c r="L40" s="45" t="s">
        <v>101</v>
      </c>
      <c r="M40" s="46"/>
      <c r="P40" s="54">
        <v>45078</v>
      </c>
      <c r="Q40" s="6">
        <v>246.05</v>
      </c>
      <c r="R40" s="6">
        <v>4450.38</v>
      </c>
      <c r="S40" s="6">
        <v>13492.52</v>
      </c>
      <c r="T40" s="6">
        <v>33727.43</v>
      </c>
      <c r="U40" s="54">
        <v>45078</v>
      </c>
      <c r="V40" s="57">
        <f t="shared" si="3"/>
        <v>102.06155632984901</v>
      </c>
      <c r="W40" s="57">
        <f t="shared" si="0"/>
        <v>105.21266510476633</v>
      </c>
      <c r="X40" s="57">
        <f t="shared" si="1"/>
        <v>97.669331260147857</v>
      </c>
      <c r="Y40" s="57">
        <f t="shared" si="2"/>
        <v>97.677287069443636</v>
      </c>
    </row>
    <row r="41" spans="1:25" x14ac:dyDescent="0.25">
      <c r="A41" t="s">
        <v>46</v>
      </c>
      <c r="B41" s="22">
        <f>(B40/B12)-1</f>
        <v>0.5003034256607255</v>
      </c>
      <c r="C41" t="s">
        <v>47</v>
      </c>
      <c r="F41" t="s">
        <v>46</v>
      </c>
      <c r="G41" s="21">
        <f>(G40/B12)-1</f>
        <v>8.1716340296555945E-2</v>
      </c>
      <c r="H41" t="s">
        <v>50</v>
      </c>
      <c r="L41" s="47" t="s">
        <v>41</v>
      </c>
      <c r="M41" s="48">
        <f>B40</f>
        <v>1314.2658008787955</v>
      </c>
      <c r="P41" s="54">
        <v>45108</v>
      </c>
      <c r="Q41" s="6">
        <v>260.43</v>
      </c>
      <c r="R41" s="6">
        <v>4582.2299999999996</v>
      </c>
      <c r="S41" s="6">
        <v>14032.81</v>
      </c>
      <c r="T41" s="6">
        <v>35065.620000000003</v>
      </c>
      <c r="U41" s="54">
        <v>45108</v>
      </c>
      <c r="V41" s="57">
        <f t="shared" si="3"/>
        <v>108.026381284221</v>
      </c>
      <c r="W41" s="57">
        <f t="shared" si="0"/>
        <v>108.32976744076086</v>
      </c>
      <c r="X41" s="57">
        <f t="shared" si="1"/>
        <v>101.58036959742995</v>
      </c>
      <c r="Y41" s="57">
        <f t="shared" si="2"/>
        <v>101.5527904440992</v>
      </c>
    </row>
    <row r="42" spans="1:25" x14ac:dyDescent="0.25">
      <c r="L42" s="47" t="s">
        <v>8</v>
      </c>
      <c r="M42" s="48">
        <f>B12</f>
        <v>876</v>
      </c>
      <c r="P42" s="54">
        <v>45139</v>
      </c>
      <c r="Q42" s="6">
        <v>286.25</v>
      </c>
      <c r="R42" s="6">
        <v>4515.7700000000004</v>
      </c>
      <c r="S42" s="6">
        <v>13590.65</v>
      </c>
      <c r="T42" s="6">
        <v>34837.71</v>
      </c>
      <c r="U42" s="54">
        <v>45139</v>
      </c>
      <c r="V42" s="57">
        <f t="shared" si="3"/>
        <v>118.73651899784304</v>
      </c>
      <c r="W42" s="57">
        <f t="shared" si="0"/>
        <v>106.75856818971651</v>
      </c>
      <c r="X42" s="57">
        <f t="shared" si="1"/>
        <v>98.379672358516316</v>
      </c>
      <c r="Y42" s="57">
        <f t="shared" si="2"/>
        <v>100.89274517839119</v>
      </c>
    </row>
    <row r="43" spans="1:25" x14ac:dyDescent="0.25">
      <c r="L43" s="47" t="s">
        <v>102</v>
      </c>
      <c r="M43" s="48">
        <f>(B40-B12)</f>
        <v>438.26580087879552</v>
      </c>
      <c r="P43" s="54">
        <v>45170</v>
      </c>
      <c r="Q43" s="6">
        <v>273</v>
      </c>
      <c r="R43" s="6">
        <v>4320.0600000000004</v>
      </c>
      <c r="S43" s="6">
        <v>13211.81</v>
      </c>
      <c r="T43" s="6">
        <v>33507.5</v>
      </c>
      <c r="U43" s="54">
        <v>45170</v>
      </c>
      <c r="V43" s="57">
        <f t="shared" si="3"/>
        <v>113.24041811846691</v>
      </c>
      <c r="W43" s="57">
        <f t="shared" si="0"/>
        <v>102.13173392215873</v>
      </c>
      <c r="X43" s="57">
        <f t="shared" si="1"/>
        <v>95.637334422045257</v>
      </c>
      <c r="Y43" s="57">
        <f t="shared" si="2"/>
        <v>97.040352510682908</v>
      </c>
    </row>
    <row r="44" spans="1:25" x14ac:dyDescent="0.25">
      <c r="L44" s="47" t="s">
        <v>103</v>
      </c>
      <c r="M44" s="52">
        <f>((B40-B12)/(B12))</f>
        <v>0.5003034256607255</v>
      </c>
      <c r="P44" s="54">
        <v>45200</v>
      </c>
      <c r="Q44" s="6">
        <v>238.56</v>
      </c>
      <c r="R44" s="6">
        <v>4117.37</v>
      </c>
      <c r="S44" s="6">
        <v>12643.01</v>
      </c>
      <c r="T44" s="6">
        <v>34061.32</v>
      </c>
      <c r="U44" s="54">
        <v>45200</v>
      </c>
      <c r="V44" s="57">
        <f t="shared" si="3"/>
        <v>98.954703832752614</v>
      </c>
      <c r="W44" s="57">
        <f t="shared" si="0"/>
        <v>97.339883543070854</v>
      </c>
      <c r="X44" s="57">
        <f t="shared" si="1"/>
        <v>91.519918578246461</v>
      </c>
      <c r="Y44" s="57">
        <f t="shared" si="2"/>
        <v>98.644258741451139</v>
      </c>
    </row>
    <row r="45" spans="1:25" x14ac:dyDescent="0.25">
      <c r="L45" s="50"/>
      <c r="M45" s="49"/>
      <c r="P45" s="54">
        <v>45231</v>
      </c>
      <c r="Q45" s="6">
        <v>256.76</v>
      </c>
      <c r="R45" s="6">
        <v>4559.34</v>
      </c>
      <c r="S45" s="6">
        <v>14250.85</v>
      </c>
      <c r="T45" s="6">
        <v>36245.5</v>
      </c>
      <c r="U45" s="54">
        <v>45231</v>
      </c>
      <c r="V45" s="57">
        <f t="shared" si="3"/>
        <v>106.5040650406504</v>
      </c>
      <c r="W45" s="57">
        <f t="shared" si="0"/>
        <v>107.78861861655977</v>
      </c>
      <c r="X45" s="57">
        <f t="shared" si="1"/>
        <v>103.15871233755283</v>
      </c>
      <c r="Y45" s="57">
        <f t="shared" si="2"/>
        <v>104.96981562115818</v>
      </c>
    </row>
    <row r="46" spans="1:25" x14ac:dyDescent="0.25">
      <c r="L46" s="50" t="s">
        <v>54</v>
      </c>
      <c r="M46" s="48"/>
      <c r="P46" s="54">
        <v>45261</v>
      </c>
      <c r="Q46" s="6">
        <v>295.67</v>
      </c>
      <c r="R46" s="6">
        <v>4769.83</v>
      </c>
      <c r="S46" s="6">
        <v>14992.97</v>
      </c>
      <c r="T46" s="6">
        <v>37689.54</v>
      </c>
      <c r="U46" s="54">
        <v>45261</v>
      </c>
      <c r="V46" s="57">
        <f t="shared" si="3"/>
        <v>122.64393562302971</v>
      </c>
      <c r="W46" s="57">
        <f t="shared" si="0"/>
        <v>112.76487095409099</v>
      </c>
      <c r="X46" s="57">
        <f t="shared" si="1"/>
        <v>108.53075285443039</v>
      </c>
      <c r="Y46" s="57">
        <f t="shared" si="2"/>
        <v>109.15186891189985</v>
      </c>
    </row>
    <row r="47" spans="1:25" x14ac:dyDescent="0.25">
      <c r="L47" s="47" t="s">
        <v>41</v>
      </c>
      <c r="M47" s="48">
        <f>B40</f>
        <v>1314.2658008787955</v>
      </c>
      <c r="P47" s="54">
        <v>45292</v>
      </c>
      <c r="Q47" s="6">
        <v>315.08999999999997</v>
      </c>
      <c r="R47" s="6">
        <v>4958.6099999999997</v>
      </c>
      <c r="S47" s="6">
        <v>15628.95</v>
      </c>
      <c r="T47" s="6">
        <v>38109.43</v>
      </c>
      <c r="U47" s="54">
        <v>45292</v>
      </c>
      <c r="V47" s="57">
        <f t="shared" si="3"/>
        <v>130.69935291189645</v>
      </c>
      <c r="W47" s="57">
        <f t="shared" si="0"/>
        <v>117.22787117395485</v>
      </c>
      <c r="X47" s="57">
        <f t="shared" si="1"/>
        <v>113.13446967640499</v>
      </c>
      <c r="Y47" s="57">
        <f t="shared" si="2"/>
        <v>110.36790334048183</v>
      </c>
    </row>
    <row r="48" spans="1:25" x14ac:dyDescent="0.25">
      <c r="L48" s="47" t="s">
        <v>31</v>
      </c>
      <c r="M48" s="48">
        <f>G40</f>
        <v>947.58351409978309</v>
      </c>
      <c r="P48" s="54">
        <v>45323</v>
      </c>
      <c r="Q48" s="6">
        <v>336.7</v>
      </c>
      <c r="R48" s="6">
        <v>5137.08</v>
      </c>
      <c r="S48" s="6">
        <v>16274.94</v>
      </c>
      <c r="T48" s="6">
        <v>39087.379999999997</v>
      </c>
      <c r="U48" s="54">
        <v>45323</v>
      </c>
      <c r="V48" s="57">
        <f t="shared" si="3"/>
        <v>139.66318234610918</v>
      </c>
      <c r="W48" s="57">
        <f t="shared" si="0"/>
        <v>121.44712983079937</v>
      </c>
      <c r="X48" s="57">
        <f t="shared" si="1"/>
        <v>117.8106466471075</v>
      </c>
      <c r="Y48" s="57">
        <f t="shared" si="2"/>
        <v>113.20012337294688</v>
      </c>
    </row>
    <row r="49" spans="12:25" x14ac:dyDescent="0.25">
      <c r="L49" s="47" t="s">
        <v>102</v>
      </c>
      <c r="M49" s="48">
        <f>-(G40-B40)</f>
        <v>366.68228677901243</v>
      </c>
      <c r="P49" s="54">
        <v>45352</v>
      </c>
      <c r="Q49" s="6">
        <v>366.43</v>
      </c>
      <c r="R49" s="6">
        <v>5234.18</v>
      </c>
      <c r="S49" s="6">
        <v>16428.82</v>
      </c>
      <c r="T49" s="6">
        <v>39807.370000000003</v>
      </c>
      <c r="U49" s="54">
        <v>45352</v>
      </c>
      <c r="V49" s="57">
        <f t="shared" si="3"/>
        <v>151.99518831923012</v>
      </c>
      <c r="W49" s="57">
        <f t="shared" si="0"/>
        <v>123.74269780065201</v>
      </c>
      <c r="X49" s="57">
        <f t="shared" si="1"/>
        <v>118.92454951286658</v>
      </c>
      <c r="Y49" s="57">
        <f t="shared" si="2"/>
        <v>115.28527097883112</v>
      </c>
    </row>
    <row r="50" spans="12:25" x14ac:dyDescent="0.25">
      <c r="L50" s="51" t="s">
        <v>103</v>
      </c>
      <c r="M50" s="53">
        <f>((B40-G40)/(G40))</f>
        <v>0.38696566721864667</v>
      </c>
      <c r="P50" s="54">
        <v>45383</v>
      </c>
      <c r="Q50" s="6">
        <v>336.75</v>
      </c>
      <c r="R50" s="6">
        <v>4967.2299999999996</v>
      </c>
      <c r="S50" s="6">
        <v>15282.01</v>
      </c>
      <c r="T50" s="6">
        <v>37986.400000000001</v>
      </c>
      <c r="U50" s="54">
        <v>45383</v>
      </c>
      <c r="V50" s="57">
        <f t="shared" si="3"/>
        <v>139.68392234942758</v>
      </c>
      <c r="W50" s="57">
        <f t="shared" si="0"/>
        <v>117.43165897931149</v>
      </c>
      <c r="X50" s="57">
        <f t="shared" si="1"/>
        <v>110.62304869741844</v>
      </c>
      <c r="Y50" s="57">
        <f t="shared" si="2"/>
        <v>110.01159879465212</v>
      </c>
    </row>
    <row r="51" spans="12:25" x14ac:dyDescent="0.25">
      <c r="P51" s="54">
        <v>45413</v>
      </c>
      <c r="Q51" s="6">
        <v>338.52</v>
      </c>
      <c r="R51" s="6">
        <v>5277.51</v>
      </c>
      <c r="S51" s="6">
        <v>16735.02</v>
      </c>
      <c r="T51" s="6">
        <v>38686.32</v>
      </c>
      <c r="U51" s="54">
        <v>45413</v>
      </c>
      <c r="V51" s="57">
        <f t="shared" si="3"/>
        <v>140.41811846689893</v>
      </c>
      <c r="W51" s="57">
        <f t="shared" si="0"/>
        <v>124.76707432108162</v>
      </c>
      <c r="X51" s="57">
        <f t="shared" si="1"/>
        <v>121.14106275367386</v>
      </c>
      <c r="Y51" s="57">
        <f t="shared" si="2"/>
        <v>112.03862210374045</v>
      </c>
    </row>
    <row r="52" spans="12:25" x14ac:dyDescent="0.25">
      <c r="P52" s="54">
        <v>45444</v>
      </c>
      <c r="Q52" s="6">
        <v>333.1</v>
      </c>
      <c r="R52" s="6">
        <v>5464.62</v>
      </c>
      <c r="S52" s="6">
        <v>17689.36</v>
      </c>
      <c r="T52" s="6">
        <v>39150.33</v>
      </c>
      <c r="U52" s="54">
        <v>45444</v>
      </c>
      <c r="V52" s="57">
        <f t="shared" si="3"/>
        <v>138.16990210718433</v>
      </c>
      <c r="W52" s="57">
        <f t="shared" si="0"/>
        <v>129.19059360881724</v>
      </c>
      <c r="X52" s="57">
        <f t="shared" si="1"/>
        <v>128.04931633379155</v>
      </c>
      <c r="Y52" s="57">
        <f t="shared" si="2"/>
        <v>113.38243151860226</v>
      </c>
    </row>
    <row r="53" spans="12:25" x14ac:dyDescent="0.25">
      <c r="P53" s="54">
        <v>45474</v>
      </c>
      <c r="Q53" s="6">
        <v>320.87</v>
      </c>
      <c r="R53" s="6">
        <v>5459.1</v>
      </c>
      <c r="S53" s="6">
        <v>17357.88</v>
      </c>
      <c r="T53" s="6">
        <v>40287.53</v>
      </c>
      <c r="U53" s="54">
        <v>45474</v>
      </c>
      <c r="V53" s="57">
        <f t="shared" si="3"/>
        <v>133.09689729550357</v>
      </c>
      <c r="W53" s="57">
        <f t="shared" si="0"/>
        <v>129.06009376130348</v>
      </c>
      <c r="X53" s="57">
        <f t="shared" si="1"/>
        <v>125.64980683325986</v>
      </c>
      <c r="Y53" s="57">
        <f t="shared" si="2"/>
        <v>116.67585206251476</v>
      </c>
    </row>
    <row r="54" spans="12:25" x14ac:dyDescent="0.25">
      <c r="P54" s="54">
        <v>45505</v>
      </c>
      <c r="Q54" s="6">
        <v>356.1</v>
      </c>
      <c r="R54" s="6">
        <v>5648.4</v>
      </c>
      <c r="S54" s="6">
        <v>17877.79</v>
      </c>
      <c r="T54" s="6">
        <v>41175.08</v>
      </c>
      <c r="U54" s="54">
        <v>45505</v>
      </c>
      <c r="V54" s="57">
        <f t="shared" si="3"/>
        <v>147.71030363364858</v>
      </c>
      <c r="W54" s="57">
        <f t="shared" si="0"/>
        <v>133.53538744506358</v>
      </c>
      <c r="X54" s="57">
        <f t="shared" si="1"/>
        <v>129.41331891369137</v>
      </c>
      <c r="Y54" s="57">
        <f t="shared" si="2"/>
        <v>119.24626659272015</v>
      </c>
    </row>
    <row r="55" spans="12:25" x14ac:dyDescent="0.25">
      <c r="P55" s="54">
        <v>45536</v>
      </c>
      <c r="Q55" s="6">
        <v>397.09</v>
      </c>
      <c r="R55" s="6">
        <v>5751.07</v>
      </c>
      <c r="S55" s="6">
        <v>18137.849999999999</v>
      </c>
      <c r="T55" s="6">
        <v>42313</v>
      </c>
      <c r="U55" s="54">
        <v>45536</v>
      </c>
      <c r="V55" s="57">
        <f t="shared" si="3"/>
        <v>164.71295835407332</v>
      </c>
      <c r="W55" s="57">
        <f t="shared" si="0"/>
        <v>135.96263732626613</v>
      </c>
      <c r="X55" s="57">
        <f t="shared" si="1"/>
        <v>131.29583502539722</v>
      </c>
      <c r="Y55" s="57">
        <f t="shared" si="2"/>
        <v>122.54177231319932</v>
      </c>
    </row>
    <row r="56" spans="12:25" x14ac:dyDescent="0.25">
      <c r="P56" s="54">
        <v>45566</v>
      </c>
      <c r="Q56" s="6">
        <v>379.63</v>
      </c>
      <c r="R56" s="6">
        <v>5728.8</v>
      </c>
      <c r="S56" s="6">
        <v>18518.61</v>
      </c>
      <c r="T56" s="6">
        <v>42052.19</v>
      </c>
      <c r="U56" s="54">
        <v>45566</v>
      </c>
      <c r="V56" s="57">
        <f t="shared" si="3"/>
        <v>157.47054919528787</v>
      </c>
      <c r="W56" s="57">
        <f t="shared" si="0"/>
        <v>135.43614609363362</v>
      </c>
      <c r="X56" s="57">
        <f t="shared" si="1"/>
        <v>134.05207141197394</v>
      </c>
      <c r="Y56" s="57">
        <f t="shared" si="2"/>
        <v>121.78644606270881</v>
      </c>
    </row>
    <row r="57" spans="12:25" x14ac:dyDescent="0.25">
      <c r="P57" s="54">
        <v>45597</v>
      </c>
      <c r="Q57" s="6">
        <v>406.11</v>
      </c>
      <c r="R57" s="6">
        <v>5969.34</v>
      </c>
      <c r="S57" s="6">
        <v>19003.650000000001</v>
      </c>
      <c r="T57" s="6">
        <v>44296.51</v>
      </c>
      <c r="U57" s="54">
        <v>45597</v>
      </c>
      <c r="V57" s="57">
        <f t="shared" si="3"/>
        <v>168.45445495271278</v>
      </c>
      <c r="W57" s="57">
        <f t="shared" si="0"/>
        <v>141.1228187967063</v>
      </c>
      <c r="X57" s="57">
        <f t="shared" si="1"/>
        <v>137.5631673699138</v>
      </c>
      <c r="Y57" s="57">
        <f t="shared" si="2"/>
        <v>128.28617310730408</v>
      </c>
    </row>
    <row r="58" spans="12:25" x14ac:dyDescent="0.25">
      <c r="P58" s="54">
        <v>45627</v>
      </c>
      <c r="Q58" s="6">
        <v>364.86</v>
      </c>
      <c r="R58" s="6">
        <v>5942.47</v>
      </c>
      <c r="S58" s="6">
        <v>19722.03</v>
      </c>
      <c r="T58" s="6">
        <v>42840.26</v>
      </c>
      <c r="U58" s="54">
        <v>45627</v>
      </c>
      <c r="V58" s="57">
        <f t="shared" si="3"/>
        <v>151.34395221503237</v>
      </c>
      <c r="W58" s="57">
        <f t="shared" si="0"/>
        <v>140.48757769114565</v>
      </c>
      <c r="X58" s="57">
        <f t="shared" si="1"/>
        <v>142.76335934225582</v>
      </c>
      <c r="Y58" s="57">
        <f t="shared" si="2"/>
        <v>124.06875869728596</v>
      </c>
    </row>
    <row r="59" spans="12:25" x14ac:dyDescent="0.25">
      <c r="P59" s="54">
        <v>45658</v>
      </c>
      <c r="Q59" s="6">
        <v>407.63</v>
      </c>
      <c r="R59" s="6">
        <v>6040.53</v>
      </c>
      <c r="S59" s="6">
        <v>19627.439999999999</v>
      </c>
      <c r="T59" s="6">
        <v>44424.25</v>
      </c>
      <c r="U59" s="54">
        <v>45658</v>
      </c>
      <c r="V59" s="57">
        <f t="shared" si="3"/>
        <v>169.08495105359216</v>
      </c>
      <c r="W59" s="57">
        <f t="shared" si="0"/>
        <v>142.80584128665282</v>
      </c>
      <c r="X59" s="57">
        <f t="shared" si="1"/>
        <v>142.07864351126969</v>
      </c>
      <c r="Y59" s="57">
        <f t="shared" si="2"/>
        <v>128.65611818317407</v>
      </c>
    </row>
    <row r="60" spans="12:25" x14ac:dyDescent="0.25">
      <c r="P60" s="54">
        <v>45689</v>
      </c>
      <c r="Q60" s="6">
        <v>343.95</v>
      </c>
      <c r="R60" s="6">
        <v>5954.5</v>
      </c>
      <c r="S60" s="6">
        <v>19524.009999999998</v>
      </c>
      <c r="T60" s="6">
        <v>43840.91</v>
      </c>
      <c r="U60" s="54">
        <v>45689</v>
      </c>
      <c r="V60" s="57">
        <f t="shared" si="3"/>
        <v>142.67048282727723</v>
      </c>
      <c r="W60" s="57">
        <f t="shared" si="0"/>
        <v>140.77198225012944</v>
      </c>
      <c r="X60" s="57">
        <f t="shared" si="1"/>
        <v>141.32993689958874</v>
      </c>
      <c r="Y60" s="57">
        <f t="shared" si="2"/>
        <v>126.9667197131724</v>
      </c>
    </row>
    <row r="61" spans="12:25" x14ac:dyDescent="0.25">
      <c r="P61" s="54">
        <v>45717</v>
      </c>
      <c r="Q61" s="6">
        <v>288.08</v>
      </c>
      <c r="R61" s="6">
        <v>5074.08</v>
      </c>
      <c r="S61" s="6">
        <v>15587.79</v>
      </c>
      <c r="T61" s="6">
        <v>38314.86</v>
      </c>
      <c r="U61" s="54">
        <v>45717</v>
      </c>
      <c r="V61" s="57">
        <f t="shared" si="3"/>
        <v>119.49560311929648</v>
      </c>
      <c r="W61" s="57">
        <f t="shared" si="0"/>
        <v>119.95772939721836</v>
      </c>
      <c r="X61" s="57">
        <f t="shared" si="1"/>
        <v>112.83652165226512</v>
      </c>
      <c r="Y61" s="57">
        <f t="shared" si="2"/>
        <v>110.96284476005268</v>
      </c>
    </row>
    <row r="62" spans="12:25" x14ac:dyDescent="0.25">
      <c r="P62" s="54">
        <v>45748</v>
      </c>
      <c r="Q62" s="6">
        <v>323.68</v>
      </c>
      <c r="R62" s="6">
        <v>5282.7</v>
      </c>
      <c r="S62" s="6">
        <v>16286.45</v>
      </c>
      <c r="T62" s="6">
        <v>39142.230000000003</v>
      </c>
      <c r="U62" s="54">
        <v>45748</v>
      </c>
      <c r="V62" s="57">
        <f t="shared" si="3"/>
        <v>134.26248548199766</v>
      </c>
      <c r="W62" s="57">
        <f t="shared" si="0"/>
        <v>124.88977254727662</v>
      </c>
      <c r="X62" s="57">
        <f t="shared" si="1"/>
        <v>117.89396495998044</v>
      </c>
      <c r="Y62" s="57">
        <f t="shared" si="2"/>
        <v>113.35897328222721</v>
      </c>
    </row>
    <row r="63" spans="12:25" x14ac:dyDescent="0.25">
      <c r="P63" s="54">
        <v>45778</v>
      </c>
      <c r="Q63" s="6">
        <v>348.03</v>
      </c>
      <c r="R63" s="6">
        <v>5802.82</v>
      </c>
      <c r="S63" s="6">
        <v>19113.77</v>
      </c>
      <c r="T63" s="6">
        <v>41603.07</v>
      </c>
      <c r="U63" s="54">
        <v>45778</v>
      </c>
      <c r="V63" s="57">
        <f t="shared" si="3"/>
        <v>144.36286709805873</v>
      </c>
      <c r="W63" s="57">
        <f t="shared" si="0"/>
        <v>137.18607339670768</v>
      </c>
      <c r="X63" s="57">
        <f t="shared" si="1"/>
        <v>138.36030139368157</v>
      </c>
      <c r="Y63" s="57">
        <f t="shared" si="2"/>
        <v>120.48575925767715</v>
      </c>
    </row>
    <row r="64" spans="12:25" x14ac:dyDescent="0.25">
      <c r="P64" s="54">
        <v>45809</v>
      </c>
      <c r="Q64" s="6">
        <v>397.86</v>
      </c>
      <c r="R64" s="6">
        <v>6279.35</v>
      </c>
      <c r="S64" s="6">
        <v>19447.41</v>
      </c>
      <c r="T64" s="6">
        <v>42206.82</v>
      </c>
      <c r="U64" s="54">
        <v>45809</v>
      </c>
      <c r="V64" s="57">
        <f t="shared" si="3"/>
        <v>165.0323544051767</v>
      </c>
      <c r="W64" s="57">
        <f t="shared" si="0"/>
        <v>148.45185099376107</v>
      </c>
      <c r="X64" s="57">
        <f t="shared" si="1"/>
        <v>140.7754466505821</v>
      </c>
      <c r="Y64" s="57">
        <f t="shared" si="2"/>
        <v>122.2342666911868</v>
      </c>
    </row>
    <row r="65" spans="16:25" x14ac:dyDescent="0.25">
      <c r="P65" s="54">
        <v>45839</v>
      </c>
      <c r="Q65" s="6">
        <v>428.69</v>
      </c>
      <c r="R65" s="6">
        <v>6238.01</v>
      </c>
      <c r="S65" s="6">
        <v>20650.13</v>
      </c>
      <c r="T65" s="6">
        <v>44901.919999999998</v>
      </c>
      <c r="U65" s="54">
        <v>45839</v>
      </c>
      <c r="V65" s="57">
        <f t="shared" si="3"/>
        <v>177.82064045130247</v>
      </c>
      <c r="W65" s="57">
        <f t="shared" si="0"/>
        <v>147.47452061401123</v>
      </c>
      <c r="X65" s="57">
        <f t="shared" si="1"/>
        <v>149.48166743759631</v>
      </c>
      <c r="Y65" s="57">
        <f t="shared" si="2"/>
        <v>130.03948803123131</v>
      </c>
    </row>
    <row r="66" spans="16:25" x14ac:dyDescent="0.25">
      <c r="P66" s="54">
        <v>45870</v>
      </c>
      <c r="Q66" s="6">
        <v>419.04</v>
      </c>
      <c r="R66" s="6">
        <v>6460.26</v>
      </c>
      <c r="S66" s="6">
        <v>21496.54</v>
      </c>
      <c r="T66" s="6">
        <v>45544.88</v>
      </c>
      <c r="U66" s="54">
        <v>45870</v>
      </c>
      <c r="V66" s="57">
        <f t="shared" si="3"/>
        <v>173.81781981085115</v>
      </c>
      <c r="W66" s="57">
        <f t="shared" si="0"/>
        <v>152.72879436581093</v>
      </c>
      <c r="X66" s="57">
        <f t="shared" si="1"/>
        <v>155.60863991359795</v>
      </c>
      <c r="Y66" s="57">
        <f t="shared" si="2"/>
        <v>131.90155070526754</v>
      </c>
    </row>
    <row r="67" spans="16:25" x14ac:dyDescent="0.25">
      <c r="P67" s="54">
        <v>45901</v>
      </c>
      <c r="Q67" s="6">
        <v>497.85</v>
      </c>
      <c r="R67" s="6">
        <v>6715.79</v>
      </c>
      <c r="S67" s="6">
        <v>22780.51</v>
      </c>
      <c r="T67" s="6">
        <v>46758.28</v>
      </c>
      <c r="U67" s="54">
        <v>45901</v>
      </c>
      <c r="V67" s="57">
        <f t="shared" si="3"/>
        <v>206.50821304131409</v>
      </c>
      <c r="W67" s="57">
        <f t="shared" si="0"/>
        <v>158.76984980696895</v>
      </c>
      <c r="X67" s="57">
        <f t="shared" si="1"/>
        <v>164.90301125846844</v>
      </c>
      <c r="Y67" s="57">
        <f t="shared" si="2"/>
        <v>135.41565243581928</v>
      </c>
    </row>
    <row r="68" spans="16:25" x14ac:dyDescent="0.25">
      <c r="P68" s="54">
        <v>45931</v>
      </c>
      <c r="Q68" s="6">
        <v>577.26</v>
      </c>
      <c r="R68" s="6">
        <v>6840.2</v>
      </c>
      <c r="S68" s="6">
        <v>23204.87</v>
      </c>
      <c r="T68" s="6">
        <v>47207.12</v>
      </c>
      <c r="U68" s="54">
        <v>45931</v>
      </c>
      <c r="V68" s="57">
        <f t="shared" si="3"/>
        <v>239.4474863115978</v>
      </c>
      <c r="W68" s="57">
        <f t="shared" si="0"/>
        <v>161.71106104414062</v>
      </c>
      <c r="X68" s="57">
        <f t="shared" si="1"/>
        <v>167.97485828286096</v>
      </c>
      <c r="Y68" s="57">
        <f t="shared" si="2"/>
        <v>136.71552833885278</v>
      </c>
    </row>
    <row r="69" spans="16:25" x14ac:dyDescent="0.25">
      <c r="P69" s="54">
        <v>45962</v>
      </c>
      <c r="Q69" s="6">
        <v>575.76</v>
      </c>
      <c r="R69" s="6">
        <v>6849.09</v>
      </c>
      <c r="S69" s="6">
        <v>23365.69</v>
      </c>
      <c r="T69" s="6">
        <v>46245.41</v>
      </c>
      <c r="U69" s="54">
        <v>45962</v>
      </c>
      <c r="V69" s="57">
        <f t="shared" si="3"/>
        <v>238.82528621204577</v>
      </c>
      <c r="W69" s="57">
        <f t="shared" si="0"/>
        <v>161.9212319942126</v>
      </c>
      <c r="X69" s="57">
        <f t="shared" si="1"/>
        <v>169.13899825473106</v>
      </c>
      <c r="Y69" s="57">
        <f t="shared" si="2"/>
        <v>133.93034062228043</v>
      </c>
    </row>
    <row r="70" spans="16:25" x14ac:dyDescent="0.25">
      <c r="P70" s="54">
        <v>45992</v>
      </c>
      <c r="Q70" s="6">
        <v>598.41</v>
      </c>
      <c r="R70" s="6">
        <v>6929.94</v>
      </c>
      <c r="S70" s="6">
        <v>23593.1</v>
      </c>
      <c r="T70" s="6">
        <v>48134.89</v>
      </c>
      <c r="U70" s="54">
        <v>45992</v>
      </c>
      <c r="V70" s="57">
        <f t="shared" si="3"/>
        <v>248.2205077152812</v>
      </c>
      <c r="W70" s="57">
        <f t="shared" si="0"/>
        <v>163.83262921730824</v>
      </c>
      <c r="X70" s="57">
        <f t="shared" si="1"/>
        <v>170.78516832687995</v>
      </c>
      <c r="Y70" s="57">
        <f t="shared" si="2"/>
        <v>139.40242314893518</v>
      </c>
    </row>
    <row r="71" spans="16:25" x14ac:dyDescent="0.25">
      <c r="P71" s="54">
        <v>46023</v>
      </c>
      <c r="Q71" s="6">
        <v>657.36</v>
      </c>
      <c r="R71" s="6">
        <v>6939.03</v>
      </c>
      <c r="S71" s="6">
        <v>23461.82</v>
      </c>
      <c r="T71" s="6">
        <v>49098.71</v>
      </c>
      <c r="U71" s="54">
        <v>46023</v>
      </c>
      <c r="V71" s="57">
        <f t="shared" si="3"/>
        <v>272.67297162767545</v>
      </c>
      <c r="W71" s="57">
        <f t="shared" si="0"/>
        <v>164.04752842272492</v>
      </c>
      <c r="X71" s="57">
        <f t="shared" si="1"/>
        <v>169.83486180090614</v>
      </c>
      <c r="Y71" s="57">
        <f t="shared" si="2"/>
        <v>142.19372159127934</v>
      </c>
    </row>
    <row r="72" spans="16:25" x14ac:dyDescent="0.25">
      <c r="P72" s="54">
        <v>46054</v>
      </c>
      <c r="Q72" s="6">
        <v>742.83</v>
      </c>
      <c r="R72" s="6">
        <v>6909.51</v>
      </c>
      <c r="S72" s="6">
        <v>22668.21</v>
      </c>
      <c r="T72" s="6">
        <v>48977.919999999998</v>
      </c>
      <c r="U72" s="54">
        <v>46054</v>
      </c>
      <c r="V72" s="57">
        <f t="shared" si="3"/>
        <v>308.12593330014931</v>
      </c>
      <c r="W72" s="57">
        <f t="shared" si="0"/>
        <v>163.34963793384699</v>
      </c>
      <c r="X72" s="57">
        <f t="shared" si="1"/>
        <v>164.09009670280989</v>
      </c>
      <c r="Y72" s="57">
        <f t="shared" si="2"/>
        <v>141.8439042614348</v>
      </c>
    </row>
    <row r="73" spans="16:25" x14ac:dyDescent="0.25">
      <c r="P73" s="54">
        <v>46082</v>
      </c>
      <c r="Q73" s="6">
        <v>695.4</v>
      </c>
      <c r="R73" s="6">
        <v>6368.85</v>
      </c>
      <c r="S73" s="6">
        <v>20948.36</v>
      </c>
      <c r="T73" s="6">
        <v>45577.47</v>
      </c>
      <c r="U73" s="54">
        <v>46082</v>
      </c>
      <c r="V73" s="57">
        <f t="shared" si="3"/>
        <v>288.45196615231458</v>
      </c>
      <c r="W73" s="57">
        <f t="shared" si="0"/>
        <v>150.56774526051504</v>
      </c>
      <c r="X73" s="57">
        <f t="shared" si="1"/>
        <v>151.64048763291299</v>
      </c>
      <c r="Y73" s="57">
        <f t="shared" si="2"/>
        <v>131.99593390569501</v>
      </c>
    </row>
    <row r="74" spans="16:25" x14ac:dyDescent="0.25">
      <c r="P74" s="54">
        <v>46113</v>
      </c>
      <c r="Q74" s="6">
        <v>889.67</v>
      </c>
      <c r="R74" s="6">
        <v>7123.06</v>
      </c>
      <c r="S74" s="6">
        <v>24468.48</v>
      </c>
      <c r="T74" s="6">
        <v>49447.43</v>
      </c>
      <c r="U74" s="54">
        <v>46113</v>
      </c>
      <c r="V74" s="57">
        <f t="shared" si="3"/>
        <v>369.03517504562797</v>
      </c>
      <c r="W74" s="57">
        <f t="shared" si="0"/>
        <v>168.39823257815215</v>
      </c>
      <c r="X74" s="57">
        <f t="shared" si="1"/>
        <v>177.12184814640278</v>
      </c>
      <c r="Y74" s="57">
        <f t="shared" si="2"/>
        <v>143.20364210840313</v>
      </c>
    </row>
    <row r="75" spans="16:25" x14ac:dyDescent="0.25">
      <c r="P75" s="54">
        <v>46143</v>
      </c>
      <c r="Q75" s="58">
        <v>875.87</v>
      </c>
      <c r="R75" s="6">
        <v>7473.47</v>
      </c>
      <c r="S75" s="6">
        <v>26343.97</v>
      </c>
      <c r="T75" s="6">
        <v>50579.7</v>
      </c>
      <c r="U75" s="54">
        <v>46143</v>
      </c>
      <c r="V75" s="57">
        <f t="shared" si="3"/>
        <v>363.31093412974946</v>
      </c>
      <c r="W75" s="57">
        <f t="shared" si="0"/>
        <v>176.68237235483664</v>
      </c>
      <c r="X75" s="57">
        <f t="shared" si="1"/>
        <v>190.69810032798895</v>
      </c>
      <c r="Y75" s="57">
        <f t="shared" si="2"/>
        <v>146.48278498499107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40CF-6D1C-4140-BB0A-CB2E77A07F01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2026-05-14T15:37:58Z</cp:lastPrinted>
  <dcterms:created xsi:type="dcterms:W3CDTF">2026-04-12T21:29:31Z</dcterms:created>
  <dcterms:modified xsi:type="dcterms:W3CDTF">2026-08-31T23:42:34Z</dcterms:modified>
  <cp:category/>
  <cp:contentStatus/>
</cp:coreProperties>
</file>