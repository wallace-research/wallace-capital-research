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BC73698F-E5F4-4FF4-A3E1-11C6FE80B6A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15" r:id="rId1"/>
    <sheet name="Base Assumptions" sheetId="1" r:id="rId2"/>
    <sheet name="Bear Assumptions" sheetId="13" r:id="rId3"/>
    <sheet name="Bull Assumptions" sheetId="14" r:id="rId4"/>
    <sheet name="Export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B7" i="1"/>
  <c r="C19" i="15"/>
  <c r="C22" i="15"/>
  <c r="C24" i="15" s="1"/>
  <c r="C18" i="15"/>
  <c r="C12" i="15"/>
  <c r="C14" i="15" s="1"/>
  <c r="I21" i="14"/>
  <c r="H21" i="14"/>
  <c r="G21" i="14"/>
  <c r="F21" i="14"/>
  <c r="E21" i="14"/>
  <c r="I21" i="13"/>
  <c r="H21" i="13"/>
  <c r="G21" i="13"/>
  <c r="F21" i="13"/>
  <c r="E21" i="13"/>
  <c r="Y75" i="14"/>
  <c r="X75" i="14"/>
  <c r="W75" i="14"/>
  <c r="V75" i="14"/>
  <c r="Y74" i="14"/>
  <c r="X74" i="14"/>
  <c r="W74" i="14"/>
  <c r="V74" i="14"/>
  <c r="Y73" i="14"/>
  <c r="X73" i="14"/>
  <c r="W73" i="14"/>
  <c r="V73" i="14"/>
  <c r="Y72" i="14"/>
  <c r="X72" i="14"/>
  <c r="W72" i="14"/>
  <c r="V72" i="14"/>
  <c r="Y71" i="14"/>
  <c r="X71" i="14"/>
  <c r="W71" i="14"/>
  <c r="V71" i="14"/>
  <c r="Y70" i="14"/>
  <c r="X70" i="14"/>
  <c r="W70" i="14"/>
  <c r="V70" i="14"/>
  <c r="Y69" i="14"/>
  <c r="X69" i="14"/>
  <c r="W69" i="14"/>
  <c r="V69" i="14"/>
  <c r="Y68" i="14"/>
  <c r="X68" i="14"/>
  <c r="W68" i="14"/>
  <c r="V68" i="14"/>
  <c r="Y67" i="14"/>
  <c r="X67" i="14"/>
  <c r="W67" i="14"/>
  <c r="V67" i="14"/>
  <c r="Y66" i="14"/>
  <c r="X66" i="14"/>
  <c r="W66" i="14"/>
  <c r="V66" i="14"/>
  <c r="Y65" i="14"/>
  <c r="X65" i="14"/>
  <c r="W65" i="14"/>
  <c r="V65" i="14"/>
  <c r="Y64" i="14"/>
  <c r="X64" i="14"/>
  <c r="W64" i="14"/>
  <c r="V64" i="14"/>
  <c r="Y63" i="14"/>
  <c r="X63" i="14"/>
  <c r="W63" i="14"/>
  <c r="V63" i="14"/>
  <c r="Y62" i="14"/>
  <c r="X62" i="14"/>
  <c r="W62" i="14"/>
  <c r="V62" i="14"/>
  <c r="Y61" i="14"/>
  <c r="X61" i="14"/>
  <c r="W61" i="14"/>
  <c r="V61" i="14"/>
  <c r="Y60" i="14"/>
  <c r="X60" i="14"/>
  <c r="W60" i="14"/>
  <c r="V60" i="14"/>
  <c r="Y59" i="14"/>
  <c r="X59" i="14"/>
  <c r="W59" i="14"/>
  <c r="V59" i="14"/>
  <c r="Y58" i="14"/>
  <c r="X58" i="14"/>
  <c r="W58" i="14"/>
  <c r="V58" i="14"/>
  <c r="Y57" i="14"/>
  <c r="X57" i="14"/>
  <c r="W57" i="14"/>
  <c r="V57" i="14"/>
  <c r="Y56" i="14"/>
  <c r="X56" i="14"/>
  <c r="W56" i="14"/>
  <c r="V56" i="14"/>
  <c r="Y55" i="14"/>
  <c r="X55" i="14"/>
  <c r="W55" i="14"/>
  <c r="V55" i="14"/>
  <c r="Y54" i="14"/>
  <c r="X54" i="14"/>
  <c r="W54" i="14"/>
  <c r="V54" i="14"/>
  <c r="Y53" i="14"/>
  <c r="X53" i="14"/>
  <c r="W53" i="14"/>
  <c r="V53" i="14"/>
  <c r="Y52" i="14"/>
  <c r="X52" i="14"/>
  <c r="W52" i="14"/>
  <c r="V52" i="14"/>
  <c r="Y51" i="14"/>
  <c r="X51" i="14"/>
  <c r="W51" i="14"/>
  <c r="V51" i="14"/>
  <c r="Y50" i="14"/>
  <c r="X50" i="14"/>
  <c r="W50" i="14"/>
  <c r="V50" i="14"/>
  <c r="Y49" i="14"/>
  <c r="X49" i="14"/>
  <c r="W49" i="14"/>
  <c r="V49" i="14"/>
  <c r="Y48" i="14"/>
  <c r="X48" i="14"/>
  <c r="W48" i="14"/>
  <c r="V48" i="14"/>
  <c r="Y47" i="14"/>
  <c r="X47" i="14"/>
  <c r="W47" i="14"/>
  <c r="V47" i="14"/>
  <c r="Y46" i="14"/>
  <c r="X46" i="14"/>
  <c r="W46" i="14"/>
  <c r="V46" i="14"/>
  <c r="Y45" i="14"/>
  <c r="X45" i="14"/>
  <c r="W45" i="14"/>
  <c r="V45" i="14"/>
  <c r="Y44" i="14"/>
  <c r="X44" i="14"/>
  <c r="W44" i="14"/>
  <c r="V44" i="14"/>
  <c r="Y43" i="14"/>
  <c r="X43" i="14"/>
  <c r="W43" i="14"/>
  <c r="V43" i="14"/>
  <c r="Y42" i="14"/>
  <c r="X42" i="14"/>
  <c r="W42" i="14"/>
  <c r="V42" i="14"/>
  <c r="M42" i="14"/>
  <c r="Y41" i="14"/>
  <c r="X41" i="14"/>
  <c r="W41" i="14"/>
  <c r="V41" i="14"/>
  <c r="Y40" i="14"/>
  <c r="X40" i="14"/>
  <c r="W40" i="14"/>
  <c r="V40" i="14"/>
  <c r="Y39" i="14"/>
  <c r="X39" i="14"/>
  <c r="W39" i="14"/>
  <c r="V39" i="14"/>
  <c r="Y38" i="14"/>
  <c r="X38" i="14"/>
  <c r="W38" i="14"/>
  <c r="V38" i="14"/>
  <c r="M38" i="14"/>
  <c r="G38" i="14"/>
  <c r="B38" i="14"/>
  <c r="Y37" i="14"/>
  <c r="X37" i="14"/>
  <c r="W37" i="14"/>
  <c r="V37" i="14"/>
  <c r="G37" i="14"/>
  <c r="B37" i="14"/>
  <c r="Y36" i="14"/>
  <c r="X36" i="14"/>
  <c r="W36" i="14"/>
  <c r="V36" i="14"/>
  <c r="G36" i="14"/>
  <c r="G39" i="14" s="1"/>
  <c r="Y35" i="14"/>
  <c r="X35" i="14"/>
  <c r="W35" i="14"/>
  <c r="V35" i="14"/>
  <c r="Y34" i="14"/>
  <c r="X34" i="14"/>
  <c r="W34" i="14"/>
  <c r="V34" i="14"/>
  <c r="Y33" i="14"/>
  <c r="X33" i="14"/>
  <c r="W33" i="14"/>
  <c r="V33" i="14"/>
  <c r="Y32" i="14"/>
  <c r="X32" i="14"/>
  <c r="W32" i="14"/>
  <c r="V32" i="14"/>
  <c r="Y31" i="14"/>
  <c r="X31" i="14"/>
  <c r="W31" i="14"/>
  <c r="V31" i="14"/>
  <c r="I31" i="14"/>
  <c r="H31" i="14"/>
  <c r="G31" i="14"/>
  <c r="F31" i="14"/>
  <c r="E31" i="14"/>
  <c r="D31" i="14"/>
  <c r="Y30" i="14"/>
  <c r="X30" i="14"/>
  <c r="W30" i="14"/>
  <c r="V30" i="14"/>
  <c r="Y29" i="14"/>
  <c r="X29" i="14"/>
  <c r="W29" i="14"/>
  <c r="V29" i="14"/>
  <c r="Y28" i="14"/>
  <c r="X28" i="14"/>
  <c r="W28" i="14"/>
  <c r="V28" i="14"/>
  <c r="Y27" i="14"/>
  <c r="X27" i="14"/>
  <c r="W27" i="14"/>
  <c r="V27" i="14"/>
  <c r="E27" i="14"/>
  <c r="D27" i="14"/>
  <c r="Y26" i="14"/>
  <c r="X26" i="14"/>
  <c r="W26" i="14"/>
  <c r="V26" i="14"/>
  <c r="E26" i="14"/>
  <c r="D26" i="14"/>
  <c r="Y25" i="14"/>
  <c r="X25" i="14"/>
  <c r="W25" i="14"/>
  <c r="V25" i="14"/>
  <c r="E25" i="14"/>
  <c r="D25" i="14"/>
  <c r="Y24" i="14"/>
  <c r="X24" i="14"/>
  <c r="W24" i="14"/>
  <c r="V24" i="14"/>
  <c r="Y23" i="14"/>
  <c r="X23" i="14"/>
  <c r="W23" i="14"/>
  <c r="V23" i="14"/>
  <c r="Y22" i="14"/>
  <c r="X22" i="14"/>
  <c r="W22" i="14"/>
  <c r="V22" i="14"/>
  <c r="E22" i="14"/>
  <c r="E24" i="14" s="1"/>
  <c r="D22" i="14"/>
  <c r="D24" i="14" s="1"/>
  <c r="Y21" i="14"/>
  <c r="X21" i="14"/>
  <c r="W21" i="14"/>
  <c r="V21" i="14"/>
  <c r="F27" i="14"/>
  <c r="Y20" i="14"/>
  <c r="X20" i="14"/>
  <c r="W20" i="14"/>
  <c r="V20" i="14"/>
  <c r="Y19" i="14"/>
  <c r="X19" i="14"/>
  <c r="W19" i="14"/>
  <c r="V19" i="14"/>
  <c r="Y18" i="14"/>
  <c r="X18" i="14"/>
  <c r="W18" i="14"/>
  <c r="V18" i="14"/>
  <c r="Y17" i="14"/>
  <c r="X17" i="14"/>
  <c r="W17" i="14"/>
  <c r="V17" i="14"/>
  <c r="Y16" i="14"/>
  <c r="X16" i="14"/>
  <c r="W16" i="14"/>
  <c r="V16" i="14"/>
  <c r="Y15" i="14"/>
  <c r="X15" i="14"/>
  <c r="W15" i="14"/>
  <c r="V15" i="14"/>
  <c r="T9" i="14"/>
  <c r="Y75" i="13"/>
  <c r="X75" i="13"/>
  <c r="W75" i="13"/>
  <c r="V75" i="13"/>
  <c r="Y74" i="13"/>
  <c r="X74" i="13"/>
  <c r="W74" i="13"/>
  <c r="V74" i="13"/>
  <c r="Y73" i="13"/>
  <c r="X73" i="13"/>
  <c r="W73" i="13"/>
  <c r="V73" i="13"/>
  <c r="Y72" i="13"/>
  <c r="X72" i="13"/>
  <c r="W72" i="13"/>
  <c r="V72" i="13"/>
  <c r="Y71" i="13"/>
  <c r="X71" i="13"/>
  <c r="W71" i="13"/>
  <c r="V71" i="13"/>
  <c r="Y70" i="13"/>
  <c r="X70" i="13"/>
  <c r="W70" i="13"/>
  <c r="V70" i="13"/>
  <c r="Y69" i="13"/>
  <c r="X69" i="13"/>
  <c r="W69" i="13"/>
  <c r="V69" i="13"/>
  <c r="Y68" i="13"/>
  <c r="X68" i="13"/>
  <c r="W68" i="13"/>
  <c r="V68" i="13"/>
  <c r="Y67" i="13"/>
  <c r="X67" i="13"/>
  <c r="W67" i="13"/>
  <c r="V67" i="13"/>
  <c r="Y66" i="13"/>
  <c r="X66" i="13"/>
  <c r="W66" i="13"/>
  <c r="V66" i="13"/>
  <c r="Y65" i="13"/>
  <c r="X65" i="13"/>
  <c r="W65" i="13"/>
  <c r="V65" i="13"/>
  <c r="Y64" i="13"/>
  <c r="X64" i="13"/>
  <c r="W64" i="13"/>
  <c r="V64" i="13"/>
  <c r="Y63" i="13"/>
  <c r="X63" i="13"/>
  <c r="W63" i="13"/>
  <c r="V63" i="13"/>
  <c r="Y62" i="13"/>
  <c r="X62" i="13"/>
  <c r="W62" i="13"/>
  <c r="V62" i="13"/>
  <c r="Y61" i="13"/>
  <c r="X61" i="13"/>
  <c r="W61" i="13"/>
  <c r="V61" i="13"/>
  <c r="Y60" i="13"/>
  <c r="X60" i="13"/>
  <c r="W60" i="13"/>
  <c r="V60" i="13"/>
  <c r="Y59" i="13"/>
  <c r="X59" i="13"/>
  <c r="W59" i="13"/>
  <c r="V59" i="13"/>
  <c r="Y58" i="13"/>
  <c r="X58" i="13"/>
  <c r="W58" i="13"/>
  <c r="V58" i="13"/>
  <c r="Y57" i="13"/>
  <c r="X57" i="13"/>
  <c r="W57" i="13"/>
  <c r="V57" i="13"/>
  <c r="Y56" i="13"/>
  <c r="X56" i="13"/>
  <c r="W56" i="13"/>
  <c r="V56" i="13"/>
  <c r="Y55" i="13"/>
  <c r="X55" i="13"/>
  <c r="W55" i="13"/>
  <c r="V55" i="13"/>
  <c r="Y54" i="13"/>
  <c r="X54" i="13"/>
  <c r="W54" i="13"/>
  <c r="V54" i="13"/>
  <c r="Y53" i="13"/>
  <c r="X53" i="13"/>
  <c r="W53" i="13"/>
  <c r="V53" i="13"/>
  <c r="Y52" i="13"/>
  <c r="X52" i="13"/>
  <c r="W52" i="13"/>
  <c r="V52" i="13"/>
  <c r="Y51" i="13"/>
  <c r="X51" i="13"/>
  <c r="W51" i="13"/>
  <c r="V51" i="13"/>
  <c r="Y50" i="13"/>
  <c r="X50" i="13"/>
  <c r="W50" i="13"/>
  <c r="V50" i="13"/>
  <c r="Y49" i="13"/>
  <c r="X49" i="13"/>
  <c r="W49" i="13"/>
  <c r="V49" i="13"/>
  <c r="Y48" i="13"/>
  <c r="X48" i="13"/>
  <c r="W48" i="13"/>
  <c r="V48" i="13"/>
  <c r="Y47" i="13"/>
  <c r="X47" i="13"/>
  <c r="W47" i="13"/>
  <c r="V47" i="13"/>
  <c r="Y46" i="13"/>
  <c r="X46" i="13"/>
  <c r="W46" i="13"/>
  <c r="V46" i="13"/>
  <c r="Y45" i="13"/>
  <c r="X45" i="13"/>
  <c r="W45" i="13"/>
  <c r="V45" i="13"/>
  <c r="Y44" i="13"/>
  <c r="X44" i="13"/>
  <c r="W44" i="13"/>
  <c r="V44" i="13"/>
  <c r="Y43" i="13"/>
  <c r="X43" i="13"/>
  <c r="W43" i="13"/>
  <c r="V43" i="13"/>
  <c r="Y42" i="13"/>
  <c r="X42" i="13"/>
  <c r="W42" i="13"/>
  <c r="V42" i="13"/>
  <c r="M42" i="13"/>
  <c r="Y41" i="13"/>
  <c r="X41" i="13"/>
  <c r="W41" i="13"/>
  <c r="V41" i="13"/>
  <c r="Y40" i="13"/>
  <c r="X40" i="13"/>
  <c r="W40" i="13"/>
  <c r="V40" i="13"/>
  <c r="Y39" i="13"/>
  <c r="X39" i="13"/>
  <c r="W39" i="13"/>
  <c r="V39" i="13"/>
  <c r="Y38" i="13"/>
  <c r="X38" i="13"/>
  <c r="W38" i="13"/>
  <c r="V38" i="13"/>
  <c r="M38" i="13"/>
  <c r="G38" i="13"/>
  <c r="B38" i="13"/>
  <c r="Y37" i="13"/>
  <c r="X37" i="13"/>
  <c r="W37" i="13"/>
  <c r="V37" i="13"/>
  <c r="G37" i="13"/>
  <c r="B37" i="13"/>
  <c r="Y36" i="13"/>
  <c r="X36" i="13"/>
  <c r="W36" i="13"/>
  <c r="V36" i="13"/>
  <c r="G36" i="13"/>
  <c r="G39" i="13" s="1"/>
  <c r="Y35" i="13"/>
  <c r="X35" i="13"/>
  <c r="W35" i="13"/>
  <c r="V35" i="13"/>
  <c r="Y34" i="13"/>
  <c r="X34" i="13"/>
  <c r="W34" i="13"/>
  <c r="V34" i="13"/>
  <c r="Y33" i="13"/>
  <c r="X33" i="13"/>
  <c r="W33" i="13"/>
  <c r="V33" i="13"/>
  <c r="Y32" i="13"/>
  <c r="X32" i="13"/>
  <c r="W32" i="13"/>
  <c r="V32" i="13"/>
  <c r="Y31" i="13"/>
  <c r="X31" i="13"/>
  <c r="W31" i="13"/>
  <c r="V31" i="13"/>
  <c r="I31" i="13"/>
  <c r="H31" i="13"/>
  <c r="G31" i="13"/>
  <c r="F31" i="13"/>
  <c r="E31" i="13"/>
  <c r="D31" i="13"/>
  <c r="Y30" i="13"/>
  <c r="X30" i="13"/>
  <c r="W30" i="13"/>
  <c r="V30" i="13"/>
  <c r="Y29" i="13"/>
  <c r="X29" i="13"/>
  <c r="W29" i="13"/>
  <c r="V29" i="13"/>
  <c r="Y28" i="13"/>
  <c r="X28" i="13"/>
  <c r="W28" i="13"/>
  <c r="V28" i="13"/>
  <c r="Y27" i="13"/>
  <c r="X27" i="13"/>
  <c r="W27" i="13"/>
  <c r="V27" i="13"/>
  <c r="E27" i="13"/>
  <c r="D27" i="13"/>
  <c r="Y26" i="13"/>
  <c r="X26" i="13"/>
  <c r="W26" i="13"/>
  <c r="V26" i="13"/>
  <c r="E26" i="13"/>
  <c r="D26" i="13"/>
  <c r="Y25" i="13"/>
  <c r="X25" i="13"/>
  <c r="W25" i="13"/>
  <c r="V25" i="13"/>
  <c r="E25" i="13"/>
  <c r="D25" i="13"/>
  <c r="Y24" i="13"/>
  <c r="X24" i="13"/>
  <c r="W24" i="13"/>
  <c r="V24" i="13"/>
  <c r="Y23" i="13"/>
  <c r="X23" i="13"/>
  <c r="W23" i="13"/>
  <c r="V23" i="13"/>
  <c r="Y22" i="13"/>
  <c r="X22" i="13"/>
  <c r="W22" i="13"/>
  <c r="V22" i="13"/>
  <c r="E22" i="13"/>
  <c r="E24" i="13" s="1"/>
  <c r="D22" i="13"/>
  <c r="D24" i="13" s="1"/>
  <c r="Y21" i="13"/>
  <c r="X21" i="13"/>
  <c r="W21" i="13"/>
  <c r="V21" i="13"/>
  <c r="F27" i="13"/>
  <c r="Y20" i="13"/>
  <c r="X20" i="13"/>
  <c r="W20" i="13"/>
  <c r="V20" i="13"/>
  <c r="Y19" i="13"/>
  <c r="X19" i="13"/>
  <c r="W19" i="13"/>
  <c r="V19" i="13"/>
  <c r="Y18" i="13"/>
  <c r="X18" i="13"/>
  <c r="W18" i="13"/>
  <c r="V18" i="13"/>
  <c r="Y17" i="13"/>
  <c r="X17" i="13"/>
  <c r="W17" i="13"/>
  <c r="V17" i="13"/>
  <c r="Y16" i="13"/>
  <c r="X16" i="13"/>
  <c r="W16" i="13"/>
  <c r="V16" i="13"/>
  <c r="Y15" i="13"/>
  <c r="X15" i="13"/>
  <c r="W15" i="13"/>
  <c r="V15" i="13"/>
  <c r="T9" i="13"/>
  <c r="C13" i="15" l="1"/>
  <c r="C28" i="15" s="1"/>
  <c r="D28" i="14"/>
  <c r="Q7" i="14" s="1"/>
  <c r="E28" i="14"/>
  <c r="E30" i="14" s="1"/>
  <c r="E32" i="14" s="1"/>
  <c r="E28" i="13"/>
  <c r="D28" i="13"/>
  <c r="Q7" i="13" s="1"/>
  <c r="G40" i="14"/>
  <c r="C30" i="14"/>
  <c r="C32" i="14"/>
  <c r="Q8" i="14"/>
  <c r="F25" i="14"/>
  <c r="F22" i="14"/>
  <c r="D23" i="14"/>
  <c r="F26" i="14"/>
  <c r="E23" i="14"/>
  <c r="G40" i="13"/>
  <c r="C30" i="13"/>
  <c r="C32" i="13"/>
  <c r="E30" i="13"/>
  <c r="E32" i="13" s="1"/>
  <c r="Q8" i="13"/>
  <c r="F25" i="13"/>
  <c r="F22" i="13"/>
  <c r="D23" i="13"/>
  <c r="F26" i="13"/>
  <c r="E23" i="13"/>
  <c r="Y75" i="1"/>
  <c r="X75" i="1"/>
  <c r="W75" i="1"/>
  <c r="V75" i="1"/>
  <c r="Y74" i="1"/>
  <c r="X74" i="1"/>
  <c r="W74" i="1"/>
  <c r="V74" i="1"/>
  <c r="Y73" i="1"/>
  <c r="X73" i="1"/>
  <c r="W73" i="1"/>
  <c r="V73" i="1"/>
  <c r="Y72" i="1"/>
  <c r="X72" i="1"/>
  <c r="W72" i="1"/>
  <c r="V72" i="1"/>
  <c r="Y71" i="1"/>
  <c r="X71" i="1"/>
  <c r="W71" i="1"/>
  <c r="V71" i="1"/>
  <c r="Y70" i="1"/>
  <c r="X70" i="1"/>
  <c r="W70" i="1"/>
  <c r="V70" i="1"/>
  <c r="Y69" i="1"/>
  <c r="X69" i="1"/>
  <c r="W69" i="1"/>
  <c r="V69" i="1"/>
  <c r="Y68" i="1"/>
  <c r="X68" i="1"/>
  <c r="W68" i="1"/>
  <c r="V68" i="1"/>
  <c r="Y67" i="1"/>
  <c r="X67" i="1"/>
  <c r="W67" i="1"/>
  <c r="V67" i="1"/>
  <c r="Y66" i="1"/>
  <c r="X66" i="1"/>
  <c r="W66" i="1"/>
  <c r="V66" i="1"/>
  <c r="Y65" i="1"/>
  <c r="X65" i="1"/>
  <c r="W65" i="1"/>
  <c r="V65" i="1"/>
  <c r="Y64" i="1"/>
  <c r="X64" i="1"/>
  <c r="W64" i="1"/>
  <c r="V64" i="1"/>
  <c r="Y63" i="1"/>
  <c r="X63" i="1"/>
  <c r="W63" i="1"/>
  <c r="V63" i="1"/>
  <c r="Y62" i="1"/>
  <c r="X62" i="1"/>
  <c r="W62" i="1"/>
  <c r="V62" i="1"/>
  <c r="Y61" i="1"/>
  <c r="X61" i="1"/>
  <c r="W61" i="1"/>
  <c r="V61" i="1"/>
  <c r="Y60" i="1"/>
  <c r="X60" i="1"/>
  <c r="W60" i="1"/>
  <c r="V60" i="1"/>
  <c r="Y59" i="1"/>
  <c r="X59" i="1"/>
  <c r="W59" i="1"/>
  <c r="V59" i="1"/>
  <c r="Y58" i="1"/>
  <c r="X58" i="1"/>
  <c r="W58" i="1"/>
  <c r="V58" i="1"/>
  <c r="Y57" i="1"/>
  <c r="X57" i="1"/>
  <c r="W57" i="1"/>
  <c r="V57" i="1"/>
  <c r="Y56" i="1"/>
  <c r="X56" i="1"/>
  <c r="W56" i="1"/>
  <c r="V56" i="1"/>
  <c r="Y55" i="1"/>
  <c r="X55" i="1"/>
  <c r="W55" i="1"/>
  <c r="V55" i="1"/>
  <c r="Y54" i="1"/>
  <c r="X54" i="1"/>
  <c r="W54" i="1"/>
  <c r="V54" i="1"/>
  <c r="Y53" i="1"/>
  <c r="X53" i="1"/>
  <c r="W53" i="1"/>
  <c r="V53" i="1"/>
  <c r="Y52" i="1"/>
  <c r="X52" i="1"/>
  <c r="W52" i="1"/>
  <c r="V52" i="1"/>
  <c r="Y51" i="1"/>
  <c r="X51" i="1"/>
  <c r="W51" i="1"/>
  <c r="V51" i="1"/>
  <c r="Y50" i="1"/>
  <c r="X50" i="1"/>
  <c r="W50" i="1"/>
  <c r="V50" i="1"/>
  <c r="Y49" i="1"/>
  <c r="X49" i="1"/>
  <c r="W49" i="1"/>
  <c r="V49" i="1"/>
  <c r="Y48" i="1"/>
  <c r="X48" i="1"/>
  <c r="W48" i="1"/>
  <c r="V48" i="1"/>
  <c r="Y47" i="1"/>
  <c r="X47" i="1"/>
  <c r="W47" i="1"/>
  <c r="V47" i="1"/>
  <c r="Y46" i="1"/>
  <c r="X46" i="1"/>
  <c r="W46" i="1"/>
  <c r="V46" i="1"/>
  <c r="Y45" i="1"/>
  <c r="X45" i="1"/>
  <c r="W45" i="1"/>
  <c r="V45" i="1"/>
  <c r="Y44" i="1"/>
  <c r="X44" i="1"/>
  <c r="W44" i="1"/>
  <c r="V44" i="1"/>
  <c r="Y43" i="1"/>
  <c r="X43" i="1"/>
  <c r="W43" i="1"/>
  <c r="V43" i="1"/>
  <c r="Y42" i="1"/>
  <c r="X42" i="1"/>
  <c r="W42" i="1"/>
  <c r="V42" i="1"/>
  <c r="Y41" i="1"/>
  <c r="X41" i="1"/>
  <c r="W41" i="1"/>
  <c r="V41" i="1"/>
  <c r="Y40" i="1"/>
  <c r="X40" i="1"/>
  <c r="W40" i="1"/>
  <c r="V40" i="1"/>
  <c r="Y39" i="1"/>
  <c r="X39" i="1"/>
  <c r="W39" i="1"/>
  <c r="V39" i="1"/>
  <c r="Y38" i="1"/>
  <c r="X38" i="1"/>
  <c r="W38" i="1"/>
  <c r="V38" i="1"/>
  <c r="Y37" i="1"/>
  <c r="X37" i="1"/>
  <c r="W37" i="1"/>
  <c r="V37" i="1"/>
  <c r="Y36" i="1"/>
  <c r="X36" i="1"/>
  <c r="W36" i="1"/>
  <c r="V36" i="1"/>
  <c r="Y35" i="1"/>
  <c r="X35" i="1"/>
  <c r="W35" i="1"/>
  <c r="V35" i="1"/>
  <c r="Y34" i="1"/>
  <c r="X34" i="1"/>
  <c r="W34" i="1"/>
  <c r="V34" i="1"/>
  <c r="Y33" i="1"/>
  <c r="X33" i="1"/>
  <c r="W33" i="1"/>
  <c r="V33" i="1"/>
  <c r="Y32" i="1"/>
  <c r="X32" i="1"/>
  <c r="W32" i="1"/>
  <c r="V32" i="1"/>
  <c r="Y31" i="1"/>
  <c r="X31" i="1"/>
  <c r="W31" i="1"/>
  <c r="V31" i="1"/>
  <c r="Y30" i="1"/>
  <c r="X30" i="1"/>
  <c r="W30" i="1"/>
  <c r="V30" i="1"/>
  <c r="Y29" i="1"/>
  <c r="X29" i="1"/>
  <c r="W29" i="1"/>
  <c r="V29" i="1"/>
  <c r="Y28" i="1"/>
  <c r="X28" i="1"/>
  <c r="W28" i="1"/>
  <c r="V28" i="1"/>
  <c r="Y27" i="1"/>
  <c r="X27" i="1"/>
  <c r="W27" i="1"/>
  <c r="V27" i="1"/>
  <c r="Y26" i="1"/>
  <c r="X26" i="1"/>
  <c r="W26" i="1"/>
  <c r="V26" i="1"/>
  <c r="Y25" i="1"/>
  <c r="X25" i="1"/>
  <c r="W25" i="1"/>
  <c r="V25" i="1"/>
  <c r="Y24" i="1"/>
  <c r="X24" i="1"/>
  <c r="W24" i="1"/>
  <c r="V24" i="1"/>
  <c r="Y23" i="1"/>
  <c r="X23" i="1"/>
  <c r="W23" i="1"/>
  <c r="V23" i="1"/>
  <c r="Y22" i="1"/>
  <c r="X22" i="1"/>
  <c r="W22" i="1"/>
  <c r="V22" i="1"/>
  <c r="Y21" i="1"/>
  <c r="X21" i="1"/>
  <c r="W21" i="1"/>
  <c r="V21" i="1"/>
  <c r="Y20" i="1"/>
  <c r="X20" i="1"/>
  <c r="W20" i="1"/>
  <c r="V20" i="1"/>
  <c r="Y19" i="1"/>
  <c r="X19" i="1"/>
  <c r="W19" i="1"/>
  <c r="V19" i="1"/>
  <c r="Y18" i="1"/>
  <c r="X18" i="1"/>
  <c r="W18" i="1"/>
  <c r="V18" i="1"/>
  <c r="Y17" i="1"/>
  <c r="X17" i="1"/>
  <c r="W17" i="1"/>
  <c r="V17" i="1"/>
  <c r="Y16" i="1"/>
  <c r="X16" i="1"/>
  <c r="W16" i="1"/>
  <c r="V16" i="1"/>
  <c r="Y15" i="1"/>
  <c r="X15" i="1"/>
  <c r="W15" i="1"/>
  <c r="V15" i="1"/>
  <c r="D30" i="14" l="1"/>
  <c r="D32" i="14" s="1"/>
  <c r="D30" i="13"/>
  <c r="D32" i="13" s="1"/>
  <c r="G27" i="14"/>
  <c r="G26" i="14"/>
  <c r="G22" i="14"/>
  <c r="G25" i="14"/>
  <c r="F23" i="14"/>
  <c r="F24" i="14"/>
  <c r="F28" i="14" s="1"/>
  <c r="M48" i="14"/>
  <c r="G41" i="14"/>
  <c r="G27" i="13"/>
  <c r="G26" i="13"/>
  <c r="G22" i="13"/>
  <c r="G25" i="13"/>
  <c r="F23" i="13"/>
  <c r="F24" i="13"/>
  <c r="F28" i="13" s="1"/>
  <c r="M48" i="13"/>
  <c r="G41" i="13"/>
  <c r="F21" i="1"/>
  <c r="G21" i="1"/>
  <c r="H21" i="1"/>
  <c r="E21" i="1"/>
  <c r="D26" i="1"/>
  <c r="H26" i="14" l="1"/>
  <c r="H22" i="14"/>
  <c r="H25" i="14"/>
  <c r="H27" i="14"/>
  <c r="G23" i="14"/>
  <c r="G24" i="14"/>
  <c r="G28" i="14" s="1"/>
  <c r="F30" i="14"/>
  <c r="F32" i="14" s="1"/>
  <c r="Q9" i="14"/>
  <c r="F30" i="13"/>
  <c r="F32" i="13" s="1"/>
  <c r="Q9" i="13"/>
  <c r="H26" i="13"/>
  <c r="H22" i="13"/>
  <c r="H25" i="13"/>
  <c r="H27" i="13"/>
  <c r="G23" i="13"/>
  <c r="G24" i="13"/>
  <c r="G28" i="13" s="1"/>
  <c r="Q10" i="14" l="1"/>
  <c r="G30" i="14"/>
  <c r="G32" i="14" s="1"/>
  <c r="I26" i="14"/>
  <c r="I22" i="14"/>
  <c r="I25" i="14"/>
  <c r="I27" i="14"/>
  <c r="H24" i="14"/>
  <c r="H28" i="14" s="1"/>
  <c r="H23" i="14"/>
  <c r="I26" i="13"/>
  <c r="I22" i="13"/>
  <c r="I25" i="13"/>
  <c r="I27" i="13"/>
  <c r="H24" i="13"/>
  <c r="H28" i="13" s="1"/>
  <c r="H23" i="13"/>
  <c r="Q10" i="13"/>
  <c r="G30" i="13"/>
  <c r="G32" i="13" s="1"/>
  <c r="M42" i="1"/>
  <c r="T9" i="1"/>
  <c r="M21" i="14" l="1"/>
  <c r="M21" i="13"/>
  <c r="I24" i="14"/>
  <c r="I28" i="14" s="1"/>
  <c r="I23" i="14"/>
  <c r="Q11" i="14"/>
  <c r="H30" i="14"/>
  <c r="H32" i="14" s="1"/>
  <c r="Q11" i="13"/>
  <c r="H30" i="13"/>
  <c r="H32" i="13" s="1"/>
  <c r="I24" i="13"/>
  <c r="I28" i="13" s="1"/>
  <c r="I23" i="13"/>
  <c r="D22" i="1"/>
  <c r="D27" i="1"/>
  <c r="D25" i="1"/>
  <c r="G36" i="1"/>
  <c r="Q12" i="14" l="1"/>
  <c r="I30" i="14"/>
  <c r="I32" i="14" s="1"/>
  <c r="B36" i="14" s="1"/>
  <c r="M20" i="14"/>
  <c r="M22" i="14" s="1"/>
  <c r="J32" i="14" s="1"/>
  <c r="Q12" i="13"/>
  <c r="I30" i="13"/>
  <c r="I32" i="13" s="1"/>
  <c r="B36" i="13" s="1"/>
  <c r="M20" i="13"/>
  <c r="M22" i="13" s="1"/>
  <c r="J32" i="13" s="1"/>
  <c r="E27" i="1"/>
  <c r="E25" i="1"/>
  <c r="E26" i="1"/>
  <c r="F26" i="1"/>
  <c r="F27" i="1"/>
  <c r="G27" i="1"/>
  <c r="G25" i="1"/>
  <c r="G26" i="1"/>
  <c r="F25" i="1"/>
  <c r="B39" i="14" l="1"/>
  <c r="B40" i="14" s="1"/>
  <c r="M50" i="14" s="1"/>
  <c r="J30" i="14"/>
  <c r="B39" i="13"/>
  <c r="B40" i="13" s="1"/>
  <c r="J30" i="13"/>
  <c r="H26" i="1"/>
  <c r="H27" i="1"/>
  <c r="H25" i="1"/>
  <c r="M41" i="14" l="1"/>
  <c r="M47" i="14"/>
  <c r="M37" i="14"/>
  <c r="B41" i="14"/>
  <c r="M44" i="14"/>
  <c r="M43" i="14"/>
  <c r="T7" i="14"/>
  <c r="M49" i="14"/>
  <c r="M50" i="13"/>
  <c r="T7" i="13"/>
  <c r="M43" i="13"/>
  <c r="M41" i="13"/>
  <c r="M44" i="13"/>
  <c r="B41" i="13"/>
  <c r="M37" i="13"/>
  <c r="M47" i="13"/>
  <c r="M49" i="13"/>
  <c r="I26" i="1"/>
  <c r="I27" i="1"/>
  <c r="I25" i="1"/>
  <c r="E22" i="1"/>
  <c r="B38" i="1"/>
  <c r="F22" i="1" l="1"/>
  <c r="D23" i="1"/>
  <c r="M38" i="1"/>
  <c r="B37" i="1"/>
  <c r="G37" i="1"/>
  <c r="G38" i="1"/>
  <c r="E31" i="1"/>
  <c r="F31" i="1"/>
  <c r="G31" i="1"/>
  <c r="H31" i="1"/>
  <c r="I31" i="1"/>
  <c r="D31" i="1"/>
  <c r="G22" i="1" l="1"/>
  <c r="D24" i="1"/>
  <c r="G39" i="1"/>
  <c r="C30" i="1" s="1"/>
  <c r="H22" i="1" l="1"/>
  <c r="D28" i="1"/>
  <c r="Q7" i="1" s="1"/>
  <c r="G40" i="1"/>
  <c r="C32" i="1"/>
  <c r="E24" i="1"/>
  <c r="E28" i="1" s="1"/>
  <c r="E23" i="1"/>
  <c r="G41" i="1" l="1"/>
  <c r="I22" i="1"/>
  <c r="M21" i="1" s="1"/>
  <c r="D30" i="1"/>
  <c r="D32" i="1" s="1"/>
  <c r="M48" i="1"/>
  <c r="E30" i="1"/>
  <c r="E32" i="1" s="1"/>
  <c r="Q8" i="1"/>
  <c r="F24" i="1"/>
  <c r="F28" i="1" s="1"/>
  <c r="F23" i="1"/>
  <c r="F30" i="1" l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T7" i="1" l="1"/>
  <c r="M44" i="1"/>
  <c r="M50" i="1"/>
  <c r="M41" i="1"/>
  <c r="M43" i="1"/>
  <c r="M37" i="1"/>
  <c r="B41" i="1"/>
  <c r="M47" i="1"/>
  <c r="M49" i="1"/>
</calcChain>
</file>

<file path=xl/sharedStrings.xml><?xml version="1.0" encoding="utf-8"?>
<sst xmlns="http://schemas.openxmlformats.org/spreadsheetml/2006/main" count="345" uniqueCount="128">
  <si>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</si>
  <si>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</si>
  <si>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</si>
  <si>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</si>
  <si>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</si>
  <si>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</si>
  <si>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</si>
  <si>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</si>
  <si>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</si>
  <si>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</si>
  <si>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</si>
  <si>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</si>
  <si>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</si>
  <si>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</si>
  <si>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</si>
  <si>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</si>
  <si>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</si>
  <si>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</si>
  <si>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</si>
  <si>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</si>
  <si>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</si>
  <si>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</si>
  <si>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</si>
  <si>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</si>
  <si>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</si>
  <si>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</si>
  <si>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</si>
  <si>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</si>
  <si>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</si>
  <si>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</si>
  <si>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</si>
  <si>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</si>
  <si>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</si>
  <si>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</si>
  <si>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</si>
  <si>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</si>
  <si>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</si>
  <si>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</si>
  <si>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</si>
  <si>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</si>
  <si>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</si>
  <si>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</si>
  <si>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</si>
  <si>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</si>
  <si>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</si>
  <si>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</si>
  <si>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</si>
  <si>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</si>
  <si>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</si>
  <si>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</si>
  <si>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</si>
  <si>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</si>
  <si>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</si>
  <si>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</si>
  <si>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</si>
  <si>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</si>
  <si>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</si>
  <si>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</si>
  <si>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</si>
  <si>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</si>
  <si>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</si>
  <si>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</si>
  <si>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</si>
  <si>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</si>
  <si>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</si>
  <si>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</si>
  <si>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</si>
  <si>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</si>
  <si>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</si>
  <si>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</si>
  <si>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</si>
  <si>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</si>
  <si>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Perpetual Growth Equity Value per Share</t>
  </si>
  <si>
    <t>Downside</t>
  </si>
  <si>
    <t>Mid to end of month closing price</t>
  </si>
  <si>
    <t>(Intrinsic EV + Cash - Debt + Average Growth Terminal Value) / 2</t>
  </si>
  <si>
    <t>(Intrinsic Equity Value / Shares Outstanding)</t>
  </si>
  <si>
    <t>EBIT Margin</t>
  </si>
  <si>
    <t>*base-case assumptions</t>
  </si>
  <si>
    <t>*bear-case assumptions</t>
  </si>
  <si>
    <t>*bull-case assumptions</t>
  </si>
  <si>
    <t>(as of July 2026)</t>
  </si>
  <si>
    <t>Intrinsic Value vs Current Price</t>
  </si>
  <si>
    <t>(1% of Revenue)</t>
  </si>
  <si>
    <t>Upside (%)</t>
  </si>
  <si>
    <t>Upside ($)</t>
  </si>
  <si>
    <t>(Following previous trend logic)</t>
  </si>
  <si>
    <t>16.0x</t>
  </si>
  <si>
    <t>(Revenue * 0.65)</t>
  </si>
  <si>
    <t>(20% of Revenue)</t>
  </si>
  <si>
    <t>(2% of Revenue)</t>
  </si>
  <si>
    <t>Micron Technology Inc</t>
  </si>
  <si>
    <t>Micron Indexed</t>
  </si>
  <si>
    <t>(45% of Revenue)</t>
  </si>
  <si>
    <t>16,821,000,000 (45% of Revenue)</t>
  </si>
  <si>
    <t>14.0x</t>
  </si>
  <si>
    <t>(Revenue * 0.6)</t>
  </si>
  <si>
    <t>(17% of Revenue)</t>
  </si>
  <si>
    <t>(50% of Revenue)</t>
  </si>
  <si>
    <t>(3% of Revenue)</t>
  </si>
  <si>
    <t>18.0x</t>
  </si>
  <si>
    <t>18,690,000,000 (50% of Revenue)</t>
  </si>
  <si>
    <t>(Revenue * 0.7)</t>
  </si>
  <si>
    <t>(23% of Revenue)</t>
  </si>
  <si>
    <t>(40% of Revenue)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</si>
  <si>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</si>
  <si>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</si>
  <si>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</si>
  <si>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</si>
  <si>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</si>
  <si>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</si>
  <si>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</si>
  <si>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</si>
  <si>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</si>
  <si>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</si>
  <si>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</si>
  <si>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</si>
  <si>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</si>
  <si>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Risk-Free Rate + (Beta x Market Risk Premium)</t>
  </si>
  <si>
    <t>Market Risk Premium (assuming 9% return)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</si>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</sst>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  <numFmt numFmtId="170" formatCode="0.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9" fontId="3" fillId="3" borderId="0" xfId="0" applyNumberFormat="1" applyFont="1" applyFill="1" applyAlignment="1">
      <alignment horizontal="left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1" applyNumberFormat="1" applyFon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6" fontId="0" fillId="5" borderId="5" xfId="0" applyNumberFormat="1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70" fontId="0" fillId="0" borderId="0" xfId="0" applyNumberFormat="1"/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10559850000</c:v>
                </c:pt>
                <c:pt idx="1">
                  <c:v>17951745000</c:v>
                </c:pt>
                <c:pt idx="2">
                  <c:v>28722792000</c:v>
                </c:pt>
                <c:pt idx="3">
                  <c:v>43084188000</c:v>
                </c:pt>
                <c:pt idx="4">
                  <c:v>56009444400</c:v>
                </c:pt>
                <c:pt idx="5">
                  <c:v>86814638820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1204.3211874053825</c:v>
                </c:pt>
                <c:pt idx="1">
                  <c:v>225.32</c:v>
                </c:pt>
                <c:pt idx="2">
                  <c:v>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MU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Micron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'Base Assumptions'!$V$15:$V$75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93.627516331155846</c:v>
                </c:pt>
                <c:pt idx="2">
                  <c:v>94.640714571390475</c:v>
                </c:pt>
                <c:pt idx="3">
                  <c:v>92.121050526596434</c:v>
                </c:pt>
                <c:pt idx="4">
                  <c:v>111.21183842154379</c:v>
                </c:pt>
                <c:pt idx="5">
                  <c:v>125.87654979336087</c:v>
                </c:pt>
                <c:pt idx="6">
                  <c:v>109.22543660845221</c:v>
                </c:pt>
                <c:pt idx="7">
                  <c:v>109.19877349686706</c:v>
                </c:pt>
                <c:pt idx="8">
                  <c:v>101.55979202772964</c:v>
                </c:pt>
                <c:pt idx="9">
                  <c:v>90.9078789494734</c:v>
                </c:pt>
                <c:pt idx="10">
                  <c:v>91.854419410745237</c:v>
                </c:pt>
                <c:pt idx="11">
                  <c:v>74.323423543527525</c:v>
                </c:pt>
                <c:pt idx="12">
                  <c:v>82.469004132782288</c:v>
                </c:pt>
                <c:pt idx="13">
                  <c:v>75.096653779496052</c:v>
                </c:pt>
                <c:pt idx="14">
                  <c:v>66.791094520730567</c:v>
                </c:pt>
                <c:pt idx="15">
                  <c:v>74.72337021730435</c:v>
                </c:pt>
                <c:pt idx="16">
                  <c:v>77.869617384348743</c:v>
                </c:pt>
                <c:pt idx="17">
                  <c:v>66.631115851219818</c:v>
                </c:pt>
                <c:pt idx="18">
                  <c:v>85.148646847087051</c:v>
                </c:pt>
                <c:pt idx="19">
                  <c:v>77.562991601119847</c:v>
                </c:pt>
                <c:pt idx="20">
                  <c:v>81.535795227303026</c:v>
                </c:pt>
                <c:pt idx="21">
                  <c:v>81.495800559925343</c:v>
                </c:pt>
                <c:pt idx="22">
                  <c:v>90.881215837888277</c:v>
                </c:pt>
                <c:pt idx="23">
                  <c:v>84.135448606852421</c:v>
                </c:pt>
                <c:pt idx="24">
                  <c:v>94.920677243034262</c:v>
                </c:pt>
                <c:pt idx="25">
                  <c:v>84.948673510198631</c:v>
                </c:pt>
                <c:pt idx="26">
                  <c:v>91.8277562991601</c:v>
                </c:pt>
                <c:pt idx="27">
                  <c:v>89.614718037594969</c:v>
                </c:pt>
                <c:pt idx="28">
                  <c:v>103.39954672710306</c:v>
                </c:pt>
                <c:pt idx="29">
                  <c:v>113.7714971337155</c:v>
                </c:pt>
                <c:pt idx="30">
                  <c:v>115.29129449406746</c:v>
                </c:pt>
                <c:pt idx="31">
                  <c:v>126.84975336621784</c:v>
                </c:pt>
                <c:pt idx="32">
                  <c:v>146.92707638981469</c:v>
                </c:pt>
                <c:pt idx="33">
                  <c:v>142.34102119717369</c:v>
                </c:pt>
                <c:pt idx="34">
                  <c:v>167.03106252499666</c:v>
                </c:pt>
                <c:pt idx="35">
                  <c:v>186.02852952939605</c:v>
                </c:pt>
                <c:pt idx="36">
                  <c:v>145.86055192640978</c:v>
                </c:pt>
                <c:pt idx="37">
                  <c:v>137.11505132648978</c:v>
                </c:pt>
                <c:pt idx="38">
                  <c:v>121.18384215437941</c:v>
                </c:pt>
                <c:pt idx="39">
                  <c:v>148.18024263431542</c:v>
                </c:pt>
                <c:pt idx="40">
                  <c:v>136.835088654846</c:v>
                </c:pt>
                <c:pt idx="41">
                  <c:v>119.81069190774562</c:v>
                </c:pt>
                <c:pt idx="42">
                  <c:v>121.63711505132649</c:v>
                </c:pt>
                <c:pt idx="43">
                  <c:v>131.76909745367286</c:v>
                </c:pt>
                <c:pt idx="44">
                  <c:v>86.281829089454732</c:v>
                </c:pt>
                <c:pt idx="45">
                  <c:v>106.35915211305158</c:v>
                </c:pt>
                <c:pt idx="46">
                  <c:v>125.92987601653111</c:v>
                </c:pt>
                <c:pt idx="47">
                  <c:v>164.77802959605384</c:v>
                </c:pt>
                <c:pt idx="48">
                  <c:v>152.49966671110516</c:v>
                </c:pt>
                <c:pt idx="49">
                  <c:v>158.65884548726837</c:v>
                </c:pt>
                <c:pt idx="50">
                  <c:v>216.94440741234499</c:v>
                </c:pt>
                <c:pt idx="51">
                  <c:v>291.98773496867085</c:v>
                </c:pt>
                <c:pt idx="52">
                  <c:v>276.4564724703373</c:v>
                </c:pt>
                <c:pt idx="53">
                  <c:v>354.5127316357819</c:v>
                </c:pt>
                <c:pt idx="54">
                  <c:v>532.79562724969992</c:v>
                </c:pt>
                <c:pt idx="55">
                  <c:v>549.75336621783754</c:v>
                </c:pt>
                <c:pt idx="56">
                  <c:v>476.22983602186378</c:v>
                </c:pt>
                <c:pt idx="57">
                  <c:v>606.67910945207302</c:v>
                </c:pt>
                <c:pt idx="58">
                  <c:v>1001.1998400213305</c:v>
                </c:pt>
                <c:pt idx="59">
                  <c:v>1511.7850953206239</c:v>
                </c:pt>
                <c:pt idx="60">
                  <c:v>1305.5592587654978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'Base Assumptions'!$W$15:$W$75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>
                  <c:v>162.06231258219083</c:v>
                </c:pt>
                <c:pt idx="58">
                  <c:v>170.03476472381612</c:v>
                </c:pt>
                <c:pt idx="59">
                  <c:v>168.93858383804371</c:v>
                </c:pt>
                <c:pt idx="60">
                  <c:v>170.25704963983927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'Base Assumptions'!$X$15:$X$75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>
                  <c:v>166.76217296363035</c:v>
                </c:pt>
                <c:pt idx="58">
                  <c:v>179.54436408345308</c:v>
                </c:pt>
                <c:pt idx="59">
                  <c:v>176.40601444316923</c:v>
                </c:pt>
                <c:pt idx="60">
                  <c:v>176.0596564499464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'Base Assumptions'!$Y$15:$Y$75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>
                  <c:v>141.0303594678501</c:v>
                </c:pt>
                <c:pt idx="58">
                  <c:v>144.25973751873488</c:v>
                </c:pt>
                <c:pt idx="59">
                  <c:v>146.02933983238046</c:v>
                </c:pt>
                <c:pt idx="60">
                  <c:v>150.87772788139713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15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5158440000</c:v>
                </c:pt>
                <c:pt idx="1">
                  <c:v>8511426000</c:v>
                </c:pt>
                <c:pt idx="2">
                  <c:v>13192710300</c:v>
                </c:pt>
                <c:pt idx="3">
                  <c:v>19129429935</c:v>
                </c:pt>
                <c:pt idx="4">
                  <c:v>23911787418.75</c:v>
                </c:pt>
                <c:pt idx="5">
                  <c:v>35867681128.125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7-4583-B27D-547257312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BE-49F9-A5FF-1427343BFD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738.64000003614649</c:v>
                </c:pt>
                <c:pt idx="1">
                  <c:v>240.36</c:v>
                </c:pt>
                <c:pt idx="2">
                  <c:v>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E-49F9-A5FF-1427343BF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MU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Micron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'Bear Assumptions'!$V$15:$V$75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93.627516331155846</c:v>
                </c:pt>
                <c:pt idx="2">
                  <c:v>94.640714571390475</c:v>
                </c:pt>
                <c:pt idx="3">
                  <c:v>92.121050526596434</c:v>
                </c:pt>
                <c:pt idx="4">
                  <c:v>111.21183842154379</c:v>
                </c:pt>
                <c:pt idx="5">
                  <c:v>125.87654979336087</c:v>
                </c:pt>
                <c:pt idx="6">
                  <c:v>109.22543660845221</c:v>
                </c:pt>
                <c:pt idx="7">
                  <c:v>109.19877349686706</c:v>
                </c:pt>
                <c:pt idx="8">
                  <c:v>101.55979202772964</c:v>
                </c:pt>
                <c:pt idx="9">
                  <c:v>90.9078789494734</c:v>
                </c:pt>
                <c:pt idx="10">
                  <c:v>91.854419410745237</c:v>
                </c:pt>
                <c:pt idx="11">
                  <c:v>74.323423543527525</c:v>
                </c:pt>
                <c:pt idx="12">
                  <c:v>82.469004132782288</c:v>
                </c:pt>
                <c:pt idx="13">
                  <c:v>75.096653779496052</c:v>
                </c:pt>
                <c:pt idx="14">
                  <c:v>66.791094520730567</c:v>
                </c:pt>
                <c:pt idx="15">
                  <c:v>74.72337021730435</c:v>
                </c:pt>
                <c:pt idx="16">
                  <c:v>77.869617384348743</c:v>
                </c:pt>
                <c:pt idx="17">
                  <c:v>66.631115851219818</c:v>
                </c:pt>
                <c:pt idx="18">
                  <c:v>85.148646847087051</c:v>
                </c:pt>
                <c:pt idx="19">
                  <c:v>77.562991601119847</c:v>
                </c:pt>
                <c:pt idx="20">
                  <c:v>81.535795227303026</c:v>
                </c:pt>
                <c:pt idx="21">
                  <c:v>81.495800559925343</c:v>
                </c:pt>
                <c:pt idx="22">
                  <c:v>90.881215837888277</c:v>
                </c:pt>
                <c:pt idx="23">
                  <c:v>84.135448606852421</c:v>
                </c:pt>
                <c:pt idx="24">
                  <c:v>94.920677243034262</c:v>
                </c:pt>
                <c:pt idx="25">
                  <c:v>84.948673510198631</c:v>
                </c:pt>
                <c:pt idx="26">
                  <c:v>91.8277562991601</c:v>
                </c:pt>
                <c:pt idx="27">
                  <c:v>89.614718037594969</c:v>
                </c:pt>
                <c:pt idx="28">
                  <c:v>103.39954672710306</c:v>
                </c:pt>
                <c:pt idx="29">
                  <c:v>113.7714971337155</c:v>
                </c:pt>
                <c:pt idx="30">
                  <c:v>115.29129449406746</c:v>
                </c:pt>
                <c:pt idx="31">
                  <c:v>126.84975336621784</c:v>
                </c:pt>
                <c:pt idx="32">
                  <c:v>146.92707638981469</c:v>
                </c:pt>
                <c:pt idx="33">
                  <c:v>142.34102119717369</c:v>
                </c:pt>
                <c:pt idx="34">
                  <c:v>167.03106252499666</c:v>
                </c:pt>
                <c:pt idx="35">
                  <c:v>186.02852952939605</c:v>
                </c:pt>
                <c:pt idx="36">
                  <c:v>145.86055192640978</c:v>
                </c:pt>
                <c:pt idx="37">
                  <c:v>137.11505132648978</c:v>
                </c:pt>
                <c:pt idx="38">
                  <c:v>121.18384215437941</c:v>
                </c:pt>
                <c:pt idx="39">
                  <c:v>148.18024263431542</c:v>
                </c:pt>
                <c:pt idx="40">
                  <c:v>136.835088654846</c:v>
                </c:pt>
                <c:pt idx="41">
                  <c:v>119.81069190774562</c:v>
                </c:pt>
                <c:pt idx="42">
                  <c:v>121.63711505132649</c:v>
                </c:pt>
                <c:pt idx="43">
                  <c:v>131.76909745367286</c:v>
                </c:pt>
                <c:pt idx="44">
                  <c:v>86.281829089454732</c:v>
                </c:pt>
                <c:pt idx="45">
                  <c:v>106.35915211305158</c:v>
                </c:pt>
                <c:pt idx="46">
                  <c:v>125.92987601653111</c:v>
                </c:pt>
                <c:pt idx="47">
                  <c:v>164.77802959605384</c:v>
                </c:pt>
                <c:pt idx="48">
                  <c:v>152.49966671110516</c:v>
                </c:pt>
                <c:pt idx="49">
                  <c:v>158.65884548726837</c:v>
                </c:pt>
                <c:pt idx="50">
                  <c:v>216.94440741234499</c:v>
                </c:pt>
                <c:pt idx="51">
                  <c:v>291.98773496867085</c:v>
                </c:pt>
                <c:pt idx="52">
                  <c:v>276.4564724703373</c:v>
                </c:pt>
                <c:pt idx="53">
                  <c:v>354.5127316357819</c:v>
                </c:pt>
                <c:pt idx="54">
                  <c:v>532.79562724969992</c:v>
                </c:pt>
                <c:pt idx="55">
                  <c:v>549.75336621783754</c:v>
                </c:pt>
                <c:pt idx="56">
                  <c:v>476.22983602186378</c:v>
                </c:pt>
                <c:pt idx="57">
                  <c:v>606.67910945207302</c:v>
                </c:pt>
                <c:pt idx="58">
                  <c:v>1001.1998400213305</c:v>
                </c:pt>
                <c:pt idx="59">
                  <c:v>1511.7850953206239</c:v>
                </c:pt>
                <c:pt idx="60">
                  <c:v>1305.5592587654978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7-47AE-8071-3F842B0E7146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'Bear Assumptions'!$W$15:$W$75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>
                  <c:v>162.06231258219083</c:v>
                </c:pt>
                <c:pt idx="58">
                  <c:v>170.03476472381612</c:v>
                </c:pt>
                <c:pt idx="59">
                  <c:v>168.93858383804371</c:v>
                </c:pt>
                <c:pt idx="60">
                  <c:v>170.25704963983927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7-47AE-8071-3F842B0E7146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'Bear Assumptions'!$X$15:$X$75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>
                  <c:v>166.76217296363035</c:v>
                </c:pt>
                <c:pt idx="58">
                  <c:v>179.54436408345308</c:v>
                </c:pt>
                <c:pt idx="59">
                  <c:v>176.40601444316923</c:v>
                </c:pt>
                <c:pt idx="60">
                  <c:v>176.0596564499464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97-47AE-8071-3F842B0E7146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'Bear Assumptions'!$Y$15:$Y$75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>
                  <c:v>141.0303594678501</c:v>
                </c:pt>
                <c:pt idx="58">
                  <c:v>144.25973751873488</c:v>
                </c:pt>
                <c:pt idx="59">
                  <c:v>146.02933983238046</c:v>
                </c:pt>
                <c:pt idx="60">
                  <c:v>150.87772788139713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97-47AE-8071-3F842B0E7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15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16036020000</c:v>
                </c:pt>
                <c:pt idx="1">
                  <c:v>28063035000</c:v>
                </c:pt>
                <c:pt idx="2">
                  <c:v>46304007750</c:v>
                </c:pt>
                <c:pt idx="3">
                  <c:v>71771212012.5</c:v>
                </c:pt>
                <c:pt idx="4">
                  <c:v>96891136216.875</c:v>
                </c:pt>
                <c:pt idx="5">
                  <c:v>155025817947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F-4E94-9B30-852D34F2B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0E-4838-8643-B3EFA3F47E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1868.5427464142801</c:v>
                </c:pt>
                <c:pt idx="1">
                  <c:v>889.54</c:v>
                </c:pt>
                <c:pt idx="2">
                  <c:v>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0E-4838-8643-B3EFA3F47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MU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Micron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'Bull Assumptions'!$V$15:$V$75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93.627516331155846</c:v>
                </c:pt>
                <c:pt idx="2">
                  <c:v>94.640714571390475</c:v>
                </c:pt>
                <c:pt idx="3">
                  <c:v>92.121050526596434</c:v>
                </c:pt>
                <c:pt idx="4">
                  <c:v>111.21183842154379</c:v>
                </c:pt>
                <c:pt idx="5">
                  <c:v>125.87654979336087</c:v>
                </c:pt>
                <c:pt idx="6">
                  <c:v>109.22543660845221</c:v>
                </c:pt>
                <c:pt idx="7">
                  <c:v>109.19877349686706</c:v>
                </c:pt>
                <c:pt idx="8">
                  <c:v>101.55979202772964</c:v>
                </c:pt>
                <c:pt idx="9">
                  <c:v>90.9078789494734</c:v>
                </c:pt>
                <c:pt idx="10">
                  <c:v>91.854419410745237</c:v>
                </c:pt>
                <c:pt idx="11">
                  <c:v>74.323423543527525</c:v>
                </c:pt>
                <c:pt idx="12">
                  <c:v>82.469004132782288</c:v>
                </c:pt>
                <c:pt idx="13">
                  <c:v>75.096653779496052</c:v>
                </c:pt>
                <c:pt idx="14">
                  <c:v>66.791094520730567</c:v>
                </c:pt>
                <c:pt idx="15">
                  <c:v>74.72337021730435</c:v>
                </c:pt>
                <c:pt idx="16">
                  <c:v>77.869617384348743</c:v>
                </c:pt>
                <c:pt idx="17">
                  <c:v>66.631115851219818</c:v>
                </c:pt>
                <c:pt idx="18">
                  <c:v>85.148646847087051</c:v>
                </c:pt>
                <c:pt idx="19">
                  <c:v>77.562991601119847</c:v>
                </c:pt>
                <c:pt idx="20">
                  <c:v>81.535795227303026</c:v>
                </c:pt>
                <c:pt idx="21">
                  <c:v>81.495800559925343</c:v>
                </c:pt>
                <c:pt idx="22">
                  <c:v>90.881215837888277</c:v>
                </c:pt>
                <c:pt idx="23">
                  <c:v>84.135448606852421</c:v>
                </c:pt>
                <c:pt idx="24">
                  <c:v>94.920677243034262</c:v>
                </c:pt>
                <c:pt idx="25">
                  <c:v>84.948673510198631</c:v>
                </c:pt>
                <c:pt idx="26">
                  <c:v>91.8277562991601</c:v>
                </c:pt>
                <c:pt idx="27">
                  <c:v>89.614718037594969</c:v>
                </c:pt>
                <c:pt idx="28">
                  <c:v>103.39954672710306</c:v>
                </c:pt>
                <c:pt idx="29">
                  <c:v>113.7714971337155</c:v>
                </c:pt>
                <c:pt idx="30">
                  <c:v>115.29129449406746</c:v>
                </c:pt>
                <c:pt idx="31">
                  <c:v>126.84975336621784</c:v>
                </c:pt>
                <c:pt idx="32">
                  <c:v>146.92707638981469</c:v>
                </c:pt>
                <c:pt idx="33">
                  <c:v>142.34102119717369</c:v>
                </c:pt>
                <c:pt idx="34">
                  <c:v>167.03106252499666</c:v>
                </c:pt>
                <c:pt idx="35">
                  <c:v>186.02852952939605</c:v>
                </c:pt>
                <c:pt idx="36">
                  <c:v>145.86055192640978</c:v>
                </c:pt>
                <c:pt idx="37">
                  <c:v>137.11505132648978</c:v>
                </c:pt>
                <c:pt idx="38">
                  <c:v>121.18384215437941</c:v>
                </c:pt>
                <c:pt idx="39">
                  <c:v>148.18024263431542</c:v>
                </c:pt>
                <c:pt idx="40">
                  <c:v>136.835088654846</c:v>
                </c:pt>
                <c:pt idx="41">
                  <c:v>119.81069190774562</c:v>
                </c:pt>
                <c:pt idx="42">
                  <c:v>121.63711505132649</c:v>
                </c:pt>
                <c:pt idx="43">
                  <c:v>131.76909745367286</c:v>
                </c:pt>
                <c:pt idx="44">
                  <c:v>86.281829089454732</c:v>
                </c:pt>
                <c:pt idx="45">
                  <c:v>106.35915211305158</c:v>
                </c:pt>
                <c:pt idx="46">
                  <c:v>125.92987601653111</c:v>
                </c:pt>
                <c:pt idx="47">
                  <c:v>164.77802959605384</c:v>
                </c:pt>
                <c:pt idx="48">
                  <c:v>152.49966671110516</c:v>
                </c:pt>
                <c:pt idx="49">
                  <c:v>158.65884548726837</c:v>
                </c:pt>
                <c:pt idx="50">
                  <c:v>216.94440741234499</c:v>
                </c:pt>
                <c:pt idx="51">
                  <c:v>291.98773496867085</c:v>
                </c:pt>
                <c:pt idx="52">
                  <c:v>276.4564724703373</c:v>
                </c:pt>
                <c:pt idx="53">
                  <c:v>354.5127316357819</c:v>
                </c:pt>
                <c:pt idx="54">
                  <c:v>532.79562724969992</c:v>
                </c:pt>
                <c:pt idx="55">
                  <c:v>549.75336621783754</c:v>
                </c:pt>
                <c:pt idx="56">
                  <c:v>476.22983602186378</c:v>
                </c:pt>
                <c:pt idx="57">
                  <c:v>606.67910945207302</c:v>
                </c:pt>
                <c:pt idx="58">
                  <c:v>1001.1998400213305</c:v>
                </c:pt>
                <c:pt idx="59">
                  <c:v>1511.7850953206239</c:v>
                </c:pt>
                <c:pt idx="60">
                  <c:v>1305.5592587654978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2-4DD4-9BCB-B53B8BDCE7DD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'Bull Assumptions'!$W$15:$W$75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>
                  <c:v>162.06231258219083</c:v>
                </c:pt>
                <c:pt idx="58">
                  <c:v>170.03476472381612</c:v>
                </c:pt>
                <c:pt idx="59">
                  <c:v>168.93858383804371</c:v>
                </c:pt>
                <c:pt idx="60">
                  <c:v>170.25704963983927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B2-4DD4-9BCB-B53B8BDCE7DD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'Bull Assumptions'!$X$15:$X$75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>
                  <c:v>166.76217296363035</c:v>
                </c:pt>
                <c:pt idx="58">
                  <c:v>179.54436408345308</c:v>
                </c:pt>
                <c:pt idx="59">
                  <c:v>176.40601444316923</c:v>
                </c:pt>
                <c:pt idx="60">
                  <c:v>176.0596564499464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B2-4DD4-9BCB-B53B8BDCE7DD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Assumptions'!$U$15:$U$75</c:f>
              <c:numCache>
                <c:formatCode>mmm\-yy</c:formatCode>
                <c:ptCount val="61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  <c:pt idx="59">
                  <c:v>46174</c:v>
                </c:pt>
                <c:pt idx="60">
                  <c:v>46204</c:v>
                </c:pt>
              </c:numCache>
            </c:numRef>
          </c:cat>
          <c:val>
            <c:numRef>
              <c:f>'Bull Assumptions'!$Y$15:$Y$75</c:f>
              <c:numCache>
                <c:formatCode>0.00</c:formatCode>
                <c:ptCount val="61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>
                  <c:v>141.0303594678501</c:v>
                </c:pt>
                <c:pt idx="58">
                  <c:v>144.25973751873488</c:v>
                </c:pt>
                <c:pt idx="59">
                  <c:v>146.02933983238046</c:v>
                </c:pt>
                <c:pt idx="60">
                  <c:v>150.87772788139713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B2-4DD4-9BCB-B53B8BDCE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15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8DFEC-6E84-4C96-83C6-8AB82FC90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98BA85-87BD-42DD-9BCA-2101BA6C6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A67885-AB52-49E1-A1A9-FD34DF7DC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CF003-8911-49D4-91F8-4B64E6F9A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EB1D66-3DF0-4A2C-885F-91C66FF20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06CEE2-9A9A-4F76-B738-736CC02B2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2189-1679-44C1-BF4F-60878C44A431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105</v>
      </c>
    </row>
    <row r="3" spans="2:3" x14ac:dyDescent="0.25">
      <c r="B3" s="61" t="s">
        <v>106</v>
      </c>
      <c r="C3" s="62" t="s">
        <v>127</v>
      </c>
    </row>
    <row r="4" spans="2:3" x14ac:dyDescent="0.25">
      <c r="B4" s="63" t="s">
        <v>107</v>
      </c>
      <c r="C4" s="64">
        <v>2.14</v>
      </c>
    </row>
    <row r="5" spans="2:3" x14ac:dyDescent="0.25">
      <c r="B5" s="63" t="s">
        <v>33</v>
      </c>
      <c r="C5" s="65">
        <v>1070047000000</v>
      </c>
    </row>
    <row r="6" spans="2:3" x14ac:dyDescent="0.25">
      <c r="B6" s="63" t="s">
        <v>108</v>
      </c>
      <c r="C6" s="65">
        <v>5720000000</v>
      </c>
    </row>
    <row r="7" spans="2:3" x14ac:dyDescent="0.25">
      <c r="B7" s="63" t="s">
        <v>109</v>
      </c>
      <c r="C7" s="65">
        <v>230000000</v>
      </c>
    </row>
    <row r="8" spans="2:3" x14ac:dyDescent="0.25">
      <c r="B8" s="63" t="s">
        <v>110</v>
      </c>
      <c r="C8" s="66">
        <v>0.15</v>
      </c>
    </row>
    <row r="9" spans="2:3" x14ac:dyDescent="0.25">
      <c r="B9" s="42" t="s">
        <v>111</v>
      </c>
      <c r="C9" s="67">
        <v>4.48E-2</v>
      </c>
    </row>
    <row r="11" spans="2:3" x14ac:dyDescent="0.25">
      <c r="B11" s="3" t="s">
        <v>112</v>
      </c>
    </row>
    <row r="12" spans="2:3" x14ac:dyDescent="0.25">
      <c r="B12" t="s">
        <v>113</v>
      </c>
      <c r="C12" s="68">
        <f>C5+C6</f>
        <v>1075767000000</v>
      </c>
    </row>
    <row r="13" spans="2:3" x14ac:dyDescent="0.25">
      <c r="B13" t="s">
        <v>114</v>
      </c>
      <c r="C13" s="69">
        <f>C5/C12</f>
        <v>0.99468286348251989</v>
      </c>
    </row>
    <row r="14" spans="2:3" x14ac:dyDescent="0.25">
      <c r="B14" t="s">
        <v>115</v>
      </c>
      <c r="C14" s="69">
        <f>C6/C12</f>
        <v>5.3171365174800866E-3</v>
      </c>
    </row>
    <row r="16" spans="2:3" ht="18" x14ac:dyDescent="0.35">
      <c r="B16" s="3" t="s">
        <v>116</v>
      </c>
    </row>
    <row r="17" spans="2:3" x14ac:dyDescent="0.25">
      <c r="B17" t="s">
        <v>117</v>
      </c>
      <c r="C17" t="s">
        <v>118</v>
      </c>
    </row>
    <row r="18" spans="2:3" x14ac:dyDescent="0.25">
      <c r="B18" t="s">
        <v>119</v>
      </c>
      <c r="C18" s="21">
        <f>9%-C9</f>
        <v>4.5199999999999997E-2</v>
      </c>
    </row>
    <row r="19" spans="2:3" x14ac:dyDescent="0.25">
      <c r="B19" t="s">
        <v>120</v>
      </c>
      <c r="C19" s="21">
        <f>C9+(2.14*C18)</f>
        <v>0.14152799999999999</v>
      </c>
    </row>
    <row r="21" spans="2:3" ht="18" x14ac:dyDescent="0.35">
      <c r="B21" s="3" t="s">
        <v>121</v>
      </c>
    </row>
    <row r="22" spans="2:3" x14ac:dyDescent="0.25">
      <c r="B22" t="s">
        <v>122</v>
      </c>
      <c r="C22" s="69">
        <f>C7/C6</f>
        <v>4.0209790209790208E-2</v>
      </c>
    </row>
    <row r="23" spans="2:3" x14ac:dyDescent="0.25">
      <c r="B23" t="s">
        <v>123</v>
      </c>
      <c r="C23" t="s">
        <v>124</v>
      </c>
    </row>
    <row r="24" spans="2:3" x14ac:dyDescent="0.25">
      <c r="B24" t="s">
        <v>120</v>
      </c>
      <c r="C24" s="69">
        <f>C22*(1-C8)</f>
        <v>3.4178321678321674E-2</v>
      </c>
    </row>
    <row r="26" spans="2:3" x14ac:dyDescent="0.25">
      <c r="B26" s="3" t="s">
        <v>125</v>
      </c>
    </row>
    <row r="27" spans="2:3" ht="18" x14ac:dyDescent="0.35">
      <c r="B27" t="s">
        <v>117</v>
      </c>
      <c r="C27" t="s">
        <v>126</v>
      </c>
    </row>
    <row r="28" spans="2:3" x14ac:dyDescent="0.25">
      <c r="B28" t="s">
        <v>120</v>
      </c>
      <c r="C28" s="21">
        <f>(C13*C19)+(C14*C24)</f>
        <v>0.14095720710525605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0.15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f>'WACC Input'!C28</f>
        <v>0.14095720710525605</v>
      </c>
      <c r="C7" s="41"/>
      <c r="P7">
        <v>2026</v>
      </c>
      <c r="Q7" s="26">
        <f>D28</f>
        <v>10559850000</v>
      </c>
      <c r="R7" s="26"/>
      <c r="S7" t="s">
        <v>41</v>
      </c>
      <c r="T7" s="16">
        <f>B40</f>
        <v>1204.3211874053825</v>
      </c>
    </row>
    <row r="8" spans="1:26" x14ac:dyDescent="0.25">
      <c r="A8" s="40" t="s">
        <v>4</v>
      </c>
      <c r="B8" s="32">
        <v>2.5000000000000001E-2</v>
      </c>
      <c r="C8" s="41"/>
      <c r="P8">
        <v>2027</v>
      </c>
      <c r="Q8" s="26">
        <f>E28</f>
        <v>17951745000</v>
      </c>
      <c r="R8" s="26"/>
      <c r="S8" t="s">
        <v>55</v>
      </c>
      <c r="T8" s="16">
        <v>225.32</v>
      </c>
    </row>
    <row r="9" spans="1:26" x14ac:dyDescent="0.25">
      <c r="A9" s="40" t="s">
        <v>5</v>
      </c>
      <c r="B9" s="33" t="s">
        <v>87</v>
      </c>
      <c r="C9" s="41"/>
      <c r="P9">
        <v>2028</v>
      </c>
      <c r="Q9" s="26">
        <f>F28</f>
        <v>28722792000</v>
      </c>
      <c r="R9" s="26"/>
      <c r="S9" t="s">
        <v>8</v>
      </c>
      <c r="T9" s="16">
        <f>B12</f>
        <v>979</v>
      </c>
    </row>
    <row r="10" spans="1:26" x14ac:dyDescent="0.25">
      <c r="A10" s="40" t="s">
        <v>6</v>
      </c>
      <c r="B10" s="34">
        <v>46213</v>
      </c>
      <c r="C10" s="41"/>
      <c r="P10">
        <v>2029</v>
      </c>
      <c r="Q10" s="26">
        <f>G28</f>
        <v>43084188000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56009444400</v>
      </c>
      <c r="R11" s="26"/>
    </row>
    <row r="12" spans="1:26" x14ac:dyDescent="0.25">
      <c r="A12" s="40" t="s">
        <v>8</v>
      </c>
      <c r="B12" s="35">
        <v>979</v>
      </c>
      <c r="C12" s="41" t="s">
        <v>81</v>
      </c>
      <c r="P12">
        <v>2031</v>
      </c>
      <c r="Q12" s="26">
        <f>I28</f>
        <v>86814638820</v>
      </c>
      <c r="R12" s="26"/>
    </row>
    <row r="13" spans="1:26" x14ac:dyDescent="0.25">
      <c r="A13" s="40" t="s">
        <v>9</v>
      </c>
      <c r="B13" s="36">
        <v>1093000000</v>
      </c>
      <c r="C13" s="41"/>
    </row>
    <row r="14" spans="1:26" x14ac:dyDescent="0.25">
      <c r="A14" s="40" t="s">
        <v>10</v>
      </c>
      <c r="B14" s="35">
        <v>5720000000</v>
      </c>
      <c r="C14" s="41"/>
      <c r="P14" s="6" t="s">
        <v>16</v>
      </c>
      <c r="Q14" s="6" t="s">
        <v>91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92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16700000000</v>
      </c>
      <c r="C15" s="41"/>
      <c r="P15" s="56">
        <v>44378</v>
      </c>
      <c r="Q15" s="6">
        <v>75.010000000000005</v>
      </c>
      <c r="R15" s="6">
        <v>4395.26</v>
      </c>
      <c r="S15" s="6">
        <v>14672.68</v>
      </c>
      <c r="T15" s="6">
        <v>35061.550000000003</v>
      </c>
      <c r="U15" s="56">
        <v>44378</v>
      </c>
      <c r="V15" s="57">
        <f t="shared" ref="V15:V75" si="0">(Q15/$Q$15)*100</f>
        <v>100</v>
      </c>
      <c r="W15" s="57">
        <f>(R15/$R$15)*100</f>
        <v>100</v>
      </c>
      <c r="X15" s="57">
        <f>(S15/$S$15)*100</f>
        <v>100</v>
      </c>
      <c r="Y15" s="57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94</v>
      </c>
      <c r="C16" s="41"/>
      <c r="P16" s="56">
        <v>44409</v>
      </c>
      <c r="Q16" s="6">
        <v>70.23</v>
      </c>
      <c r="R16" s="6">
        <v>4509.37</v>
      </c>
      <c r="S16" s="6">
        <v>14714.66</v>
      </c>
      <c r="T16" s="6">
        <v>35120.080000000002</v>
      </c>
      <c r="U16" s="56">
        <v>44409</v>
      </c>
      <c r="V16" s="58">
        <f t="shared" si="0"/>
        <v>93.627516331155846</v>
      </c>
      <c r="W16" s="58">
        <f>(R16/$R$15)*100</f>
        <v>102.59620591273327</v>
      </c>
      <c r="X16" s="58">
        <f>(S16/$S$15)*100</f>
        <v>100.28610996764054</v>
      </c>
      <c r="Y16" s="58">
        <f>(T16/$T$15)*100</f>
        <v>100.16693500429959</v>
      </c>
      <c r="Z16" t="s">
        <v>74</v>
      </c>
    </row>
    <row r="17" spans="1:25" x14ac:dyDescent="0.25">
      <c r="A17" s="42" t="s">
        <v>78</v>
      </c>
      <c r="B17" s="43"/>
      <c r="C17" s="44"/>
      <c r="P17" s="56">
        <v>44440</v>
      </c>
      <c r="Q17" s="6">
        <v>70.989999999999995</v>
      </c>
      <c r="R17" s="6">
        <v>4455.4799999999996</v>
      </c>
      <c r="S17" s="6">
        <v>15047.7</v>
      </c>
      <c r="T17" s="6">
        <v>34326.46</v>
      </c>
      <c r="U17" s="56">
        <v>44440</v>
      </c>
      <c r="V17" s="58">
        <f t="shared" si="0"/>
        <v>94.640714571390475</v>
      </c>
      <c r="W17" s="58">
        <f>(R17/$R$15)*100</f>
        <v>101.37011234830247</v>
      </c>
      <c r="X17" s="58">
        <f>(S17/$S$15)*100</f>
        <v>102.55590662373881</v>
      </c>
      <c r="Y17" s="58">
        <f>(T17/$T$15)*100</f>
        <v>97.903429825549622</v>
      </c>
    </row>
    <row r="18" spans="1:25" x14ac:dyDescent="0.25">
      <c r="P18" s="56">
        <v>44470</v>
      </c>
      <c r="Q18" s="6">
        <v>69.099999999999994</v>
      </c>
      <c r="R18" s="6">
        <v>4544.8999999999996</v>
      </c>
      <c r="S18" s="6">
        <v>15498.39</v>
      </c>
      <c r="T18" s="6">
        <v>35677.019999999997</v>
      </c>
      <c r="U18" s="56">
        <v>44470</v>
      </c>
      <c r="V18" s="58">
        <f t="shared" si="0"/>
        <v>92.121050526596434</v>
      </c>
      <c r="W18" s="58">
        <f t="shared" ref="W18:W75" si="1">(R18/$R$15)*100</f>
        <v>103.40457674858823</v>
      </c>
      <c r="X18" s="58">
        <f t="shared" ref="X18:X75" si="2">(S18/$S$15)*100</f>
        <v>105.62753362030656</v>
      </c>
      <c r="Y18" s="58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44501</v>
      </c>
      <c r="Q19" s="6">
        <v>83.42</v>
      </c>
      <c r="R19" s="6">
        <v>4594.62</v>
      </c>
      <c r="S19" s="6">
        <v>15085.47</v>
      </c>
      <c r="T19" s="6">
        <v>34889.339999999997</v>
      </c>
      <c r="U19" s="56">
        <v>44501</v>
      </c>
      <c r="V19" s="58">
        <f t="shared" si="0"/>
        <v>111.21183842154379</v>
      </c>
      <c r="W19" s="58">
        <f t="shared" si="1"/>
        <v>104.53579537956799</v>
      </c>
      <c r="X19" s="58">
        <f t="shared" si="2"/>
        <v>102.81332380996517</v>
      </c>
      <c r="Y19" s="58">
        <f t="shared" si="3"/>
        <v>99.508835176995873</v>
      </c>
    </row>
    <row r="20" spans="1:25" x14ac:dyDescent="0.25">
      <c r="A20" t="s">
        <v>16</v>
      </c>
      <c r="C20" s="7">
        <v>46213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767395205627.25342</v>
      </c>
      <c r="P20" s="56">
        <v>44531</v>
      </c>
      <c r="Q20" s="6">
        <v>94.42</v>
      </c>
      <c r="R20" s="6">
        <v>4766.18</v>
      </c>
      <c r="S20" s="6">
        <v>15653.37</v>
      </c>
      <c r="T20" s="6">
        <v>35950.559999999998</v>
      </c>
      <c r="U20" s="56">
        <v>44531</v>
      </c>
      <c r="V20" s="58">
        <f t="shared" si="0"/>
        <v>125.87654979336087</v>
      </c>
      <c r="W20" s="58">
        <f t="shared" si="1"/>
        <v>108.43909120279574</v>
      </c>
      <c r="X20" s="58">
        <f t="shared" si="2"/>
        <v>106.68378237649836</v>
      </c>
      <c r="Y20" s="58">
        <f t="shared" si="3"/>
        <v>102.53556959119035</v>
      </c>
    </row>
    <row r="21" spans="1:25" x14ac:dyDescent="0.25">
      <c r="A21" t="s">
        <v>18</v>
      </c>
      <c r="B21" t="s">
        <v>86</v>
      </c>
      <c r="D21" s="5">
        <v>37380000000</v>
      </c>
      <c r="E21" s="5">
        <f>D21*1.7</f>
        <v>63546000000</v>
      </c>
      <c r="F21" s="5">
        <f>E21*1.6</f>
        <v>101673600000</v>
      </c>
      <c r="G21" s="5">
        <f>F21*1.5</f>
        <v>152510400000</v>
      </c>
      <c r="H21" s="5">
        <f>G21*1.3</f>
        <v>198263520000</v>
      </c>
      <c r="I21" s="5">
        <f>H21*1.55</f>
        <v>307308456000</v>
      </c>
      <c r="L21" t="s">
        <v>19</v>
      </c>
      <c r="M21" s="13">
        <f>(I22+I25)*16</f>
        <v>4179395001600</v>
      </c>
      <c r="P21" s="56">
        <v>44562</v>
      </c>
      <c r="Q21" s="58">
        <v>81.93</v>
      </c>
      <c r="R21" s="6">
        <v>4500.53</v>
      </c>
      <c r="S21" s="6">
        <v>13770.57</v>
      </c>
      <c r="T21" s="6">
        <v>34725.47</v>
      </c>
      <c r="U21" s="56">
        <v>44562</v>
      </c>
      <c r="V21" s="58">
        <f t="shared" si="0"/>
        <v>109.22543660845221</v>
      </c>
      <c r="W21" s="58">
        <f t="shared" si="1"/>
        <v>102.39508015453009</v>
      </c>
      <c r="X21" s="58">
        <f t="shared" si="2"/>
        <v>93.851770773982665</v>
      </c>
      <c r="Y21" s="58">
        <f t="shared" si="3"/>
        <v>99.041457094737666</v>
      </c>
    </row>
    <row r="22" spans="1:25" x14ac:dyDescent="0.25">
      <c r="A22" t="s">
        <v>77</v>
      </c>
      <c r="B22" t="s">
        <v>88</v>
      </c>
      <c r="C22" s="25">
        <v>0.65</v>
      </c>
      <c r="D22" s="5">
        <f>D21*$C$22</f>
        <v>24297000000</v>
      </c>
      <c r="E22" s="5">
        <f t="shared" ref="E22:I22" si="4">E21*$C$22</f>
        <v>41304900000</v>
      </c>
      <c r="F22" s="5">
        <f t="shared" si="4"/>
        <v>66087840000</v>
      </c>
      <c r="G22" s="5">
        <f t="shared" si="4"/>
        <v>99131760000</v>
      </c>
      <c r="H22" s="5">
        <f t="shared" si="4"/>
        <v>128871288000</v>
      </c>
      <c r="I22" s="5">
        <f t="shared" si="4"/>
        <v>199750496400</v>
      </c>
      <c r="L22" t="s">
        <v>20</v>
      </c>
      <c r="M22" s="13">
        <f>(M20+M21)/2</f>
        <v>2473395103613.627</v>
      </c>
      <c r="P22" s="56">
        <v>44593</v>
      </c>
      <c r="Q22" s="6">
        <v>81.91</v>
      </c>
      <c r="R22" s="6">
        <v>4384.6499999999996</v>
      </c>
      <c r="S22" s="6">
        <v>13313.44</v>
      </c>
      <c r="T22" s="6">
        <v>34058.75</v>
      </c>
      <c r="U22" s="56">
        <v>44593</v>
      </c>
      <c r="V22" s="58">
        <f t="shared" si="0"/>
        <v>109.19877349686706</v>
      </c>
      <c r="W22" s="58">
        <f t="shared" si="1"/>
        <v>99.758603586590993</v>
      </c>
      <c r="X22" s="58">
        <f t="shared" si="2"/>
        <v>90.736252681854992</v>
      </c>
      <c r="Y22" s="58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3644550000</v>
      </c>
      <c r="E23" s="30">
        <f t="shared" ref="E23:I23" si="5">E22*$B$6</f>
        <v>6195735000</v>
      </c>
      <c r="F23" s="5">
        <f t="shared" si="5"/>
        <v>9913176000</v>
      </c>
      <c r="G23" s="30">
        <f t="shared" si="5"/>
        <v>14869764000</v>
      </c>
      <c r="H23" s="30">
        <f t="shared" si="5"/>
        <v>19330693200</v>
      </c>
      <c r="I23" s="5">
        <f t="shared" si="5"/>
        <v>29962574460</v>
      </c>
      <c r="P23" s="56">
        <v>44621</v>
      </c>
      <c r="Q23" s="6">
        <v>76.180000000000007</v>
      </c>
      <c r="R23" s="6">
        <v>4543.0600000000004</v>
      </c>
      <c r="S23" s="6">
        <v>14169.3</v>
      </c>
      <c r="T23" s="6">
        <v>34861.24</v>
      </c>
      <c r="U23" s="56">
        <v>44621</v>
      </c>
      <c r="V23" s="58">
        <f t="shared" si="0"/>
        <v>101.55979202772964</v>
      </c>
      <c r="W23" s="58">
        <f t="shared" si="1"/>
        <v>103.36271346860026</v>
      </c>
      <c r="X23" s="58">
        <f t="shared" si="2"/>
        <v>96.569270235567046</v>
      </c>
      <c r="Y23" s="58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20652450000</v>
      </c>
      <c r="E24" s="5">
        <f t="shared" ref="E24:I24" si="6">E22*(1-$B$6)</f>
        <v>35109165000</v>
      </c>
      <c r="F24" s="5">
        <f t="shared" si="6"/>
        <v>56174664000</v>
      </c>
      <c r="G24" s="5">
        <f t="shared" si="6"/>
        <v>84261996000</v>
      </c>
      <c r="H24" s="5">
        <f t="shared" si="6"/>
        <v>109540594800</v>
      </c>
      <c r="I24" s="5">
        <f t="shared" si="6"/>
        <v>169787921940</v>
      </c>
      <c r="P24" s="56">
        <v>44652</v>
      </c>
      <c r="Q24" s="6">
        <v>68.19</v>
      </c>
      <c r="R24" s="6">
        <v>4271.78</v>
      </c>
      <c r="S24" s="6">
        <v>12839.29</v>
      </c>
      <c r="T24" s="6">
        <v>33811.4</v>
      </c>
      <c r="U24" s="56">
        <v>44652</v>
      </c>
      <c r="V24" s="58">
        <f t="shared" si="0"/>
        <v>90.9078789494734</v>
      </c>
      <c r="W24" s="58">
        <f t="shared" si="1"/>
        <v>97.190609884284413</v>
      </c>
      <c r="X24" s="58">
        <f t="shared" si="2"/>
        <v>87.504736694318979</v>
      </c>
      <c r="Y24" s="58">
        <f t="shared" si="3"/>
        <v>96.434413196222067</v>
      </c>
    </row>
    <row r="25" spans="1:25" x14ac:dyDescent="0.25">
      <c r="A25" s="4" t="s">
        <v>25</v>
      </c>
      <c r="B25" s="8" t="s">
        <v>89</v>
      </c>
      <c r="C25" s="60">
        <v>0.2</v>
      </c>
      <c r="D25" s="12">
        <f>D21*$C$25</f>
        <v>7476000000</v>
      </c>
      <c r="E25" s="12">
        <f t="shared" ref="E25:I25" si="7">E21*$C$25</f>
        <v>12709200000</v>
      </c>
      <c r="F25" s="12">
        <f t="shared" si="7"/>
        <v>20334720000</v>
      </c>
      <c r="G25" s="12">
        <f t="shared" si="7"/>
        <v>30502080000</v>
      </c>
      <c r="H25" s="12">
        <f t="shared" si="7"/>
        <v>39652704000</v>
      </c>
      <c r="I25" s="12">
        <f t="shared" si="7"/>
        <v>61461691200</v>
      </c>
      <c r="P25" s="56">
        <v>44682</v>
      </c>
      <c r="Q25" s="6">
        <v>68.900000000000006</v>
      </c>
      <c r="R25" s="6">
        <v>4158.24</v>
      </c>
      <c r="S25" s="6">
        <v>11354.62</v>
      </c>
      <c r="T25" s="6">
        <v>33212.959999999999</v>
      </c>
      <c r="U25" s="56">
        <v>44682</v>
      </c>
      <c r="V25" s="58">
        <f t="shared" si="0"/>
        <v>91.854419410745237</v>
      </c>
      <c r="W25" s="58">
        <f t="shared" si="1"/>
        <v>94.607372487634393</v>
      </c>
      <c r="X25" s="58">
        <f t="shared" si="2"/>
        <v>77.386135320882076</v>
      </c>
      <c r="Y25" s="58">
        <f t="shared" si="3"/>
        <v>94.727586201979079</v>
      </c>
    </row>
    <row r="26" spans="1:25" x14ac:dyDescent="0.25">
      <c r="A26" t="s">
        <v>26</v>
      </c>
      <c r="B26" t="s">
        <v>93</v>
      </c>
      <c r="C26" s="25">
        <v>0.45</v>
      </c>
      <c r="D26" s="10">
        <f>D21*$C$26</f>
        <v>16821000000</v>
      </c>
      <c r="E26" s="10">
        <f t="shared" ref="E26:I26" si="8">E21*$C$26</f>
        <v>28595700000</v>
      </c>
      <c r="F26" s="10">
        <f t="shared" si="8"/>
        <v>45753120000</v>
      </c>
      <c r="G26" s="10">
        <f t="shared" si="8"/>
        <v>68629680000</v>
      </c>
      <c r="H26" s="10">
        <f t="shared" si="8"/>
        <v>89218584000</v>
      </c>
      <c r="I26" s="10">
        <f t="shared" si="8"/>
        <v>138288805200</v>
      </c>
      <c r="P26" s="56">
        <v>44713</v>
      </c>
      <c r="Q26" s="6">
        <v>55.75</v>
      </c>
      <c r="R26" s="6">
        <v>3911.74</v>
      </c>
      <c r="S26" s="6">
        <v>11127.85</v>
      </c>
      <c r="T26" s="6">
        <v>31097.26</v>
      </c>
      <c r="U26" s="56">
        <v>44713</v>
      </c>
      <c r="V26" s="58">
        <f t="shared" si="0"/>
        <v>74.323423543527525</v>
      </c>
      <c r="W26" s="58">
        <f t="shared" si="1"/>
        <v>88.999058076200271</v>
      </c>
      <c r="X26" s="58">
        <f t="shared" si="2"/>
        <v>75.840609895397435</v>
      </c>
      <c r="Y26" s="58">
        <f t="shared" si="3"/>
        <v>88.693340710835642</v>
      </c>
    </row>
    <row r="27" spans="1:25" x14ac:dyDescent="0.25">
      <c r="A27" t="s">
        <v>27</v>
      </c>
      <c r="B27" t="s">
        <v>90</v>
      </c>
      <c r="C27" s="25">
        <v>0.02</v>
      </c>
      <c r="D27" s="10">
        <f>D21*$C$27</f>
        <v>747600000</v>
      </c>
      <c r="E27" s="10">
        <f t="shared" ref="E27:I27" si="9">E21*$C$27</f>
        <v>1270920000</v>
      </c>
      <c r="F27" s="10">
        <f t="shared" si="9"/>
        <v>2033472000</v>
      </c>
      <c r="G27" s="10">
        <f t="shared" si="9"/>
        <v>3050208000</v>
      </c>
      <c r="H27" s="10">
        <f t="shared" si="9"/>
        <v>3965270400</v>
      </c>
      <c r="I27" s="10">
        <f t="shared" si="9"/>
        <v>6146169120</v>
      </c>
      <c r="P27" s="56">
        <v>44743</v>
      </c>
      <c r="Q27" s="6">
        <v>61.86</v>
      </c>
      <c r="R27" s="6">
        <v>4130.29</v>
      </c>
      <c r="S27" s="6">
        <v>12390.69</v>
      </c>
      <c r="T27" s="6">
        <v>32845.129999999997</v>
      </c>
      <c r="U27" s="56">
        <v>44743</v>
      </c>
      <c r="V27" s="58">
        <f t="shared" si="0"/>
        <v>82.469004132782288</v>
      </c>
      <c r="W27" s="58">
        <f t="shared" si="1"/>
        <v>93.971460163903842</v>
      </c>
      <c r="X27" s="58">
        <f t="shared" si="2"/>
        <v>84.447353857645638</v>
      </c>
      <c r="Y27" s="58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10559850000</v>
      </c>
      <c r="E28" s="12">
        <f t="shared" ref="E28:I28" si="10">E24+E25-E26-E27</f>
        <v>17951745000</v>
      </c>
      <c r="F28" s="12">
        <f t="shared" si="10"/>
        <v>28722792000</v>
      </c>
      <c r="G28" s="12">
        <f t="shared" si="10"/>
        <v>43084188000</v>
      </c>
      <c r="H28" s="12">
        <f t="shared" si="10"/>
        <v>56009444400</v>
      </c>
      <c r="I28" s="12">
        <f t="shared" si="10"/>
        <v>86814638820</v>
      </c>
      <c r="P28" s="56">
        <v>44774</v>
      </c>
      <c r="Q28" s="6">
        <v>56.33</v>
      </c>
      <c r="R28" s="6">
        <v>3924.26</v>
      </c>
      <c r="S28" s="6">
        <v>12141.71</v>
      </c>
      <c r="T28" s="6">
        <v>31318.44</v>
      </c>
      <c r="U28" s="56">
        <v>44774</v>
      </c>
      <c r="V28" s="58">
        <f t="shared" si="0"/>
        <v>75.096653779496052</v>
      </c>
      <c r="W28" s="58">
        <f t="shared" si="1"/>
        <v>89.28391039437939</v>
      </c>
      <c r="X28" s="58">
        <f t="shared" si="2"/>
        <v>82.750458675579367</v>
      </c>
      <c r="Y28" s="58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44805</v>
      </c>
      <c r="Q29" s="6">
        <v>50.1</v>
      </c>
      <c r="R29" s="6">
        <v>3585.62</v>
      </c>
      <c r="S29" s="6">
        <v>10867.93</v>
      </c>
      <c r="T29" s="6">
        <v>30822.42</v>
      </c>
      <c r="U29" s="56">
        <v>44805</v>
      </c>
      <c r="V29" s="58">
        <f t="shared" si="0"/>
        <v>66.791094520730567</v>
      </c>
      <c r="W29" s="58">
        <f t="shared" si="1"/>
        <v>81.579246733981606</v>
      </c>
      <c r="X29" s="58">
        <f t="shared" si="2"/>
        <v>74.069154373979401</v>
      </c>
      <c r="Y29" s="58">
        <f t="shared" si="3"/>
        <v>87.90946207455174</v>
      </c>
    </row>
    <row r="30" spans="1:25" x14ac:dyDescent="0.25">
      <c r="A30" t="s">
        <v>36</v>
      </c>
      <c r="C30" s="13">
        <f>-G39</f>
        <v>-1059067000000</v>
      </c>
      <c r="D30" s="5">
        <f>D28</f>
        <v>10559850000</v>
      </c>
      <c r="E30" s="5">
        <f t="shared" ref="E30:I30" si="11">E28</f>
        <v>17951745000</v>
      </c>
      <c r="F30" s="5">
        <f t="shared" si="11"/>
        <v>28722792000</v>
      </c>
      <c r="G30" s="5">
        <f t="shared" si="11"/>
        <v>43084188000</v>
      </c>
      <c r="H30" s="5">
        <f t="shared" si="11"/>
        <v>56009444400</v>
      </c>
      <c r="I30" s="5">
        <f t="shared" si="11"/>
        <v>86814638820</v>
      </c>
      <c r="J30" s="13">
        <f>I28+M22</f>
        <v>2560209742433.627</v>
      </c>
      <c r="K30" t="s">
        <v>38</v>
      </c>
      <c r="P30" s="56">
        <v>44835</v>
      </c>
      <c r="Q30" s="6">
        <v>56.05</v>
      </c>
      <c r="R30" s="6">
        <v>3901.06</v>
      </c>
      <c r="S30" s="6">
        <v>11102.45</v>
      </c>
      <c r="T30" s="6">
        <v>32861.800000000003</v>
      </c>
      <c r="U30" s="56">
        <v>44835</v>
      </c>
      <c r="V30" s="58">
        <f t="shared" si="0"/>
        <v>74.72337021730435</v>
      </c>
      <c r="W30" s="58">
        <f t="shared" si="1"/>
        <v>88.756069038009116</v>
      </c>
      <c r="X30" s="58">
        <f t="shared" si="2"/>
        <v>75.667499052661142</v>
      </c>
      <c r="Y30" s="58">
        <f t="shared" si="3"/>
        <v>93.726033218725362</v>
      </c>
    </row>
    <row r="31" spans="1:25" x14ac:dyDescent="0.25">
      <c r="A31" t="s">
        <v>37</v>
      </c>
      <c r="D31" s="6">
        <f>1/(1+$B$7)^D29</f>
        <v>0.93619285437956623</v>
      </c>
      <c r="E31" s="6">
        <f t="shared" ref="E31:I31" si="12">1/(1+$B$7)^E29</f>
        <v>0.82053283729614956</v>
      </c>
      <c r="F31" s="6">
        <f t="shared" si="12"/>
        <v>0.71916179869527164</v>
      </c>
      <c r="G31" s="6">
        <f t="shared" si="12"/>
        <v>0.63031443617405303</v>
      </c>
      <c r="H31" s="6">
        <f t="shared" si="12"/>
        <v>0.55244353797741075</v>
      </c>
      <c r="I31" s="6">
        <f t="shared" si="12"/>
        <v>0.51719369270261839</v>
      </c>
      <c r="J31" t="s">
        <v>39</v>
      </c>
      <c r="P31" s="56">
        <v>44866</v>
      </c>
      <c r="Q31" s="6">
        <v>58.41</v>
      </c>
      <c r="R31" s="6">
        <v>4026.12</v>
      </c>
      <c r="S31" s="6">
        <v>11226.36</v>
      </c>
      <c r="T31" s="6">
        <v>34429.879999999997</v>
      </c>
      <c r="U31" s="56">
        <v>44866</v>
      </c>
      <c r="V31" s="58">
        <f t="shared" si="0"/>
        <v>77.869617384348743</v>
      </c>
      <c r="W31" s="58">
        <f t="shared" si="1"/>
        <v>91.601406970236113</v>
      </c>
      <c r="X31" s="58">
        <f t="shared" si="2"/>
        <v>76.511993718938882</v>
      </c>
      <c r="Y31" s="58">
        <f t="shared" si="3"/>
        <v>98.198396819307746</v>
      </c>
    </row>
    <row r="32" spans="1:25" x14ac:dyDescent="0.25">
      <c r="A32" t="s">
        <v>40</v>
      </c>
      <c r="C32" s="13">
        <f>-G39</f>
        <v>-1059067000000</v>
      </c>
      <c r="D32" s="5">
        <f>D30*D31</f>
        <v>9886056113.3200626</v>
      </c>
      <c r="E32" s="5">
        <f t="shared" ref="E32:I32" si="13">E30*E31</f>
        <v>14729996259.266966</v>
      </c>
      <c r="F32" s="5">
        <f t="shared" si="13"/>
        <v>20656334758.270157</v>
      </c>
      <c r="G32" s="5">
        <f t="shared" si="13"/>
        <v>27156585667.2369</v>
      </c>
      <c r="H32" s="5">
        <f t="shared" si="13"/>
        <v>30942055624.485077</v>
      </c>
      <c r="I32" s="5">
        <f t="shared" si="13"/>
        <v>44899983631.959885</v>
      </c>
      <c r="J32" s="14">
        <f>M22</f>
        <v>2473395103613.627</v>
      </c>
      <c r="P32" s="56">
        <v>44896</v>
      </c>
      <c r="Q32" s="6">
        <v>49.98</v>
      </c>
      <c r="R32" s="6">
        <v>3839.5</v>
      </c>
      <c r="S32" s="6">
        <v>10466.48</v>
      </c>
      <c r="T32" s="6">
        <v>33203.93</v>
      </c>
      <c r="U32" s="56">
        <v>44896</v>
      </c>
      <c r="V32" s="58">
        <f t="shared" si="0"/>
        <v>66.631115851219818</v>
      </c>
      <c r="W32" s="58">
        <f t="shared" si="1"/>
        <v>87.355469301019724</v>
      </c>
      <c r="X32" s="58">
        <f t="shared" si="2"/>
        <v>71.333117058369695</v>
      </c>
      <c r="Y32" s="58">
        <f t="shared" si="3"/>
        <v>94.701831493473605</v>
      </c>
    </row>
    <row r="33" spans="1:25" x14ac:dyDescent="0.25">
      <c r="A33" t="s">
        <v>56</v>
      </c>
      <c r="C33" s="29">
        <v>-1059067</v>
      </c>
      <c r="D33" s="45">
        <v>9886</v>
      </c>
      <c r="E33" s="24">
        <v>14730</v>
      </c>
      <c r="F33" s="24">
        <v>20656</v>
      </c>
      <c r="G33" s="24">
        <v>27157</v>
      </c>
      <c r="H33" s="24">
        <v>30942</v>
      </c>
      <c r="I33" s="24">
        <v>44900</v>
      </c>
      <c r="J33" s="24">
        <v>2473395</v>
      </c>
      <c r="P33" s="56">
        <v>44927</v>
      </c>
      <c r="Q33" s="6">
        <v>63.87</v>
      </c>
      <c r="R33" s="6">
        <v>4070.56</v>
      </c>
      <c r="S33" s="6">
        <v>11140.43</v>
      </c>
      <c r="T33" s="6">
        <v>33375.49</v>
      </c>
      <c r="U33" s="56">
        <v>44927</v>
      </c>
      <c r="V33" s="58">
        <f t="shared" si="0"/>
        <v>85.148646847087051</v>
      </c>
      <c r="W33" s="58">
        <f t="shared" si="1"/>
        <v>92.61249618907641</v>
      </c>
      <c r="X33" s="58">
        <f t="shared" si="2"/>
        <v>75.92634747026446</v>
      </c>
      <c r="Y33" s="58">
        <f t="shared" si="3"/>
        <v>95.19114243380568</v>
      </c>
    </row>
    <row r="34" spans="1:25" x14ac:dyDescent="0.25">
      <c r="P34" s="56">
        <v>44958</v>
      </c>
      <c r="Q34" s="6">
        <v>58.18</v>
      </c>
      <c r="R34" s="6">
        <v>4045.64</v>
      </c>
      <c r="S34" s="6">
        <v>11689.01</v>
      </c>
      <c r="T34" s="6">
        <v>32816.92</v>
      </c>
      <c r="U34" s="56">
        <v>44958</v>
      </c>
      <c r="V34" s="58">
        <f t="shared" si="0"/>
        <v>77.562991601119847</v>
      </c>
      <c r="W34" s="58">
        <f t="shared" si="1"/>
        <v>92.045521766630415</v>
      </c>
      <c r="X34" s="58">
        <f t="shared" si="2"/>
        <v>79.665132750117905</v>
      </c>
      <c r="Y34" s="58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6">
        <v>44986</v>
      </c>
      <c r="Q35" s="6">
        <v>61.16</v>
      </c>
      <c r="R35" s="6">
        <v>3970.99</v>
      </c>
      <c r="S35" s="6">
        <v>11823.96</v>
      </c>
      <c r="T35" s="6">
        <v>33274.15</v>
      </c>
      <c r="U35" s="56">
        <v>44986</v>
      </c>
      <c r="V35" s="58">
        <f t="shared" si="0"/>
        <v>81.535795227303026</v>
      </c>
      <c r="W35" s="58">
        <f t="shared" si="1"/>
        <v>90.347101195378642</v>
      </c>
      <c r="X35" s="58">
        <f t="shared" si="2"/>
        <v>80.584869294498347</v>
      </c>
      <c r="Y35" s="58">
        <f t="shared" si="3"/>
        <v>94.902107864598108</v>
      </c>
    </row>
    <row r="36" spans="1:25" x14ac:dyDescent="0.25">
      <c r="A36" s="13" t="s">
        <v>42</v>
      </c>
      <c r="B36" s="17">
        <f>SUM(D32:I32)</f>
        <v>148271012054.53906</v>
      </c>
      <c r="C36" t="s">
        <v>45</v>
      </c>
      <c r="F36" t="s">
        <v>33</v>
      </c>
      <c r="G36" s="15">
        <f>B13*B12</f>
        <v>1070047000000</v>
      </c>
      <c r="H36" t="s">
        <v>34</v>
      </c>
      <c r="L36" s="3" t="s">
        <v>51</v>
      </c>
      <c r="P36" s="56">
        <v>45017</v>
      </c>
      <c r="Q36" s="6">
        <v>61.13</v>
      </c>
      <c r="R36" s="6">
        <v>4133.5200000000004</v>
      </c>
      <c r="S36" s="6">
        <v>12072.46</v>
      </c>
      <c r="T36" s="6">
        <v>33808.959999999999</v>
      </c>
      <c r="U36" s="56">
        <v>45017</v>
      </c>
      <c r="V36" s="58">
        <f t="shared" si="0"/>
        <v>81.495800559925343</v>
      </c>
      <c r="W36" s="58">
        <f t="shared" si="1"/>
        <v>94.044948421708852</v>
      </c>
      <c r="X36" s="58">
        <f t="shared" si="2"/>
        <v>82.278493090560133</v>
      </c>
      <c r="Y36" s="58">
        <f t="shared" si="3"/>
        <v>96.427454005883931</v>
      </c>
    </row>
    <row r="37" spans="1:25" x14ac:dyDescent="0.25">
      <c r="A37" t="s">
        <v>11</v>
      </c>
      <c r="B37" s="19">
        <f>B15</f>
        <v>16700000000</v>
      </c>
      <c r="F37" t="s">
        <v>10</v>
      </c>
      <c r="G37" s="14">
        <f>B14</f>
        <v>5720000000</v>
      </c>
      <c r="L37" t="s">
        <v>52</v>
      </c>
      <c r="M37" s="21">
        <f>(B40/B12)-1</f>
        <v>0.23015443044472161</v>
      </c>
      <c r="P37" s="56">
        <v>45047</v>
      </c>
      <c r="Q37" s="6">
        <v>68.17</v>
      </c>
      <c r="R37" s="6">
        <v>4282.37</v>
      </c>
      <c r="S37" s="6">
        <v>13240.77</v>
      </c>
      <c r="T37" s="6">
        <v>33093.339999999997</v>
      </c>
      <c r="U37" s="56">
        <v>45047</v>
      </c>
      <c r="V37" s="58">
        <f t="shared" si="0"/>
        <v>90.881215837888277</v>
      </c>
      <c r="W37" s="58">
        <f t="shared" si="1"/>
        <v>97.431551262041367</v>
      </c>
      <c r="X37" s="58">
        <f t="shared" si="2"/>
        <v>90.24097847155393</v>
      </c>
      <c r="Y37" s="58">
        <f t="shared" si="3"/>
        <v>94.386414747779241</v>
      </c>
    </row>
    <row r="38" spans="1:25" x14ac:dyDescent="0.25">
      <c r="A38" t="s">
        <v>10</v>
      </c>
      <c r="B38" s="19">
        <f>B14</f>
        <v>5720000000</v>
      </c>
      <c r="C38" s="3"/>
      <c r="F38" t="s">
        <v>11</v>
      </c>
      <c r="G38" s="14">
        <f>B15</f>
        <v>16700000000</v>
      </c>
      <c r="L38" t="s">
        <v>53</v>
      </c>
      <c r="M38" s="23">
        <f>IRR(C33:J33)</f>
        <v>0.14252617630312425</v>
      </c>
      <c r="N38" t="s">
        <v>57</v>
      </c>
      <c r="P38" s="56">
        <v>45078</v>
      </c>
      <c r="Q38" s="6">
        <v>63.11</v>
      </c>
      <c r="R38" s="6">
        <v>4450.38</v>
      </c>
      <c r="S38" s="6">
        <v>13492.52</v>
      </c>
      <c r="T38" s="6">
        <v>33727.43</v>
      </c>
      <c r="U38" s="56">
        <v>45078</v>
      </c>
      <c r="V38" s="58">
        <f t="shared" si="0"/>
        <v>84.135448606852421</v>
      </c>
      <c r="W38" s="58">
        <f t="shared" si="1"/>
        <v>101.25407825703144</v>
      </c>
      <c r="X38" s="58">
        <f t="shared" si="2"/>
        <v>91.956752277020968</v>
      </c>
      <c r="Y38" s="58">
        <f t="shared" si="3"/>
        <v>96.194920076265873</v>
      </c>
    </row>
    <row r="39" spans="1:25" x14ac:dyDescent="0.25">
      <c r="A39" t="s">
        <v>44</v>
      </c>
      <c r="B39" s="17">
        <f>(((B36+B37)-B38)+(M22))/2</f>
        <v>1316323057834.083</v>
      </c>
      <c r="C39" t="s">
        <v>75</v>
      </c>
      <c r="F39" t="s">
        <v>30</v>
      </c>
      <c r="G39" s="13">
        <f>G36+G37-G38</f>
        <v>1059067000000</v>
      </c>
      <c r="H39" t="s">
        <v>32</v>
      </c>
      <c r="P39" s="56">
        <v>45108</v>
      </c>
      <c r="Q39" s="6">
        <v>71.2</v>
      </c>
      <c r="R39" s="6">
        <v>4582.2299999999996</v>
      </c>
      <c r="S39" s="6">
        <v>14032.81</v>
      </c>
      <c r="T39" s="6">
        <v>35065.620000000003</v>
      </c>
      <c r="U39" s="56">
        <v>45108</v>
      </c>
      <c r="V39" s="58">
        <f t="shared" si="0"/>
        <v>94.920677243034262</v>
      </c>
      <c r="W39" s="58">
        <f t="shared" si="1"/>
        <v>104.25390079312713</v>
      </c>
      <c r="X39" s="58">
        <f t="shared" si="2"/>
        <v>95.639037994422281</v>
      </c>
      <c r="Y39" s="58">
        <f t="shared" si="3"/>
        <v>100.01160815765418</v>
      </c>
    </row>
    <row r="40" spans="1:25" x14ac:dyDescent="0.25">
      <c r="A40" t="s">
        <v>72</v>
      </c>
      <c r="B40" s="20">
        <f>B39/B13</f>
        <v>1204.3211874053825</v>
      </c>
      <c r="C40" t="s">
        <v>76</v>
      </c>
      <c r="F40" t="s">
        <v>48</v>
      </c>
      <c r="G40" s="16">
        <f>G39/B13</f>
        <v>968.95425434583717</v>
      </c>
      <c r="H40" t="s">
        <v>49</v>
      </c>
      <c r="L40" s="46" t="s">
        <v>82</v>
      </c>
      <c r="M40" s="47"/>
      <c r="P40" s="56">
        <v>45139</v>
      </c>
      <c r="Q40" s="6">
        <v>63.72</v>
      </c>
      <c r="R40" s="6">
        <v>4515.7700000000004</v>
      </c>
      <c r="S40" s="6">
        <v>13590.65</v>
      </c>
      <c r="T40" s="6">
        <v>34837.71</v>
      </c>
      <c r="U40" s="56">
        <v>45139</v>
      </c>
      <c r="V40" s="58">
        <f t="shared" si="0"/>
        <v>84.948673510198631</v>
      </c>
      <c r="W40" s="58">
        <f t="shared" si="1"/>
        <v>102.74181732138715</v>
      </c>
      <c r="X40" s="58">
        <f t="shared" si="2"/>
        <v>92.625546253308869</v>
      </c>
      <c r="Y40" s="58">
        <f t="shared" si="3"/>
        <v>99.361579850291832</v>
      </c>
    </row>
    <row r="41" spans="1:25" x14ac:dyDescent="0.25">
      <c r="A41" t="s">
        <v>46</v>
      </c>
      <c r="B41" s="22">
        <f>(B40/B12)-1</f>
        <v>0.23015443044472161</v>
      </c>
      <c r="C41" t="s">
        <v>47</v>
      </c>
      <c r="F41" t="s">
        <v>46</v>
      </c>
      <c r="G41" s="21">
        <f>(G40/B12)-1</f>
        <v>-1.0261231515998781E-2</v>
      </c>
      <c r="H41" t="s">
        <v>50</v>
      </c>
      <c r="L41" s="48" t="s">
        <v>41</v>
      </c>
      <c r="M41" s="49">
        <f>B40</f>
        <v>1204.3211874053825</v>
      </c>
      <c r="P41" s="56">
        <v>45170</v>
      </c>
      <c r="Q41" s="6">
        <v>68.88</v>
      </c>
      <c r="R41" s="6">
        <v>4320.0600000000004</v>
      </c>
      <c r="S41" s="6">
        <v>13211.81</v>
      </c>
      <c r="T41" s="6">
        <v>33507.5</v>
      </c>
      <c r="U41" s="56">
        <v>45170</v>
      </c>
      <c r="V41" s="58">
        <f t="shared" si="0"/>
        <v>91.8277562991601</v>
      </c>
      <c r="W41" s="58">
        <f t="shared" si="1"/>
        <v>98.289065948317059</v>
      </c>
      <c r="X41" s="58">
        <f t="shared" si="2"/>
        <v>90.04360484928452</v>
      </c>
      <c r="Y41" s="58">
        <f t="shared" si="3"/>
        <v>95.567651743861859</v>
      </c>
    </row>
    <row r="42" spans="1:25" x14ac:dyDescent="0.25">
      <c r="L42" s="48" t="s">
        <v>8</v>
      </c>
      <c r="M42" s="53">
        <f>B12</f>
        <v>979</v>
      </c>
      <c r="P42" s="56">
        <v>45200</v>
      </c>
      <c r="Q42" s="6">
        <v>67.22</v>
      </c>
      <c r="R42" s="6">
        <v>4117.37</v>
      </c>
      <c r="S42" s="6">
        <v>12643.01</v>
      </c>
      <c r="T42" s="6">
        <v>34061.32</v>
      </c>
      <c r="U42" s="56">
        <v>45200</v>
      </c>
      <c r="V42" s="58">
        <f t="shared" si="0"/>
        <v>89.614718037594969</v>
      </c>
      <c r="W42" s="58">
        <f t="shared" si="1"/>
        <v>93.677507132683829</v>
      </c>
      <c r="X42" s="58">
        <f t="shared" si="2"/>
        <v>86.16701243399298</v>
      </c>
      <c r="Y42" s="58">
        <f t="shared" si="3"/>
        <v>97.147216822986991</v>
      </c>
    </row>
    <row r="43" spans="1:25" x14ac:dyDescent="0.25">
      <c r="L43" s="48" t="s">
        <v>85</v>
      </c>
      <c r="M43" s="49">
        <f>(B40-B12)</f>
        <v>225.32118740538249</v>
      </c>
      <c r="P43" s="56">
        <v>45231</v>
      </c>
      <c r="Q43" s="6">
        <v>77.56</v>
      </c>
      <c r="R43" s="6">
        <v>4559.34</v>
      </c>
      <c r="S43" s="6">
        <v>14250.85</v>
      </c>
      <c r="T43" s="6">
        <v>36245.5</v>
      </c>
      <c r="U43" s="56">
        <v>45231</v>
      </c>
      <c r="V43" s="58">
        <f t="shared" si="0"/>
        <v>103.39954672710306</v>
      </c>
      <c r="W43" s="58">
        <f t="shared" si="1"/>
        <v>103.73311248936355</v>
      </c>
      <c r="X43" s="58">
        <f t="shared" si="2"/>
        <v>97.125065086950713</v>
      </c>
      <c r="Y43" s="58">
        <f t="shared" si="3"/>
        <v>103.37677598394821</v>
      </c>
    </row>
    <row r="44" spans="1:25" x14ac:dyDescent="0.25">
      <c r="L44" s="48" t="s">
        <v>84</v>
      </c>
      <c r="M44" s="54">
        <f>((B40-B12)/(B12))</f>
        <v>0.23015443044472164</v>
      </c>
      <c r="P44" s="56">
        <v>45261</v>
      </c>
      <c r="Q44" s="6">
        <v>85.34</v>
      </c>
      <c r="R44" s="6">
        <v>4769.83</v>
      </c>
      <c r="S44" s="6">
        <v>14992.97</v>
      </c>
      <c r="T44" s="6">
        <v>37689.54</v>
      </c>
      <c r="U44" s="56">
        <v>45261</v>
      </c>
      <c r="V44" s="58">
        <f t="shared" si="0"/>
        <v>113.7714971337155</v>
      </c>
      <c r="W44" s="58">
        <f t="shared" si="1"/>
        <v>108.52213520929364</v>
      </c>
      <c r="X44" s="58">
        <f t="shared" si="2"/>
        <v>102.18290046535465</v>
      </c>
      <c r="Y44" s="58">
        <f t="shared" si="3"/>
        <v>107.4953617281609</v>
      </c>
    </row>
    <row r="45" spans="1:25" x14ac:dyDescent="0.25">
      <c r="L45" s="48"/>
      <c r="M45" s="50"/>
      <c r="P45" s="56">
        <v>45292</v>
      </c>
      <c r="Q45" s="6">
        <v>86.48</v>
      </c>
      <c r="R45" s="6">
        <v>4958.6099999999997</v>
      </c>
      <c r="S45" s="6">
        <v>15628.95</v>
      </c>
      <c r="T45" s="6">
        <v>38109.43</v>
      </c>
      <c r="U45" s="56">
        <v>45292</v>
      </c>
      <c r="V45" s="58">
        <f t="shared" si="0"/>
        <v>115.29129449406746</v>
      </c>
      <c r="W45" s="58">
        <f t="shared" si="1"/>
        <v>112.8172167289307</v>
      </c>
      <c r="X45" s="58">
        <f t="shared" si="2"/>
        <v>106.51735061352119</v>
      </c>
      <c r="Y45" s="58">
        <f t="shared" si="3"/>
        <v>108.69294141302936</v>
      </c>
    </row>
    <row r="46" spans="1:25" x14ac:dyDescent="0.25">
      <c r="L46" s="51" t="s">
        <v>54</v>
      </c>
      <c r="M46" s="50"/>
      <c r="P46" s="56">
        <v>45323</v>
      </c>
      <c r="Q46" s="6">
        <v>95.15</v>
      </c>
      <c r="R46" s="6">
        <v>5137.08</v>
      </c>
      <c r="S46" s="6">
        <v>16274.94</v>
      </c>
      <c r="T46" s="6">
        <v>39087.379999999997</v>
      </c>
      <c r="U46" s="56">
        <v>45323</v>
      </c>
      <c r="V46" s="58">
        <f t="shared" si="0"/>
        <v>126.84975336621784</v>
      </c>
      <c r="W46" s="58">
        <f t="shared" si="1"/>
        <v>116.87772736993942</v>
      </c>
      <c r="X46" s="58">
        <f t="shared" si="2"/>
        <v>110.92002279065582</v>
      </c>
      <c r="Y46" s="58">
        <f t="shared" si="3"/>
        <v>111.48217919629906</v>
      </c>
    </row>
    <row r="47" spans="1:25" x14ac:dyDescent="0.25">
      <c r="L47" s="48" t="s">
        <v>41</v>
      </c>
      <c r="M47" s="49">
        <f>B40</f>
        <v>1204.3211874053825</v>
      </c>
      <c r="P47" s="56">
        <v>45352</v>
      </c>
      <c r="Q47" s="6">
        <v>110.21</v>
      </c>
      <c r="R47" s="6">
        <v>5234.18</v>
      </c>
      <c r="S47" s="6">
        <v>16428.82</v>
      </c>
      <c r="T47" s="6">
        <v>39807.370000000003</v>
      </c>
      <c r="U47" s="56">
        <v>45352</v>
      </c>
      <c r="V47" s="58">
        <f t="shared" si="0"/>
        <v>146.92707638981469</v>
      </c>
      <c r="W47" s="58">
        <f t="shared" si="1"/>
        <v>119.08692546060983</v>
      </c>
      <c r="X47" s="58">
        <f t="shared" si="2"/>
        <v>111.96877462058737</v>
      </c>
      <c r="Y47" s="58">
        <f t="shared" si="3"/>
        <v>113.53568225021426</v>
      </c>
    </row>
    <row r="48" spans="1:25" x14ac:dyDescent="0.25">
      <c r="L48" s="48" t="s">
        <v>31</v>
      </c>
      <c r="M48" s="49">
        <f>G40</f>
        <v>968.95425434583717</v>
      </c>
      <c r="P48" s="56">
        <v>45383</v>
      </c>
      <c r="Q48" s="6">
        <v>106.77</v>
      </c>
      <c r="R48" s="6">
        <v>4967.2299999999996</v>
      </c>
      <c r="S48" s="6">
        <v>15282.01</v>
      </c>
      <c r="T48" s="6">
        <v>37986.400000000001</v>
      </c>
      <c r="U48" s="56">
        <v>45383</v>
      </c>
      <c r="V48" s="58">
        <f t="shared" si="0"/>
        <v>142.34102119717369</v>
      </c>
      <c r="W48" s="58">
        <f t="shared" si="1"/>
        <v>113.01333709496137</v>
      </c>
      <c r="X48" s="58">
        <f t="shared" si="2"/>
        <v>104.15282007104361</v>
      </c>
      <c r="Y48" s="58">
        <f t="shared" si="3"/>
        <v>108.34204420511928</v>
      </c>
    </row>
    <row r="49" spans="12:25" x14ac:dyDescent="0.25">
      <c r="L49" s="48" t="s">
        <v>85</v>
      </c>
      <c r="M49" s="49">
        <f>-(G40-B40)</f>
        <v>235.36693305954532</v>
      </c>
      <c r="P49" s="56">
        <v>45413</v>
      </c>
      <c r="Q49" s="6">
        <v>125.29</v>
      </c>
      <c r="R49" s="6">
        <v>5277.51</v>
      </c>
      <c r="S49" s="6">
        <v>16735.02</v>
      </c>
      <c r="T49" s="6">
        <v>38686.32</v>
      </c>
      <c r="U49" s="56">
        <v>45413</v>
      </c>
      <c r="V49" s="58">
        <f t="shared" si="0"/>
        <v>167.03106252499666</v>
      </c>
      <c r="W49" s="58">
        <f t="shared" si="1"/>
        <v>120.07276020076172</v>
      </c>
      <c r="X49" s="58">
        <f t="shared" si="2"/>
        <v>114.05564627593596</v>
      </c>
      <c r="Y49" s="58">
        <f t="shared" si="3"/>
        <v>110.33830506637612</v>
      </c>
    </row>
    <row r="50" spans="12:25" x14ac:dyDescent="0.25">
      <c r="L50" s="52" t="s">
        <v>84</v>
      </c>
      <c r="M50" s="55">
        <f>((B40-G40)/(G40))</f>
        <v>0.24290819923015544</v>
      </c>
      <c r="P50" s="56">
        <v>45444</v>
      </c>
      <c r="Q50" s="6">
        <v>139.54</v>
      </c>
      <c r="R50" s="6">
        <v>5464.62</v>
      </c>
      <c r="S50" s="6">
        <v>17689.36</v>
      </c>
      <c r="T50" s="6">
        <v>39150.33</v>
      </c>
      <c r="U50" s="56">
        <v>45444</v>
      </c>
      <c r="V50" s="58">
        <f t="shared" si="0"/>
        <v>186.02852952939605</v>
      </c>
      <c r="W50" s="58">
        <f t="shared" si="1"/>
        <v>124.32984624345316</v>
      </c>
      <c r="X50" s="58">
        <f t="shared" si="2"/>
        <v>120.55984319156418</v>
      </c>
      <c r="Y50" s="58">
        <f t="shared" si="3"/>
        <v>111.66172060276855</v>
      </c>
    </row>
    <row r="51" spans="12:25" x14ac:dyDescent="0.25">
      <c r="P51" s="56">
        <v>45474</v>
      </c>
      <c r="Q51" s="6">
        <v>109.41</v>
      </c>
      <c r="R51" s="6">
        <v>5459.1</v>
      </c>
      <c r="S51" s="6">
        <v>17357.88</v>
      </c>
      <c r="T51" s="6">
        <v>40287.53</v>
      </c>
      <c r="U51" s="56">
        <v>45474</v>
      </c>
      <c r="V51" s="58">
        <f t="shared" si="0"/>
        <v>145.86055192640978</v>
      </c>
      <c r="W51" s="58">
        <f t="shared" si="1"/>
        <v>124.20425640348923</v>
      </c>
      <c r="X51" s="58">
        <f t="shared" si="2"/>
        <v>118.30067853998042</v>
      </c>
      <c r="Y51" s="58">
        <f t="shared" si="3"/>
        <v>114.90515964068902</v>
      </c>
    </row>
    <row r="52" spans="12:25" x14ac:dyDescent="0.25">
      <c r="P52" s="56">
        <v>45505</v>
      </c>
      <c r="Q52" s="6">
        <v>102.85</v>
      </c>
      <c r="R52" s="6">
        <v>5648.4</v>
      </c>
      <c r="S52" s="6">
        <v>17877.79</v>
      </c>
      <c r="T52" s="6">
        <v>41175.08</v>
      </c>
      <c r="U52" s="56">
        <v>45505</v>
      </c>
      <c r="V52" s="58">
        <f t="shared" si="0"/>
        <v>137.11505132648978</v>
      </c>
      <c r="W52" s="58">
        <f t="shared" si="1"/>
        <v>128.51116885007937</v>
      </c>
      <c r="X52" s="58">
        <f t="shared" si="2"/>
        <v>121.84406665994216</v>
      </c>
      <c r="Y52" s="58">
        <f t="shared" si="3"/>
        <v>117.43656512618523</v>
      </c>
    </row>
    <row r="53" spans="12:25" x14ac:dyDescent="0.25">
      <c r="P53" s="56">
        <v>45536</v>
      </c>
      <c r="Q53" s="6">
        <v>90.9</v>
      </c>
      <c r="R53" s="6">
        <v>5751.07</v>
      </c>
      <c r="S53" s="6">
        <v>18137.849999999999</v>
      </c>
      <c r="T53" s="6">
        <v>42313</v>
      </c>
      <c r="U53" s="56">
        <v>45536</v>
      </c>
      <c r="V53" s="58">
        <f t="shared" si="0"/>
        <v>121.18384215437941</v>
      </c>
      <c r="W53" s="58">
        <f t="shared" si="1"/>
        <v>130.84709436984389</v>
      </c>
      <c r="X53" s="58">
        <f t="shared" si="2"/>
        <v>123.61647633561148</v>
      </c>
      <c r="Y53" s="58">
        <f t="shared" si="3"/>
        <v>120.68205769568088</v>
      </c>
    </row>
    <row r="54" spans="12:25" x14ac:dyDescent="0.25">
      <c r="P54" s="56">
        <v>45566</v>
      </c>
      <c r="Q54" s="6">
        <v>111.15</v>
      </c>
      <c r="R54" s="6">
        <v>5728.8</v>
      </c>
      <c r="S54" s="6">
        <v>18518.61</v>
      </c>
      <c r="T54" s="6">
        <v>42052.19</v>
      </c>
      <c r="U54" s="56">
        <v>45566</v>
      </c>
      <c r="V54" s="58">
        <f t="shared" si="0"/>
        <v>148.18024263431542</v>
      </c>
      <c r="W54" s="58">
        <f t="shared" si="1"/>
        <v>130.34041217129362</v>
      </c>
      <c r="X54" s="58">
        <f t="shared" si="2"/>
        <v>126.21150328365371</v>
      </c>
      <c r="Y54" s="58">
        <f t="shared" si="3"/>
        <v>119.93819440384124</v>
      </c>
    </row>
    <row r="55" spans="12:25" x14ac:dyDescent="0.25">
      <c r="P55" s="56">
        <v>45597</v>
      </c>
      <c r="Q55" s="6">
        <v>102.64</v>
      </c>
      <c r="R55" s="6">
        <v>5969.34</v>
      </c>
      <c r="S55" s="6">
        <v>19003.650000000001</v>
      </c>
      <c r="T55" s="6">
        <v>44296.51</v>
      </c>
      <c r="U55" s="56">
        <v>45597</v>
      </c>
      <c r="V55" s="58">
        <f t="shared" si="0"/>
        <v>136.835088654846</v>
      </c>
      <c r="W55" s="58">
        <f t="shared" si="1"/>
        <v>135.81312595841882</v>
      </c>
      <c r="X55" s="58">
        <f t="shared" si="2"/>
        <v>129.51723884116603</v>
      </c>
      <c r="Y55" s="58">
        <f t="shared" si="3"/>
        <v>126.33928049387433</v>
      </c>
    </row>
    <row r="56" spans="12:25" x14ac:dyDescent="0.25">
      <c r="P56" s="56">
        <v>45627</v>
      </c>
      <c r="Q56" s="6">
        <v>89.87</v>
      </c>
      <c r="R56" s="6">
        <v>5942.47</v>
      </c>
      <c r="S56" s="6">
        <v>19722.03</v>
      </c>
      <c r="T56" s="6">
        <v>42840.26</v>
      </c>
      <c r="U56" s="56">
        <v>45627</v>
      </c>
      <c r="V56" s="58">
        <f t="shared" si="0"/>
        <v>119.81069190774562</v>
      </c>
      <c r="W56" s="58">
        <f t="shared" si="1"/>
        <v>135.20178555989861</v>
      </c>
      <c r="X56" s="58">
        <f t="shared" si="2"/>
        <v>134.41327692009912</v>
      </c>
      <c r="Y56" s="58">
        <f t="shared" si="3"/>
        <v>122.18587027669912</v>
      </c>
    </row>
    <row r="57" spans="12:25" x14ac:dyDescent="0.25">
      <c r="P57" s="56">
        <v>45658</v>
      </c>
      <c r="Q57" s="6">
        <v>91.24</v>
      </c>
      <c r="R57" s="6">
        <v>6040.53</v>
      </c>
      <c r="S57" s="6">
        <v>19627.439999999999</v>
      </c>
      <c r="T57" s="6">
        <v>44424.25</v>
      </c>
      <c r="U57" s="56">
        <v>45658</v>
      </c>
      <c r="V57" s="58">
        <f t="shared" si="0"/>
        <v>121.63711505132649</v>
      </c>
      <c r="W57" s="58">
        <f t="shared" si="1"/>
        <v>137.43282536186709</v>
      </c>
      <c r="X57" s="58">
        <f t="shared" si="2"/>
        <v>133.76860941559414</v>
      </c>
      <c r="Y57" s="58">
        <f t="shared" si="3"/>
        <v>126.70361122083878</v>
      </c>
    </row>
    <row r="58" spans="12:25" x14ac:dyDescent="0.25">
      <c r="P58" s="56">
        <v>45689</v>
      </c>
      <c r="Q58" s="6">
        <v>98.84</v>
      </c>
      <c r="R58" s="6">
        <v>5954.5</v>
      </c>
      <c r="S58" s="6">
        <v>19524.009999999998</v>
      </c>
      <c r="T58" s="6">
        <v>43840.91</v>
      </c>
      <c r="U58" s="56">
        <v>45689</v>
      </c>
      <c r="V58" s="58">
        <f t="shared" si="0"/>
        <v>131.76909745367286</v>
      </c>
      <c r="W58" s="58">
        <f t="shared" si="1"/>
        <v>135.47548950460268</v>
      </c>
      <c r="X58" s="58">
        <f t="shared" si="2"/>
        <v>133.06369388550695</v>
      </c>
      <c r="Y58" s="58">
        <f t="shared" si="3"/>
        <v>125.03985134713098</v>
      </c>
    </row>
    <row r="59" spans="12:25" x14ac:dyDescent="0.25">
      <c r="P59" s="56">
        <v>45717</v>
      </c>
      <c r="Q59" s="6">
        <v>64.72</v>
      </c>
      <c r="R59" s="6">
        <v>5074.08</v>
      </c>
      <c r="S59" s="6">
        <v>15587.79</v>
      </c>
      <c r="T59" s="6">
        <v>38314.86</v>
      </c>
      <c r="U59" s="56">
        <v>45717</v>
      </c>
      <c r="V59" s="58">
        <f t="shared" si="0"/>
        <v>86.281829089454732</v>
      </c>
      <c r="W59" s="58">
        <f t="shared" si="1"/>
        <v>115.4443650660029</v>
      </c>
      <c r="X59" s="58">
        <f t="shared" si="2"/>
        <v>106.23682926363827</v>
      </c>
      <c r="Y59" s="58">
        <f t="shared" si="3"/>
        <v>109.27885390121087</v>
      </c>
    </row>
    <row r="60" spans="12:25" x14ac:dyDescent="0.25">
      <c r="P60" s="56">
        <v>45748</v>
      </c>
      <c r="Q60" s="6">
        <v>79.78</v>
      </c>
      <c r="R60" s="6">
        <v>5282.7</v>
      </c>
      <c r="S60" s="6">
        <v>16286.45</v>
      </c>
      <c r="T60" s="6">
        <v>39142.230000000003</v>
      </c>
      <c r="U60" s="56">
        <v>45748</v>
      </c>
      <c r="V60" s="58">
        <f t="shared" si="0"/>
        <v>106.35915211305158</v>
      </c>
      <c r="W60" s="58">
        <f t="shared" si="1"/>
        <v>120.19084195246697</v>
      </c>
      <c r="X60" s="58">
        <f t="shared" si="2"/>
        <v>110.99846790088792</v>
      </c>
      <c r="Y60" s="58">
        <f t="shared" si="3"/>
        <v>111.63861837254771</v>
      </c>
    </row>
    <row r="61" spans="12:25" x14ac:dyDescent="0.25">
      <c r="P61" s="56">
        <v>45778</v>
      </c>
      <c r="Q61" s="6">
        <v>94.46</v>
      </c>
      <c r="R61" s="6">
        <v>5802.82</v>
      </c>
      <c r="S61" s="6">
        <v>19113.77</v>
      </c>
      <c r="T61" s="6">
        <v>41603.07</v>
      </c>
      <c r="U61" s="56">
        <v>45778</v>
      </c>
      <c r="V61" s="58">
        <f t="shared" si="0"/>
        <v>125.92987601653111</v>
      </c>
      <c r="W61" s="58">
        <f t="shared" si="1"/>
        <v>132.024499119506</v>
      </c>
      <c r="X61" s="58">
        <f t="shared" si="2"/>
        <v>130.26774931369047</v>
      </c>
      <c r="Y61" s="58">
        <f t="shared" si="3"/>
        <v>118.65724704127454</v>
      </c>
    </row>
    <row r="62" spans="12:25" x14ac:dyDescent="0.25">
      <c r="P62" s="56">
        <v>45809</v>
      </c>
      <c r="Q62" s="6">
        <v>123.6</v>
      </c>
      <c r="R62" s="6">
        <v>6279.35</v>
      </c>
      <c r="S62" s="6">
        <v>19447.41</v>
      </c>
      <c r="T62" s="6">
        <v>42206.82</v>
      </c>
      <c r="U62" s="56">
        <v>45809</v>
      </c>
      <c r="V62" s="58">
        <f t="shared" si="0"/>
        <v>164.77802959605384</v>
      </c>
      <c r="W62" s="58">
        <f t="shared" si="1"/>
        <v>142.8664060829166</v>
      </c>
      <c r="X62" s="58">
        <f t="shared" si="2"/>
        <v>132.54163520229434</v>
      </c>
      <c r="Y62" s="58">
        <f t="shared" si="3"/>
        <v>120.37921883088454</v>
      </c>
    </row>
    <row r="63" spans="12:25" x14ac:dyDescent="0.25">
      <c r="P63" s="56">
        <v>45839</v>
      </c>
      <c r="Q63" s="6">
        <v>114.39</v>
      </c>
      <c r="R63" s="6">
        <v>6238.01</v>
      </c>
      <c r="S63" s="6">
        <v>20650.13</v>
      </c>
      <c r="T63" s="6">
        <v>44901.919999999998</v>
      </c>
      <c r="U63" s="56">
        <v>45839</v>
      </c>
      <c r="V63" s="58">
        <f t="shared" si="0"/>
        <v>152.49966671110516</v>
      </c>
      <c r="W63" s="58">
        <f t="shared" si="1"/>
        <v>141.92584739014302</v>
      </c>
      <c r="X63" s="58">
        <f t="shared" si="2"/>
        <v>140.73863806748324</v>
      </c>
      <c r="Y63" s="58">
        <f t="shared" si="3"/>
        <v>128.065986814616</v>
      </c>
    </row>
    <row r="64" spans="12:25" x14ac:dyDescent="0.25">
      <c r="P64" s="56">
        <v>45870</v>
      </c>
      <c r="Q64" s="6">
        <v>119.01</v>
      </c>
      <c r="R64" s="6">
        <v>6460.26</v>
      </c>
      <c r="S64" s="6">
        <v>21496.54</v>
      </c>
      <c r="T64" s="6">
        <v>45544.88</v>
      </c>
      <c r="U64" s="56">
        <v>45870</v>
      </c>
      <c r="V64" s="58">
        <f t="shared" si="0"/>
        <v>158.65884548726837</v>
      </c>
      <c r="W64" s="58">
        <f t="shared" si="1"/>
        <v>146.9824310734746</v>
      </c>
      <c r="X64" s="58">
        <f t="shared" si="2"/>
        <v>146.50725020923241</v>
      </c>
      <c r="Y64" s="58">
        <f t="shared" si="3"/>
        <v>129.89979051125803</v>
      </c>
    </row>
    <row r="65" spans="16:25" x14ac:dyDescent="0.25">
      <c r="P65" s="56">
        <v>45901</v>
      </c>
      <c r="Q65" s="6">
        <v>162.72999999999999</v>
      </c>
      <c r="R65" s="6">
        <v>6715.79</v>
      </c>
      <c r="S65" s="6">
        <v>22780.51</v>
      </c>
      <c r="T65" s="6">
        <v>46758.28</v>
      </c>
      <c r="U65" s="56">
        <v>45901</v>
      </c>
      <c r="V65" s="58">
        <f t="shared" si="0"/>
        <v>216.94440741234499</v>
      </c>
      <c r="W65" s="58">
        <f t="shared" si="1"/>
        <v>152.79619408180628</v>
      </c>
      <c r="X65" s="58">
        <f t="shared" si="2"/>
        <v>155.25800330955215</v>
      </c>
      <c r="Y65" s="58">
        <f t="shared" si="3"/>
        <v>133.36056164088578</v>
      </c>
    </row>
    <row r="66" spans="16:25" x14ac:dyDescent="0.25">
      <c r="P66" s="56">
        <v>45931</v>
      </c>
      <c r="Q66" s="6">
        <v>219.02</v>
      </c>
      <c r="R66" s="6">
        <v>6840.2</v>
      </c>
      <c r="S66" s="6">
        <v>23204.87</v>
      </c>
      <c r="T66" s="6">
        <v>47207.12</v>
      </c>
      <c r="U66" s="56">
        <v>45931</v>
      </c>
      <c r="V66" s="58">
        <f t="shared" si="0"/>
        <v>291.98773496867085</v>
      </c>
      <c r="W66" s="58">
        <f t="shared" si="1"/>
        <v>155.62674335534189</v>
      </c>
      <c r="X66" s="58">
        <f t="shared" si="2"/>
        <v>158.15018115300001</v>
      </c>
      <c r="Y66" s="58">
        <f t="shared" si="3"/>
        <v>134.64071040783992</v>
      </c>
    </row>
    <row r="67" spans="16:25" x14ac:dyDescent="0.25">
      <c r="P67" s="56">
        <v>45962</v>
      </c>
      <c r="Q67" s="6">
        <v>207.37</v>
      </c>
      <c r="R67" s="6">
        <v>6849.09</v>
      </c>
      <c r="S67" s="6">
        <v>23365.69</v>
      </c>
      <c r="T67" s="6">
        <v>46245.41</v>
      </c>
      <c r="U67" s="56">
        <v>45962</v>
      </c>
      <c r="V67" s="58">
        <f t="shared" si="0"/>
        <v>276.4564724703373</v>
      </c>
      <c r="W67" s="58">
        <f t="shared" si="1"/>
        <v>155.82900670267514</v>
      </c>
      <c r="X67" s="58">
        <f t="shared" si="2"/>
        <v>159.24623177224612</v>
      </c>
      <c r="Y67" s="58">
        <f t="shared" si="3"/>
        <v>131.89779117009942</v>
      </c>
    </row>
    <row r="68" spans="16:25" x14ac:dyDescent="0.25">
      <c r="P68" s="56">
        <v>45992</v>
      </c>
      <c r="Q68" s="6">
        <v>265.92</v>
      </c>
      <c r="R68" s="6">
        <v>6929.94</v>
      </c>
      <c r="S68" s="6">
        <v>23593.1</v>
      </c>
      <c r="T68" s="6">
        <v>48134.89</v>
      </c>
      <c r="U68" s="56">
        <v>45992</v>
      </c>
      <c r="V68" s="58">
        <f t="shared" si="0"/>
        <v>354.5127316357819</v>
      </c>
      <c r="W68" s="58">
        <f t="shared" si="1"/>
        <v>157.66848832606033</v>
      </c>
      <c r="X68" s="58">
        <f t="shared" si="2"/>
        <v>160.7961190457367</v>
      </c>
      <c r="Y68" s="58">
        <f t="shared" si="3"/>
        <v>137.28682844882783</v>
      </c>
    </row>
    <row r="69" spans="16:25" x14ac:dyDescent="0.25">
      <c r="P69" s="56">
        <v>46023</v>
      </c>
      <c r="Q69" s="59">
        <v>399.65</v>
      </c>
      <c r="R69" s="6">
        <v>6939.03</v>
      </c>
      <c r="S69" s="6">
        <v>23461.82</v>
      </c>
      <c r="T69" s="6">
        <v>49098.71</v>
      </c>
      <c r="U69" s="56">
        <v>46023</v>
      </c>
      <c r="V69" s="58">
        <f t="shared" si="0"/>
        <v>532.79562724969992</v>
      </c>
      <c r="W69" s="58">
        <f t="shared" si="1"/>
        <v>157.87530202991402</v>
      </c>
      <c r="X69" s="58">
        <f t="shared" si="2"/>
        <v>159.90139497351541</v>
      </c>
      <c r="Y69" s="58">
        <f t="shared" si="3"/>
        <v>140.03576567493451</v>
      </c>
    </row>
    <row r="70" spans="16:25" x14ac:dyDescent="0.25">
      <c r="P70" s="56">
        <v>46054</v>
      </c>
      <c r="Q70" s="6">
        <v>412.37</v>
      </c>
      <c r="R70" s="6">
        <v>6909.51</v>
      </c>
      <c r="S70" s="6">
        <v>22668.21</v>
      </c>
      <c r="T70" s="6">
        <v>48977.919999999998</v>
      </c>
      <c r="U70" s="56">
        <v>46054</v>
      </c>
      <c r="V70" s="58">
        <f t="shared" si="0"/>
        <v>549.75336621783754</v>
      </c>
      <c r="W70" s="58">
        <f t="shared" si="1"/>
        <v>157.20366940749807</v>
      </c>
      <c r="X70" s="58">
        <f t="shared" si="2"/>
        <v>154.49263529225743</v>
      </c>
      <c r="Y70" s="58">
        <f t="shared" si="3"/>
        <v>139.69125723192499</v>
      </c>
    </row>
    <row r="71" spans="16:25" x14ac:dyDescent="0.25">
      <c r="P71" s="56">
        <v>46082</v>
      </c>
      <c r="Q71" s="6">
        <v>357.22</v>
      </c>
      <c r="R71" s="6">
        <v>6368.85</v>
      </c>
      <c r="S71" s="6">
        <v>20948.36</v>
      </c>
      <c r="T71" s="6">
        <v>45577.47</v>
      </c>
      <c r="U71" s="56">
        <v>46082</v>
      </c>
      <c r="V71" s="58">
        <f t="shared" si="0"/>
        <v>476.22983602186378</v>
      </c>
      <c r="W71" s="58">
        <f t="shared" si="1"/>
        <v>144.90269062581055</v>
      </c>
      <c r="X71" s="58">
        <f t="shared" si="2"/>
        <v>142.77119108438268</v>
      </c>
      <c r="Y71" s="58">
        <f t="shared" si="3"/>
        <v>129.99274133630715</v>
      </c>
    </row>
    <row r="72" spans="16:25" x14ac:dyDescent="0.25">
      <c r="P72" s="56">
        <v>46113</v>
      </c>
      <c r="Q72" s="6">
        <v>455.07</v>
      </c>
      <c r="R72" s="6">
        <v>7123.06</v>
      </c>
      <c r="S72" s="6">
        <v>24468.48</v>
      </c>
      <c r="T72" s="6">
        <v>49447.43</v>
      </c>
      <c r="U72" s="56">
        <v>46113</v>
      </c>
      <c r="V72" s="58">
        <f t="shared" si="0"/>
        <v>606.67910945207302</v>
      </c>
      <c r="W72" s="58">
        <f t="shared" si="1"/>
        <v>162.06231258219083</v>
      </c>
      <c r="X72" s="58">
        <f t="shared" si="2"/>
        <v>166.76217296363035</v>
      </c>
      <c r="Y72" s="58">
        <f t="shared" si="3"/>
        <v>141.0303594678501</v>
      </c>
    </row>
    <row r="73" spans="16:25" x14ac:dyDescent="0.25">
      <c r="P73" s="56">
        <v>46143</v>
      </c>
      <c r="Q73" s="6">
        <v>751</v>
      </c>
      <c r="R73" s="6">
        <v>7473.47</v>
      </c>
      <c r="S73" s="6">
        <v>26343.97</v>
      </c>
      <c r="T73" s="6">
        <v>50579.7</v>
      </c>
      <c r="U73" s="56">
        <v>46143</v>
      </c>
      <c r="V73" s="58">
        <f t="shared" si="0"/>
        <v>1001.1998400213305</v>
      </c>
      <c r="W73" s="58">
        <f t="shared" si="1"/>
        <v>170.03476472381612</v>
      </c>
      <c r="X73" s="58">
        <f t="shared" si="2"/>
        <v>179.54436408345308</v>
      </c>
      <c r="Y73" s="58">
        <f t="shared" si="3"/>
        <v>144.25973751873488</v>
      </c>
    </row>
    <row r="74" spans="16:25" x14ac:dyDescent="0.25">
      <c r="P74" s="56">
        <v>46174</v>
      </c>
      <c r="Q74" s="6">
        <v>1133.99</v>
      </c>
      <c r="R74" s="6">
        <v>7425.29</v>
      </c>
      <c r="S74" s="6">
        <v>25883.49</v>
      </c>
      <c r="T74" s="6">
        <v>51200.15</v>
      </c>
      <c r="U74" s="56">
        <v>46174</v>
      </c>
      <c r="V74" s="58">
        <f t="shared" si="0"/>
        <v>1511.7850953206239</v>
      </c>
      <c r="W74" s="58">
        <f t="shared" si="1"/>
        <v>168.93858383804371</v>
      </c>
      <c r="X74" s="58">
        <f t="shared" si="2"/>
        <v>176.40601444316923</v>
      </c>
      <c r="Y74" s="58">
        <f t="shared" si="3"/>
        <v>146.02933983238046</v>
      </c>
    </row>
    <row r="75" spans="16:25" x14ac:dyDescent="0.25">
      <c r="P75" s="56">
        <v>46204</v>
      </c>
      <c r="Q75" s="6">
        <v>979.3</v>
      </c>
      <c r="R75" s="6">
        <v>7483.24</v>
      </c>
      <c r="S75" s="6">
        <v>25832.67</v>
      </c>
      <c r="T75" s="6">
        <v>52900.07</v>
      </c>
      <c r="U75" s="56">
        <v>46204</v>
      </c>
      <c r="V75" s="58">
        <f t="shared" si="0"/>
        <v>1305.5592587654978</v>
      </c>
      <c r="W75" s="58">
        <f t="shared" si="1"/>
        <v>170.25704963983927</v>
      </c>
      <c r="X75" s="58">
        <f t="shared" si="2"/>
        <v>176.0596564499464</v>
      </c>
      <c r="Y75" s="58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7C62-69E1-4170-9550-E22521C035B4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0.17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0.151</v>
      </c>
      <c r="C7" s="41"/>
      <c r="P7">
        <v>2026</v>
      </c>
      <c r="Q7" s="26">
        <f>D28</f>
        <v>5158440000</v>
      </c>
      <c r="R7" s="26"/>
      <c r="S7" t="s">
        <v>41</v>
      </c>
      <c r="T7" s="16">
        <f>B40</f>
        <v>738.64000003614649</v>
      </c>
    </row>
    <row r="8" spans="1:26" x14ac:dyDescent="0.25">
      <c r="A8" s="40" t="s">
        <v>4</v>
      </c>
      <c r="B8" s="32">
        <v>0.02</v>
      </c>
      <c r="C8" s="41"/>
      <c r="P8">
        <v>2027</v>
      </c>
      <c r="Q8" s="26">
        <f>E28</f>
        <v>8511426000</v>
      </c>
      <c r="R8" s="26"/>
      <c r="S8" t="s">
        <v>73</v>
      </c>
      <c r="T8" s="16">
        <v>240.36</v>
      </c>
    </row>
    <row r="9" spans="1:26" x14ac:dyDescent="0.25">
      <c r="A9" s="40" t="s">
        <v>5</v>
      </c>
      <c r="B9" s="33" t="s">
        <v>95</v>
      </c>
      <c r="C9" s="41"/>
      <c r="P9">
        <v>2028</v>
      </c>
      <c r="Q9" s="26">
        <f>F28</f>
        <v>13192710300</v>
      </c>
      <c r="R9" s="26"/>
      <c r="S9" t="s">
        <v>8</v>
      </c>
      <c r="T9" s="16">
        <f>B12</f>
        <v>979</v>
      </c>
    </row>
    <row r="10" spans="1:26" x14ac:dyDescent="0.25">
      <c r="A10" s="40" t="s">
        <v>6</v>
      </c>
      <c r="B10" s="34">
        <v>46213</v>
      </c>
      <c r="C10" s="41"/>
      <c r="P10">
        <v>2029</v>
      </c>
      <c r="Q10" s="26">
        <f>G28</f>
        <v>19129429935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23911787418.75</v>
      </c>
      <c r="R11" s="26"/>
    </row>
    <row r="12" spans="1:26" x14ac:dyDescent="0.25">
      <c r="A12" s="40" t="s">
        <v>8</v>
      </c>
      <c r="B12" s="35">
        <v>979</v>
      </c>
      <c r="C12" s="41" t="s">
        <v>81</v>
      </c>
      <c r="P12">
        <v>2031</v>
      </c>
      <c r="Q12" s="26">
        <f>I28</f>
        <v>35867681128.125</v>
      </c>
      <c r="R12" s="26"/>
    </row>
    <row r="13" spans="1:26" x14ac:dyDescent="0.25">
      <c r="A13" s="40" t="s">
        <v>9</v>
      </c>
      <c r="B13" s="36">
        <v>1093000000</v>
      </c>
      <c r="C13" s="41"/>
    </row>
    <row r="14" spans="1:26" x14ac:dyDescent="0.25">
      <c r="A14" s="40" t="s">
        <v>10</v>
      </c>
      <c r="B14" s="35">
        <v>5720000000</v>
      </c>
      <c r="C14" s="41"/>
      <c r="P14" s="6" t="s">
        <v>16</v>
      </c>
      <c r="Q14" s="6" t="s">
        <v>91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92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16700000000</v>
      </c>
      <c r="C15" s="41"/>
      <c r="P15" s="56">
        <v>44378</v>
      </c>
      <c r="Q15" s="6">
        <v>75.010000000000005</v>
      </c>
      <c r="R15" s="6">
        <v>4395.26</v>
      </c>
      <c r="S15" s="6">
        <v>14672.68</v>
      </c>
      <c r="T15" s="6">
        <v>35061.550000000003</v>
      </c>
      <c r="U15" s="56">
        <v>44378</v>
      </c>
      <c r="V15" s="57">
        <f t="shared" ref="V15:V75" si="0">(Q15/$Q$15)*100</f>
        <v>100</v>
      </c>
      <c r="W15" s="57">
        <f>(R15/$R$15)*100</f>
        <v>100</v>
      </c>
      <c r="X15" s="57">
        <f>(S15/$S$15)*100</f>
        <v>100</v>
      </c>
      <c r="Y15" s="57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101</v>
      </c>
      <c r="C16" s="41"/>
      <c r="P16" s="56">
        <v>44409</v>
      </c>
      <c r="Q16" s="6">
        <v>70.23</v>
      </c>
      <c r="R16" s="6">
        <v>4509.37</v>
      </c>
      <c r="S16" s="6">
        <v>14714.66</v>
      </c>
      <c r="T16" s="6">
        <v>35120.080000000002</v>
      </c>
      <c r="U16" s="56">
        <v>44409</v>
      </c>
      <c r="V16" s="58">
        <f t="shared" si="0"/>
        <v>93.627516331155846</v>
      </c>
      <c r="W16" s="58">
        <f>(R16/$R$15)*100</f>
        <v>102.59620591273327</v>
      </c>
      <c r="X16" s="58">
        <f>(S16/$S$15)*100</f>
        <v>100.28610996764054</v>
      </c>
      <c r="Y16" s="58">
        <f>(T16/$T$15)*100</f>
        <v>100.16693500429959</v>
      </c>
      <c r="Z16" t="s">
        <v>74</v>
      </c>
    </row>
    <row r="17" spans="1:25" x14ac:dyDescent="0.25">
      <c r="A17" s="42" t="s">
        <v>79</v>
      </c>
      <c r="B17" s="43"/>
      <c r="C17" s="44"/>
      <c r="P17" s="56">
        <v>44440</v>
      </c>
      <c r="Q17" s="6">
        <v>70.989999999999995</v>
      </c>
      <c r="R17" s="6">
        <v>4455.4799999999996</v>
      </c>
      <c r="S17" s="6">
        <v>15047.7</v>
      </c>
      <c r="T17" s="6">
        <v>34326.46</v>
      </c>
      <c r="U17" s="56">
        <v>44440</v>
      </c>
      <c r="V17" s="58">
        <f t="shared" si="0"/>
        <v>94.640714571390475</v>
      </c>
      <c r="W17" s="58">
        <f>(R17/$R$15)*100</f>
        <v>101.37011234830247</v>
      </c>
      <c r="X17" s="58">
        <f>(S17/$S$15)*100</f>
        <v>102.55590662373881</v>
      </c>
      <c r="Y17" s="58">
        <f>(T17/$T$15)*100</f>
        <v>97.903429825549622</v>
      </c>
    </row>
    <row r="18" spans="1:25" x14ac:dyDescent="0.25">
      <c r="P18" s="56">
        <v>44470</v>
      </c>
      <c r="Q18" s="6">
        <v>69.099999999999994</v>
      </c>
      <c r="R18" s="6">
        <v>4544.8999999999996</v>
      </c>
      <c r="S18" s="6">
        <v>15498.39</v>
      </c>
      <c r="T18" s="6">
        <v>35677.019999999997</v>
      </c>
      <c r="U18" s="56">
        <v>44470</v>
      </c>
      <c r="V18" s="58">
        <f t="shared" si="0"/>
        <v>92.121050526596434</v>
      </c>
      <c r="W18" s="58">
        <f t="shared" ref="W18:W75" si="1">(R18/$R$15)*100</f>
        <v>103.40457674858823</v>
      </c>
      <c r="X18" s="58">
        <f t="shared" ref="X18:X75" si="2">(S18/$S$15)*100</f>
        <v>105.62753362030656</v>
      </c>
      <c r="Y18" s="58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44501</v>
      </c>
      <c r="Q19" s="6">
        <v>83.42</v>
      </c>
      <c r="R19" s="6">
        <v>4594.62</v>
      </c>
      <c r="S19" s="6">
        <v>15085.47</v>
      </c>
      <c r="T19" s="6">
        <v>34889.339999999997</v>
      </c>
      <c r="U19" s="56">
        <v>44501</v>
      </c>
      <c r="V19" s="58">
        <f t="shared" si="0"/>
        <v>111.21183842154379</v>
      </c>
      <c r="W19" s="58">
        <f t="shared" si="1"/>
        <v>104.53579537956799</v>
      </c>
      <c r="X19" s="58">
        <f t="shared" si="2"/>
        <v>102.81332380996517</v>
      </c>
      <c r="Y19" s="58">
        <f t="shared" si="3"/>
        <v>99.508835176995873</v>
      </c>
    </row>
    <row r="20" spans="1:25" x14ac:dyDescent="0.25">
      <c r="A20" t="s">
        <v>16</v>
      </c>
      <c r="C20" s="7">
        <v>46213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279275074432.729</v>
      </c>
      <c r="P20" s="56">
        <v>44531</v>
      </c>
      <c r="Q20" s="6">
        <v>94.42</v>
      </c>
      <c r="R20" s="6">
        <v>4766.18</v>
      </c>
      <c r="S20" s="6">
        <v>15653.37</v>
      </c>
      <c r="T20" s="6">
        <v>35950.559999999998</v>
      </c>
      <c r="U20" s="56">
        <v>44531</v>
      </c>
      <c r="V20" s="58">
        <f t="shared" si="0"/>
        <v>125.87654979336087</v>
      </c>
      <c r="W20" s="58">
        <f t="shared" si="1"/>
        <v>108.43909120279574</v>
      </c>
      <c r="X20" s="58">
        <f t="shared" si="2"/>
        <v>106.68378237649836</v>
      </c>
      <c r="Y20" s="58">
        <f t="shared" si="3"/>
        <v>102.53556959119035</v>
      </c>
    </row>
    <row r="21" spans="1:25" x14ac:dyDescent="0.25">
      <c r="A21" t="s">
        <v>18</v>
      </c>
      <c r="B21" t="s">
        <v>86</v>
      </c>
      <c r="D21" s="5">
        <v>37380000000</v>
      </c>
      <c r="E21" s="5">
        <f>D21*1.65</f>
        <v>61677000000</v>
      </c>
      <c r="F21" s="5">
        <f>E21*1.55</f>
        <v>95599350000</v>
      </c>
      <c r="G21" s="5">
        <f>F21*1.45</f>
        <v>138619057500</v>
      </c>
      <c r="H21" s="5">
        <f>G21*1.25</f>
        <v>173273821875</v>
      </c>
      <c r="I21" s="5">
        <f>H21*1.5</f>
        <v>259910732812.5</v>
      </c>
      <c r="L21" t="s">
        <v>19</v>
      </c>
      <c r="M21" s="13">
        <f>(I22+I25)*14</f>
        <v>2801837699718.75</v>
      </c>
      <c r="P21" s="56">
        <v>44562</v>
      </c>
      <c r="Q21" s="58">
        <v>81.93</v>
      </c>
      <c r="R21" s="6">
        <v>4500.53</v>
      </c>
      <c r="S21" s="6">
        <v>13770.57</v>
      </c>
      <c r="T21" s="6">
        <v>34725.47</v>
      </c>
      <c r="U21" s="56">
        <v>44562</v>
      </c>
      <c r="V21" s="58">
        <f t="shared" si="0"/>
        <v>109.22543660845221</v>
      </c>
      <c r="W21" s="58">
        <f t="shared" si="1"/>
        <v>102.39508015453009</v>
      </c>
      <c r="X21" s="58">
        <f t="shared" si="2"/>
        <v>93.851770773982665</v>
      </c>
      <c r="Y21" s="58">
        <f t="shared" si="3"/>
        <v>99.041457094737666</v>
      </c>
    </row>
    <row r="22" spans="1:25" x14ac:dyDescent="0.25">
      <c r="A22" t="s">
        <v>77</v>
      </c>
      <c r="B22" t="s">
        <v>96</v>
      </c>
      <c r="C22" s="60">
        <v>0.6</v>
      </c>
      <c r="D22" s="5">
        <f>D21*$C$22</f>
        <v>22428000000</v>
      </c>
      <c r="E22" s="5">
        <f t="shared" ref="E22:I22" si="4">E21*$C$22</f>
        <v>37006200000</v>
      </c>
      <c r="F22" s="5">
        <f t="shared" si="4"/>
        <v>57359610000</v>
      </c>
      <c r="G22" s="5">
        <f t="shared" si="4"/>
        <v>83171434500</v>
      </c>
      <c r="H22" s="5">
        <f t="shared" si="4"/>
        <v>103964293125</v>
      </c>
      <c r="I22" s="5">
        <f t="shared" si="4"/>
        <v>155946439687.5</v>
      </c>
      <c r="L22" t="s">
        <v>20</v>
      </c>
      <c r="M22" s="13">
        <f>(M20+M21)/2</f>
        <v>1540556387075.7395</v>
      </c>
      <c r="P22" s="56">
        <v>44593</v>
      </c>
      <c r="Q22" s="6">
        <v>81.91</v>
      </c>
      <c r="R22" s="6">
        <v>4384.6499999999996</v>
      </c>
      <c r="S22" s="6">
        <v>13313.44</v>
      </c>
      <c r="T22" s="6">
        <v>34058.75</v>
      </c>
      <c r="U22" s="56">
        <v>44593</v>
      </c>
      <c r="V22" s="58">
        <f t="shared" si="0"/>
        <v>109.19877349686706</v>
      </c>
      <c r="W22" s="58">
        <f t="shared" si="1"/>
        <v>99.758603586590993</v>
      </c>
      <c r="X22" s="58">
        <f t="shared" si="2"/>
        <v>90.736252681854992</v>
      </c>
      <c r="Y22" s="58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3812760000.0000005</v>
      </c>
      <c r="E23" s="30">
        <f t="shared" ref="E23:I23" si="5">E22*$B$6</f>
        <v>6291054000</v>
      </c>
      <c r="F23" s="5">
        <f t="shared" si="5"/>
        <v>9751133700</v>
      </c>
      <c r="G23" s="30">
        <f t="shared" si="5"/>
        <v>14139143865.000002</v>
      </c>
      <c r="H23" s="30">
        <f t="shared" si="5"/>
        <v>17673929831.25</v>
      </c>
      <c r="I23" s="5">
        <f t="shared" si="5"/>
        <v>26510894746.875</v>
      </c>
      <c r="P23" s="56">
        <v>44621</v>
      </c>
      <c r="Q23" s="6">
        <v>76.180000000000007</v>
      </c>
      <c r="R23" s="6">
        <v>4543.0600000000004</v>
      </c>
      <c r="S23" s="6">
        <v>14169.3</v>
      </c>
      <c r="T23" s="6">
        <v>34861.24</v>
      </c>
      <c r="U23" s="56">
        <v>44621</v>
      </c>
      <c r="V23" s="58">
        <f t="shared" si="0"/>
        <v>101.55979202772964</v>
      </c>
      <c r="W23" s="58">
        <f t="shared" si="1"/>
        <v>103.36271346860026</v>
      </c>
      <c r="X23" s="58">
        <f t="shared" si="2"/>
        <v>96.569270235567046</v>
      </c>
      <c r="Y23" s="58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18615240000</v>
      </c>
      <c r="E24" s="5">
        <f t="shared" ref="E24:I24" si="6">E22*(1-$B$6)</f>
        <v>30715146000</v>
      </c>
      <c r="F24" s="5">
        <f t="shared" si="6"/>
        <v>47608476300</v>
      </c>
      <c r="G24" s="5">
        <f t="shared" si="6"/>
        <v>69032290635</v>
      </c>
      <c r="H24" s="5">
        <f t="shared" si="6"/>
        <v>86290363293.75</v>
      </c>
      <c r="I24" s="5">
        <f t="shared" si="6"/>
        <v>129435544940.625</v>
      </c>
      <c r="P24" s="56">
        <v>44652</v>
      </c>
      <c r="Q24" s="6">
        <v>68.19</v>
      </c>
      <c r="R24" s="6">
        <v>4271.78</v>
      </c>
      <c r="S24" s="6">
        <v>12839.29</v>
      </c>
      <c r="T24" s="6">
        <v>33811.4</v>
      </c>
      <c r="U24" s="56">
        <v>44652</v>
      </c>
      <c r="V24" s="58">
        <f t="shared" si="0"/>
        <v>90.9078789494734</v>
      </c>
      <c r="W24" s="58">
        <f t="shared" si="1"/>
        <v>97.190609884284413</v>
      </c>
      <c r="X24" s="58">
        <f t="shared" si="2"/>
        <v>87.504736694318979</v>
      </c>
      <c r="Y24" s="58">
        <f t="shared" si="3"/>
        <v>96.434413196222067</v>
      </c>
    </row>
    <row r="25" spans="1:25" x14ac:dyDescent="0.25">
      <c r="A25" s="4" t="s">
        <v>25</v>
      </c>
      <c r="B25" s="8" t="s">
        <v>97</v>
      </c>
      <c r="C25" s="25">
        <v>0.17</v>
      </c>
      <c r="D25" s="12">
        <f>D21*$C$25</f>
        <v>6354600000</v>
      </c>
      <c r="E25" s="12">
        <f t="shared" ref="E25:I25" si="7">E21*$C$25</f>
        <v>10485090000</v>
      </c>
      <c r="F25" s="12">
        <f t="shared" si="7"/>
        <v>16251889500.000002</v>
      </c>
      <c r="G25" s="12">
        <f t="shared" si="7"/>
        <v>23565239775</v>
      </c>
      <c r="H25" s="12">
        <f t="shared" si="7"/>
        <v>29456549718.750004</v>
      </c>
      <c r="I25" s="12">
        <f t="shared" si="7"/>
        <v>44184824578.125</v>
      </c>
      <c r="P25" s="56">
        <v>44682</v>
      </c>
      <c r="Q25" s="6">
        <v>68.900000000000006</v>
      </c>
      <c r="R25" s="6">
        <v>4158.24</v>
      </c>
      <c r="S25" s="6">
        <v>11354.62</v>
      </c>
      <c r="T25" s="6">
        <v>33212.959999999999</v>
      </c>
      <c r="U25" s="56">
        <v>44682</v>
      </c>
      <c r="V25" s="58">
        <f t="shared" si="0"/>
        <v>91.854419410745237</v>
      </c>
      <c r="W25" s="58">
        <f t="shared" si="1"/>
        <v>94.607372487634393</v>
      </c>
      <c r="X25" s="58">
        <f t="shared" si="2"/>
        <v>77.386135320882076</v>
      </c>
      <c r="Y25" s="58">
        <f t="shared" si="3"/>
        <v>94.727586201979079</v>
      </c>
    </row>
    <row r="26" spans="1:25" x14ac:dyDescent="0.25">
      <c r="A26" t="s">
        <v>26</v>
      </c>
      <c r="B26" t="s">
        <v>98</v>
      </c>
      <c r="C26" s="60">
        <v>0.5</v>
      </c>
      <c r="D26" s="10">
        <f>D21*$C$26</f>
        <v>18690000000</v>
      </c>
      <c r="E26" s="10">
        <f t="shared" ref="E26:I26" si="8">E21*$C$26</f>
        <v>30838500000</v>
      </c>
      <c r="F26" s="10">
        <f t="shared" si="8"/>
        <v>47799675000</v>
      </c>
      <c r="G26" s="10">
        <f t="shared" si="8"/>
        <v>69309528750</v>
      </c>
      <c r="H26" s="10">
        <f t="shared" si="8"/>
        <v>86636910937.5</v>
      </c>
      <c r="I26" s="10">
        <f t="shared" si="8"/>
        <v>129955366406.25</v>
      </c>
      <c r="P26" s="56">
        <v>44713</v>
      </c>
      <c r="Q26" s="6">
        <v>55.75</v>
      </c>
      <c r="R26" s="6">
        <v>3911.74</v>
      </c>
      <c r="S26" s="6">
        <v>11127.85</v>
      </c>
      <c r="T26" s="6">
        <v>31097.26</v>
      </c>
      <c r="U26" s="56">
        <v>44713</v>
      </c>
      <c r="V26" s="58">
        <f t="shared" si="0"/>
        <v>74.323423543527525</v>
      </c>
      <c r="W26" s="58">
        <f t="shared" si="1"/>
        <v>88.999058076200271</v>
      </c>
      <c r="X26" s="58">
        <f t="shared" si="2"/>
        <v>75.840609895397435</v>
      </c>
      <c r="Y26" s="58">
        <f t="shared" si="3"/>
        <v>88.693340710835642</v>
      </c>
    </row>
    <row r="27" spans="1:25" x14ac:dyDescent="0.25">
      <c r="A27" t="s">
        <v>27</v>
      </c>
      <c r="B27" t="s">
        <v>99</v>
      </c>
      <c r="C27" s="25">
        <v>0.03</v>
      </c>
      <c r="D27" s="10">
        <f>D21*$C$27</f>
        <v>1121400000</v>
      </c>
      <c r="E27" s="10">
        <f t="shared" ref="E27:I27" si="9">E21*$C$27</f>
        <v>1850310000</v>
      </c>
      <c r="F27" s="10">
        <f t="shared" si="9"/>
        <v>2867980500</v>
      </c>
      <c r="G27" s="10">
        <f t="shared" si="9"/>
        <v>4158571725</v>
      </c>
      <c r="H27" s="10">
        <f t="shared" si="9"/>
        <v>5198214656.25</v>
      </c>
      <c r="I27" s="10">
        <f t="shared" si="9"/>
        <v>7797321984.375</v>
      </c>
      <c r="P27" s="56">
        <v>44743</v>
      </c>
      <c r="Q27" s="6">
        <v>61.86</v>
      </c>
      <c r="R27" s="6">
        <v>4130.29</v>
      </c>
      <c r="S27" s="6">
        <v>12390.69</v>
      </c>
      <c r="T27" s="6">
        <v>32845.129999999997</v>
      </c>
      <c r="U27" s="56">
        <v>44743</v>
      </c>
      <c r="V27" s="58">
        <f t="shared" si="0"/>
        <v>82.469004132782288</v>
      </c>
      <c r="W27" s="58">
        <f t="shared" si="1"/>
        <v>93.971460163903842</v>
      </c>
      <c r="X27" s="58">
        <f t="shared" si="2"/>
        <v>84.447353857645638</v>
      </c>
      <c r="Y27" s="58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5158440000</v>
      </c>
      <c r="E28" s="12">
        <f t="shared" ref="E28:I28" si="10">E24+E25-E26-E27</f>
        <v>8511426000</v>
      </c>
      <c r="F28" s="12">
        <f t="shared" si="10"/>
        <v>13192710300</v>
      </c>
      <c r="G28" s="12">
        <f t="shared" si="10"/>
        <v>19129429935</v>
      </c>
      <c r="H28" s="12">
        <f t="shared" si="10"/>
        <v>23911787418.75</v>
      </c>
      <c r="I28" s="12">
        <f t="shared" si="10"/>
        <v>35867681128.125</v>
      </c>
      <c r="P28" s="56">
        <v>44774</v>
      </c>
      <c r="Q28" s="6">
        <v>56.33</v>
      </c>
      <c r="R28" s="6">
        <v>3924.26</v>
      </c>
      <c r="S28" s="6">
        <v>12141.71</v>
      </c>
      <c r="T28" s="6">
        <v>31318.44</v>
      </c>
      <c r="U28" s="56">
        <v>44774</v>
      </c>
      <c r="V28" s="58">
        <f t="shared" si="0"/>
        <v>75.096653779496052</v>
      </c>
      <c r="W28" s="58">
        <f t="shared" si="1"/>
        <v>89.28391039437939</v>
      </c>
      <c r="X28" s="58">
        <f t="shared" si="2"/>
        <v>82.750458675579367</v>
      </c>
      <c r="Y28" s="58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44805</v>
      </c>
      <c r="Q29" s="6">
        <v>50.1</v>
      </c>
      <c r="R29" s="6">
        <v>3585.62</v>
      </c>
      <c r="S29" s="6">
        <v>10867.93</v>
      </c>
      <c r="T29" s="6">
        <v>30822.42</v>
      </c>
      <c r="U29" s="56">
        <v>44805</v>
      </c>
      <c r="V29" s="58">
        <f t="shared" si="0"/>
        <v>66.791094520730567</v>
      </c>
      <c r="W29" s="58">
        <f t="shared" si="1"/>
        <v>81.579246733981606</v>
      </c>
      <c r="X29" s="58">
        <f t="shared" si="2"/>
        <v>74.069154373979401</v>
      </c>
      <c r="Y29" s="58">
        <f t="shared" si="3"/>
        <v>87.90946207455174</v>
      </c>
    </row>
    <row r="30" spans="1:25" x14ac:dyDescent="0.25">
      <c r="A30" t="s">
        <v>36</v>
      </c>
      <c r="C30" s="13">
        <f>-G39</f>
        <v>-1059067000000</v>
      </c>
      <c r="D30" s="5">
        <f>D28</f>
        <v>5158440000</v>
      </c>
      <c r="E30" s="5">
        <f t="shared" ref="E30:I30" si="11">E28</f>
        <v>8511426000</v>
      </c>
      <c r="F30" s="5">
        <f t="shared" si="11"/>
        <v>13192710300</v>
      </c>
      <c r="G30" s="5">
        <f t="shared" si="11"/>
        <v>19129429935</v>
      </c>
      <c r="H30" s="5">
        <f t="shared" si="11"/>
        <v>23911787418.75</v>
      </c>
      <c r="I30" s="5">
        <f t="shared" si="11"/>
        <v>35867681128.125</v>
      </c>
      <c r="J30" s="13">
        <f>I28+M22</f>
        <v>1576424068203.8645</v>
      </c>
      <c r="K30" t="s">
        <v>38</v>
      </c>
      <c r="P30" s="56">
        <v>44835</v>
      </c>
      <c r="Q30" s="6">
        <v>56.05</v>
      </c>
      <c r="R30" s="6">
        <v>3901.06</v>
      </c>
      <c r="S30" s="6">
        <v>11102.45</v>
      </c>
      <c r="T30" s="6">
        <v>32861.800000000003</v>
      </c>
      <c r="U30" s="56">
        <v>44835</v>
      </c>
      <c r="V30" s="58">
        <f t="shared" si="0"/>
        <v>74.72337021730435</v>
      </c>
      <c r="W30" s="58">
        <f t="shared" si="1"/>
        <v>88.756069038009116</v>
      </c>
      <c r="X30" s="58">
        <f t="shared" si="2"/>
        <v>75.667499052661142</v>
      </c>
      <c r="Y30" s="58">
        <f t="shared" si="3"/>
        <v>93.726033218725362</v>
      </c>
    </row>
    <row r="31" spans="1:25" x14ac:dyDescent="0.25">
      <c r="A31" t="s">
        <v>37</v>
      </c>
      <c r="D31" s="6">
        <f>1/(1+$B$7)^D29</f>
        <v>0.93209963559105813</v>
      </c>
      <c r="E31" s="6">
        <f t="shared" ref="E31:I31" si="12">1/(1+$B$7)^E29</f>
        <v>0.80981723335452482</v>
      </c>
      <c r="F31" s="6">
        <f t="shared" si="12"/>
        <v>0.70357709240184618</v>
      </c>
      <c r="G31" s="6">
        <f t="shared" si="12"/>
        <v>0.61127462415451439</v>
      </c>
      <c r="H31" s="6">
        <f t="shared" si="12"/>
        <v>0.5310813415764678</v>
      </c>
      <c r="I31" s="6">
        <f t="shared" si="12"/>
        <v>0.49502072495263588</v>
      </c>
      <c r="J31" t="s">
        <v>39</v>
      </c>
      <c r="P31" s="56">
        <v>44866</v>
      </c>
      <c r="Q31" s="6">
        <v>58.41</v>
      </c>
      <c r="R31" s="6">
        <v>4026.12</v>
      </c>
      <c r="S31" s="6">
        <v>11226.36</v>
      </c>
      <c r="T31" s="6">
        <v>34429.879999999997</v>
      </c>
      <c r="U31" s="56">
        <v>44866</v>
      </c>
      <c r="V31" s="58">
        <f t="shared" si="0"/>
        <v>77.869617384348743</v>
      </c>
      <c r="W31" s="58">
        <f t="shared" si="1"/>
        <v>91.601406970236113</v>
      </c>
      <c r="X31" s="58">
        <f t="shared" si="2"/>
        <v>76.511993718938882</v>
      </c>
      <c r="Y31" s="58">
        <f t="shared" si="3"/>
        <v>98.198396819307746</v>
      </c>
    </row>
    <row r="32" spans="1:25" x14ac:dyDescent="0.25">
      <c r="A32" t="s">
        <v>40</v>
      </c>
      <c r="C32" s="13">
        <f>-G39</f>
        <v>-1059067000000</v>
      </c>
      <c r="D32" s="5">
        <f>D30*D31</f>
        <v>4808180044.218338</v>
      </c>
      <c r="E32" s="5">
        <f t="shared" ref="E32:I32" si="13">E30*E31</f>
        <v>6892699455.2217693</v>
      </c>
      <c r="F32" s="5">
        <f t="shared" si="13"/>
        <v>9282088753.7738876</v>
      </c>
      <c r="G32" s="5">
        <f t="shared" si="13"/>
        <v>11693335093.807241</v>
      </c>
      <c r="H32" s="5">
        <f t="shared" si="13"/>
        <v>12699104141.841055</v>
      </c>
      <c r="I32" s="5">
        <f t="shared" si="13"/>
        <v>17755245514.414413</v>
      </c>
      <c r="J32" s="14">
        <f>M22</f>
        <v>1540556387075.7395</v>
      </c>
      <c r="P32" s="56">
        <v>44896</v>
      </c>
      <c r="Q32" s="6">
        <v>49.98</v>
      </c>
      <c r="R32" s="6">
        <v>3839.5</v>
      </c>
      <c r="S32" s="6">
        <v>10466.48</v>
      </c>
      <c r="T32" s="6">
        <v>33203.93</v>
      </c>
      <c r="U32" s="56">
        <v>44896</v>
      </c>
      <c r="V32" s="58">
        <f t="shared" si="0"/>
        <v>66.631115851219818</v>
      </c>
      <c r="W32" s="58">
        <f t="shared" si="1"/>
        <v>87.355469301019724</v>
      </c>
      <c r="X32" s="58">
        <f t="shared" si="2"/>
        <v>71.333117058369695</v>
      </c>
      <c r="Y32" s="58">
        <f t="shared" si="3"/>
        <v>94.701831493473605</v>
      </c>
    </row>
    <row r="33" spans="1:25" x14ac:dyDescent="0.25">
      <c r="A33" t="s">
        <v>56</v>
      </c>
      <c r="C33" s="29">
        <v>-1059067</v>
      </c>
      <c r="D33" s="45">
        <v>4808</v>
      </c>
      <c r="E33" s="24">
        <v>6893</v>
      </c>
      <c r="F33" s="24">
        <v>9282</v>
      </c>
      <c r="G33" s="24">
        <v>11693</v>
      </c>
      <c r="H33" s="24">
        <v>12699</v>
      </c>
      <c r="I33" s="24">
        <v>17755</v>
      </c>
      <c r="J33" s="24">
        <v>1540556</v>
      </c>
      <c r="P33" s="56">
        <v>44927</v>
      </c>
      <c r="Q33" s="6">
        <v>63.87</v>
      </c>
      <c r="R33" s="6">
        <v>4070.56</v>
      </c>
      <c r="S33" s="6">
        <v>11140.43</v>
      </c>
      <c r="T33" s="6">
        <v>33375.49</v>
      </c>
      <c r="U33" s="56">
        <v>44927</v>
      </c>
      <c r="V33" s="58">
        <f t="shared" si="0"/>
        <v>85.148646847087051</v>
      </c>
      <c r="W33" s="58">
        <f t="shared" si="1"/>
        <v>92.61249618907641</v>
      </c>
      <c r="X33" s="58">
        <f t="shared" si="2"/>
        <v>75.92634747026446</v>
      </c>
      <c r="Y33" s="58">
        <f t="shared" si="3"/>
        <v>95.19114243380568</v>
      </c>
    </row>
    <row r="34" spans="1:25" x14ac:dyDescent="0.25">
      <c r="P34" s="56">
        <v>44958</v>
      </c>
      <c r="Q34" s="6">
        <v>58.18</v>
      </c>
      <c r="R34" s="6">
        <v>4045.64</v>
      </c>
      <c r="S34" s="6">
        <v>11689.01</v>
      </c>
      <c r="T34" s="6">
        <v>32816.92</v>
      </c>
      <c r="U34" s="56">
        <v>44958</v>
      </c>
      <c r="V34" s="58">
        <f t="shared" si="0"/>
        <v>77.562991601119847</v>
      </c>
      <c r="W34" s="58">
        <f t="shared" si="1"/>
        <v>92.045521766630415</v>
      </c>
      <c r="X34" s="58">
        <f t="shared" si="2"/>
        <v>79.665132750117905</v>
      </c>
      <c r="Y34" s="58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6">
        <v>44986</v>
      </c>
      <c r="Q35" s="6">
        <v>61.16</v>
      </c>
      <c r="R35" s="6">
        <v>3970.99</v>
      </c>
      <c r="S35" s="6">
        <v>11823.96</v>
      </c>
      <c r="T35" s="6">
        <v>33274.15</v>
      </c>
      <c r="U35" s="56">
        <v>44986</v>
      </c>
      <c r="V35" s="58">
        <f t="shared" si="0"/>
        <v>81.535795227303026</v>
      </c>
      <c r="W35" s="58">
        <f t="shared" si="1"/>
        <v>90.347101195378642</v>
      </c>
      <c r="X35" s="58">
        <f t="shared" si="2"/>
        <v>80.584869294498347</v>
      </c>
      <c r="Y35" s="58">
        <f t="shared" si="3"/>
        <v>94.902107864598108</v>
      </c>
    </row>
    <row r="36" spans="1:25" x14ac:dyDescent="0.25">
      <c r="A36" s="13" t="s">
        <v>42</v>
      </c>
      <c r="B36" s="17">
        <f>SUM(D32:I32)</f>
        <v>63130653003.276711</v>
      </c>
      <c r="C36" t="s">
        <v>45</v>
      </c>
      <c r="F36" t="s">
        <v>33</v>
      </c>
      <c r="G36" s="15">
        <f>B13*B12</f>
        <v>1070047000000</v>
      </c>
      <c r="H36" t="s">
        <v>34</v>
      </c>
      <c r="L36" s="3" t="s">
        <v>51</v>
      </c>
      <c r="P36" s="56">
        <v>45017</v>
      </c>
      <c r="Q36" s="6">
        <v>61.13</v>
      </c>
      <c r="R36" s="6">
        <v>4133.5200000000004</v>
      </c>
      <c r="S36" s="6">
        <v>12072.46</v>
      </c>
      <c r="T36" s="6">
        <v>33808.959999999999</v>
      </c>
      <c r="U36" s="56">
        <v>45017</v>
      </c>
      <c r="V36" s="58">
        <f t="shared" si="0"/>
        <v>81.495800559925343</v>
      </c>
      <c r="W36" s="58">
        <f t="shared" si="1"/>
        <v>94.044948421708852</v>
      </c>
      <c r="X36" s="58">
        <f t="shared" si="2"/>
        <v>82.278493090560133</v>
      </c>
      <c r="Y36" s="58">
        <f t="shared" si="3"/>
        <v>96.427454005883931</v>
      </c>
    </row>
    <row r="37" spans="1:25" x14ac:dyDescent="0.25">
      <c r="A37" t="s">
        <v>11</v>
      </c>
      <c r="B37" s="19">
        <f>B15</f>
        <v>16700000000</v>
      </c>
      <c r="F37" t="s">
        <v>10</v>
      </c>
      <c r="G37" s="14">
        <f>B14</f>
        <v>5720000000</v>
      </c>
      <c r="L37" t="s">
        <v>52</v>
      </c>
      <c r="M37" s="21">
        <f>(B40/B12)-1</f>
        <v>-0.24551583244520281</v>
      </c>
      <c r="P37" s="56">
        <v>45047</v>
      </c>
      <c r="Q37" s="6">
        <v>68.17</v>
      </c>
      <c r="R37" s="6">
        <v>4282.37</v>
      </c>
      <c r="S37" s="6">
        <v>13240.77</v>
      </c>
      <c r="T37" s="6">
        <v>33093.339999999997</v>
      </c>
      <c r="U37" s="56">
        <v>45047</v>
      </c>
      <c r="V37" s="58">
        <f t="shared" si="0"/>
        <v>90.881215837888277</v>
      </c>
      <c r="W37" s="58">
        <f t="shared" si="1"/>
        <v>97.431551262041367</v>
      </c>
      <c r="X37" s="58">
        <f t="shared" si="2"/>
        <v>90.24097847155393</v>
      </c>
      <c r="Y37" s="58">
        <f t="shared" si="3"/>
        <v>94.386414747779241</v>
      </c>
    </row>
    <row r="38" spans="1:25" x14ac:dyDescent="0.25">
      <c r="A38" t="s">
        <v>10</v>
      </c>
      <c r="B38" s="19">
        <f>B14</f>
        <v>5720000000</v>
      </c>
      <c r="C38" s="3"/>
      <c r="F38" t="s">
        <v>11</v>
      </c>
      <c r="G38" s="14">
        <f>B15</f>
        <v>16700000000</v>
      </c>
      <c r="L38" t="s">
        <v>53</v>
      </c>
      <c r="M38" s="23">
        <f>IRR(C33:J33)</f>
        <v>6.2207037979798319E-2</v>
      </c>
      <c r="N38" t="s">
        <v>57</v>
      </c>
      <c r="P38" s="56">
        <v>45078</v>
      </c>
      <c r="Q38" s="6">
        <v>63.11</v>
      </c>
      <c r="R38" s="6">
        <v>4450.38</v>
      </c>
      <c r="S38" s="6">
        <v>13492.52</v>
      </c>
      <c r="T38" s="6">
        <v>33727.43</v>
      </c>
      <c r="U38" s="56">
        <v>45078</v>
      </c>
      <c r="V38" s="58">
        <f t="shared" si="0"/>
        <v>84.135448606852421</v>
      </c>
      <c r="W38" s="58">
        <f t="shared" si="1"/>
        <v>101.25407825703144</v>
      </c>
      <c r="X38" s="58">
        <f t="shared" si="2"/>
        <v>91.956752277020968</v>
      </c>
      <c r="Y38" s="58">
        <f t="shared" si="3"/>
        <v>96.194920076265873</v>
      </c>
    </row>
    <row r="39" spans="1:25" x14ac:dyDescent="0.25">
      <c r="A39" t="s">
        <v>44</v>
      </c>
      <c r="B39" s="17">
        <f>(((B36+B37)-B38)+(M22))/2</f>
        <v>807333520039.50806</v>
      </c>
      <c r="C39" t="s">
        <v>75</v>
      </c>
      <c r="F39" t="s">
        <v>30</v>
      </c>
      <c r="G39" s="13">
        <f>G36+G37-G38</f>
        <v>1059067000000</v>
      </c>
      <c r="H39" t="s">
        <v>32</v>
      </c>
      <c r="P39" s="56">
        <v>45108</v>
      </c>
      <c r="Q39" s="6">
        <v>71.2</v>
      </c>
      <c r="R39" s="6">
        <v>4582.2299999999996</v>
      </c>
      <c r="S39" s="6">
        <v>14032.81</v>
      </c>
      <c r="T39" s="6">
        <v>35065.620000000003</v>
      </c>
      <c r="U39" s="56">
        <v>45108</v>
      </c>
      <c r="V39" s="58">
        <f t="shared" si="0"/>
        <v>94.920677243034262</v>
      </c>
      <c r="W39" s="58">
        <f t="shared" si="1"/>
        <v>104.25390079312713</v>
      </c>
      <c r="X39" s="58">
        <f t="shared" si="2"/>
        <v>95.639037994422281</v>
      </c>
      <c r="Y39" s="58">
        <f t="shared" si="3"/>
        <v>100.01160815765418</v>
      </c>
    </row>
    <row r="40" spans="1:25" x14ac:dyDescent="0.25">
      <c r="A40" t="s">
        <v>72</v>
      </c>
      <c r="B40" s="20">
        <f>B39/B13</f>
        <v>738.64000003614649</v>
      </c>
      <c r="C40" t="s">
        <v>76</v>
      </c>
      <c r="F40" t="s">
        <v>48</v>
      </c>
      <c r="G40" s="16">
        <f>G39/B13</f>
        <v>968.95425434583717</v>
      </c>
      <c r="H40" t="s">
        <v>49</v>
      </c>
      <c r="L40" s="46" t="s">
        <v>82</v>
      </c>
      <c r="M40" s="47"/>
      <c r="P40" s="56">
        <v>45139</v>
      </c>
      <c r="Q40" s="6">
        <v>63.72</v>
      </c>
      <c r="R40" s="6">
        <v>4515.7700000000004</v>
      </c>
      <c r="S40" s="6">
        <v>13590.65</v>
      </c>
      <c r="T40" s="6">
        <v>34837.71</v>
      </c>
      <c r="U40" s="56">
        <v>45139</v>
      </c>
      <c r="V40" s="58">
        <f t="shared" si="0"/>
        <v>84.948673510198631</v>
      </c>
      <c r="W40" s="58">
        <f t="shared" si="1"/>
        <v>102.74181732138715</v>
      </c>
      <c r="X40" s="58">
        <f t="shared" si="2"/>
        <v>92.625546253308869</v>
      </c>
      <c r="Y40" s="58">
        <f t="shared" si="3"/>
        <v>99.361579850291832</v>
      </c>
    </row>
    <row r="41" spans="1:25" x14ac:dyDescent="0.25">
      <c r="A41" t="s">
        <v>46</v>
      </c>
      <c r="B41" s="22">
        <f>(B40/B12)-1</f>
        <v>-0.24551583244520281</v>
      </c>
      <c r="C41" t="s">
        <v>47</v>
      </c>
      <c r="F41" t="s">
        <v>46</v>
      </c>
      <c r="G41" s="21">
        <f>(G40/B12)-1</f>
        <v>-1.0261231515998781E-2</v>
      </c>
      <c r="H41" t="s">
        <v>50</v>
      </c>
      <c r="L41" s="48" t="s">
        <v>41</v>
      </c>
      <c r="M41" s="49">
        <f>B40</f>
        <v>738.64000003614649</v>
      </c>
      <c r="P41" s="56">
        <v>45170</v>
      </c>
      <c r="Q41" s="6">
        <v>68.88</v>
      </c>
      <c r="R41" s="6">
        <v>4320.0600000000004</v>
      </c>
      <c r="S41" s="6">
        <v>13211.81</v>
      </c>
      <c r="T41" s="6">
        <v>33507.5</v>
      </c>
      <c r="U41" s="56">
        <v>45170</v>
      </c>
      <c r="V41" s="58">
        <f t="shared" si="0"/>
        <v>91.8277562991601</v>
      </c>
      <c r="W41" s="58">
        <f t="shared" si="1"/>
        <v>98.289065948317059</v>
      </c>
      <c r="X41" s="58">
        <f t="shared" si="2"/>
        <v>90.04360484928452</v>
      </c>
      <c r="Y41" s="58">
        <f t="shared" si="3"/>
        <v>95.567651743861859</v>
      </c>
    </row>
    <row r="42" spans="1:25" x14ac:dyDescent="0.25">
      <c r="L42" s="48" t="s">
        <v>8</v>
      </c>
      <c r="M42" s="53">
        <f>B12</f>
        <v>979</v>
      </c>
      <c r="P42" s="56">
        <v>45200</v>
      </c>
      <c r="Q42" s="6">
        <v>67.22</v>
      </c>
      <c r="R42" s="6">
        <v>4117.37</v>
      </c>
      <c r="S42" s="6">
        <v>12643.01</v>
      </c>
      <c r="T42" s="6">
        <v>34061.32</v>
      </c>
      <c r="U42" s="56">
        <v>45200</v>
      </c>
      <c r="V42" s="58">
        <f t="shared" si="0"/>
        <v>89.614718037594969</v>
      </c>
      <c r="W42" s="58">
        <f t="shared" si="1"/>
        <v>93.677507132683829</v>
      </c>
      <c r="X42" s="58">
        <f t="shared" si="2"/>
        <v>86.16701243399298</v>
      </c>
      <c r="Y42" s="58">
        <f t="shared" si="3"/>
        <v>97.147216822986991</v>
      </c>
    </row>
    <row r="43" spans="1:25" x14ac:dyDescent="0.25">
      <c r="L43" s="48" t="s">
        <v>85</v>
      </c>
      <c r="M43" s="49">
        <f>(B40-B12)</f>
        <v>-240.35999996385351</v>
      </c>
      <c r="P43" s="56">
        <v>45231</v>
      </c>
      <c r="Q43" s="6">
        <v>77.56</v>
      </c>
      <c r="R43" s="6">
        <v>4559.34</v>
      </c>
      <c r="S43" s="6">
        <v>14250.85</v>
      </c>
      <c r="T43" s="6">
        <v>36245.5</v>
      </c>
      <c r="U43" s="56">
        <v>45231</v>
      </c>
      <c r="V43" s="58">
        <f t="shared" si="0"/>
        <v>103.39954672710306</v>
      </c>
      <c r="W43" s="58">
        <f t="shared" si="1"/>
        <v>103.73311248936355</v>
      </c>
      <c r="X43" s="58">
        <f t="shared" si="2"/>
        <v>97.125065086950713</v>
      </c>
      <c r="Y43" s="58">
        <f t="shared" si="3"/>
        <v>103.37677598394821</v>
      </c>
    </row>
    <row r="44" spans="1:25" x14ac:dyDescent="0.25">
      <c r="L44" s="48" t="s">
        <v>84</v>
      </c>
      <c r="M44" s="54">
        <f>((B40-B12)/(B12))</f>
        <v>-0.24551583244520278</v>
      </c>
      <c r="P44" s="56">
        <v>45261</v>
      </c>
      <c r="Q44" s="6">
        <v>85.34</v>
      </c>
      <c r="R44" s="6">
        <v>4769.83</v>
      </c>
      <c r="S44" s="6">
        <v>14992.97</v>
      </c>
      <c r="T44" s="6">
        <v>37689.54</v>
      </c>
      <c r="U44" s="56">
        <v>45261</v>
      </c>
      <c r="V44" s="58">
        <f t="shared" si="0"/>
        <v>113.7714971337155</v>
      </c>
      <c r="W44" s="58">
        <f t="shared" si="1"/>
        <v>108.52213520929364</v>
      </c>
      <c r="X44" s="58">
        <f t="shared" si="2"/>
        <v>102.18290046535465</v>
      </c>
      <c r="Y44" s="58">
        <f t="shared" si="3"/>
        <v>107.4953617281609</v>
      </c>
    </row>
    <row r="45" spans="1:25" x14ac:dyDescent="0.25">
      <c r="L45" s="48"/>
      <c r="M45" s="50"/>
      <c r="P45" s="56">
        <v>45292</v>
      </c>
      <c r="Q45" s="6">
        <v>86.48</v>
      </c>
      <c r="R45" s="6">
        <v>4958.6099999999997</v>
      </c>
      <c r="S45" s="6">
        <v>15628.95</v>
      </c>
      <c r="T45" s="6">
        <v>38109.43</v>
      </c>
      <c r="U45" s="56">
        <v>45292</v>
      </c>
      <c r="V45" s="58">
        <f t="shared" si="0"/>
        <v>115.29129449406746</v>
      </c>
      <c r="W45" s="58">
        <f t="shared" si="1"/>
        <v>112.8172167289307</v>
      </c>
      <c r="X45" s="58">
        <f t="shared" si="2"/>
        <v>106.51735061352119</v>
      </c>
      <c r="Y45" s="58">
        <f t="shared" si="3"/>
        <v>108.69294141302936</v>
      </c>
    </row>
    <row r="46" spans="1:25" x14ac:dyDescent="0.25">
      <c r="L46" s="51" t="s">
        <v>54</v>
      </c>
      <c r="M46" s="50"/>
      <c r="P46" s="56">
        <v>45323</v>
      </c>
      <c r="Q46" s="6">
        <v>95.15</v>
      </c>
      <c r="R46" s="6">
        <v>5137.08</v>
      </c>
      <c r="S46" s="6">
        <v>16274.94</v>
      </c>
      <c r="T46" s="6">
        <v>39087.379999999997</v>
      </c>
      <c r="U46" s="56">
        <v>45323</v>
      </c>
      <c r="V46" s="58">
        <f t="shared" si="0"/>
        <v>126.84975336621784</v>
      </c>
      <c r="W46" s="58">
        <f t="shared" si="1"/>
        <v>116.87772736993942</v>
      </c>
      <c r="X46" s="58">
        <f t="shared" si="2"/>
        <v>110.92002279065582</v>
      </c>
      <c r="Y46" s="58">
        <f t="shared" si="3"/>
        <v>111.48217919629906</v>
      </c>
    </row>
    <row r="47" spans="1:25" x14ac:dyDescent="0.25">
      <c r="L47" s="48" t="s">
        <v>41</v>
      </c>
      <c r="M47" s="49">
        <f>B40</f>
        <v>738.64000003614649</v>
      </c>
      <c r="P47" s="56">
        <v>45352</v>
      </c>
      <c r="Q47" s="6">
        <v>110.21</v>
      </c>
      <c r="R47" s="6">
        <v>5234.18</v>
      </c>
      <c r="S47" s="6">
        <v>16428.82</v>
      </c>
      <c r="T47" s="6">
        <v>39807.370000000003</v>
      </c>
      <c r="U47" s="56">
        <v>45352</v>
      </c>
      <c r="V47" s="58">
        <f t="shared" si="0"/>
        <v>146.92707638981469</v>
      </c>
      <c r="W47" s="58">
        <f t="shared" si="1"/>
        <v>119.08692546060983</v>
      </c>
      <c r="X47" s="58">
        <f t="shared" si="2"/>
        <v>111.96877462058737</v>
      </c>
      <c r="Y47" s="58">
        <f t="shared" si="3"/>
        <v>113.53568225021426</v>
      </c>
    </row>
    <row r="48" spans="1:25" x14ac:dyDescent="0.25">
      <c r="L48" s="48" t="s">
        <v>31</v>
      </c>
      <c r="M48" s="49">
        <f>G40</f>
        <v>968.95425434583717</v>
      </c>
      <c r="P48" s="56">
        <v>45383</v>
      </c>
      <c r="Q48" s="6">
        <v>106.77</v>
      </c>
      <c r="R48" s="6">
        <v>4967.2299999999996</v>
      </c>
      <c r="S48" s="6">
        <v>15282.01</v>
      </c>
      <c r="T48" s="6">
        <v>37986.400000000001</v>
      </c>
      <c r="U48" s="56">
        <v>45383</v>
      </c>
      <c r="V48" s="58">
        <f t="shared" si="0"/>
        <v>142.34102119717369</v>
      </c>
      <c r="W48" s="58">
        <f t="shared" si="1"/>
        <v>113.01333709496137</v>
      </c>
      <c r="X48" s="58">
        <f t="shared" si="2"/>
        <v>104.15282007104361</v>
      </c>
      <c r="Y48" s="58">
        <f t="shared" si="3"/>
        <v>108.34204420511928</v>
      </c>
    </row>
    <row r="49" spans="12:25" x14ac:dyDescent="0.25">
      <c r="L49" s="48" t="s">
        <v>85</v>
      </c>
      <c r="M49" s="49">
        <f>-(G40-B40)</f>
        <v>-230.31425430969068</v>
      </c>
      <c r="P49" s="56">
        <v>45413</v>
      </c>
      <c r="Q49" s="6">
        <v>125.29</v>
      </c>
      <c r="R49" s="6">
        <v>5277.51</v>
      </c>
      <c r="S49" s="6">
        <v>16735.02</v>
      </c>
      <c r="T49" s="6">
        <v>38686.32</v>
      </c>
      <c r="U49" s="56">
        <v>45413</v>
      </c>
      <c r="V49" s="58">
        <f t="shared" si="0"/>
        <v>167.03106252499666</v>
      </c>
      <c r="W49" s="58">
        <f t="shared" si="1"/>
        <v>120.07276020076172</v>
      </c>
      <c r="X49" s="58">
        <f t="shared" si="2"/>
        <v>114.05564627593596</v>
      </c>
      <c r="Y49" s="58">
        <f t="shared" si="3"/>
        <v>110.33830506637612</v>
      </c>
    </row>
    <row r="50" spans="12:25" x14ac:dyDescent="0.25">
      <c r="L50" s="52" t="s">
        <v>84</v>
      </c>
      <c r="M50" s="55">
        <f>((B40-G40)/(G40))</f>
        <v>-0.23769363029958626</v>
      </c>
      <c r="P50" s="56">
        <v>45444</v>
      </c>
      <c r="Q50" s="6">
        <v>139.54</v>
      </c>
      <c r="R50" s="6">
        <v>5464.62</v>
      </c>
      <c r="S50" s="6">
        <v>17689.36</v>
      </c>
      <c r="T50" s="6">
        <v>39150.33</v>
      </c>
      <c r="U50" s="56">
        <v>45444</v>
      </c>
      <c r="V50" s="58">
        <f t="shared" si="0"/>
        <v>186.02852952939605</v>
      </c>
      <c r="W50" s="58">
        <f t="shared" si="1"/>
        <v>124.32984624345316</v>
      </c>
      <c r="X50" s="58">
        <f t="shared" si="2"/>
        <v>120.55984319156418</v>
      </c>
      <c r="Y50" s="58">
        <f t="shared" si="3"/>
        <v>111.66172060276855</v>
      </c>
    </row>
    <row r="51" spans="12:25" x14ac:dyDescent="0.25">
      <c r="P51" s="56">
        <v>45474</v>
      </c>
      <c r="Q51" s="6">
        <v>109.41</v>
      </c>
      <c r="R51" s="6">
        <v>5459.1</v>
      </c>
      <c r="S51" s="6">
        <v>17357.88</v>
      </c>
      <c r="T51" s="6">
        <v>40287.53</v>
      </c>
      <c r="U51" s="56">
        <v>45474</v>
      </c>
      <c r="V51" s="58">
        <f t="shared" si="0"/>
        <v>145.86055192640978</v>
      </c>
      <c r="W51" s="58">
        <f t="shared" si="1"/>
        <v>124.20425640348923</v>
      </c>
      <c r="X51" s="58">
        <f t="shared" si="2"/>
        <v>118.30067853998042</v>
      </c>
      <c r="Y51" s="58">
        <f t="shared" si="3"/>
        <v>114.90515964068902</v>
      </c>
    </row>
    <row r="52" spans="12:25" x14ac:dyDescent="0.25">
      <c r="P52" s="56">
        <v>45505</v>
      </c>
      <c r="Q52" s="6">
        <v>102.85</v>
      </c>
      <c r="R52" s="6">
        <v>5648.4</v>
      </c>
      <c r="S52" s="6">
        <v>17877.79</v>
      </c>
      <c r="T52" s="6">
        <v>41175.08</v>
      </c>
      <c r="U52" s="56">
        <v>45505</v>
      </c>
      <c r="V52" s="58">
        <f t="shared" si="0"/>
        <v>137.11505132648978</v>
      </c>
      <c r="W52" s="58">
        <f t="shared" si="1"/>
        <v>128.51116885007937</v>
      </c>
      <c r="X52" s="58">
        <f t="shared" si="2"/>
        <v>121.84406665994216</v>
      </c>
      <c r="Y52" s="58">
        <f t="shared" si="3"/>
        <v>117.43656512618523</v>
      </c>
    </row>
    <row r="53" spans="12:25" x14ac:dyDescent="0.25">
      <c r="P53" s="56">
        <v>45536</v>
      </c>
      <c r="Q53" s="6">
        <v>90.9</v>
      </c>
      <c r="R53" s="6">
        <v>5751.07</v>
      </c>
      <c r="S53" s="6">
        <v>18137.849999999999</v>
      </c>
      <c r="T53" s="6">
        <v>42313</v>
      </c>
      <c r="U53" s="56">
        <v>45536</v>
      </c>
      <c r="V53" s="58">
        <f t="shared" si="0"/>
        <v>121.18384215437941</v>
      </c>
      <c r="W53" s="58">
        <f t="shared" si="1"/>
        <v>130.84709436984389</v>
      </c>
      <c r="X53" s="58">
        <f t="shared" si="2"/>
        <v>123.61647633561148</v>
      </c>
      <c r="Y53" s="58">
        <f t="shared" si="3"/>
        <v>120.68205769568088</v>
      </c>
    </row>
    <row r="54" spans="12:25" x14ac:dyDescent="0.25">
      <c r="P54" s="56">
        <v>45566</v>
      </c>
      <c r="Q54" s="6">
        <v>111.15</v>
      </c>
      <c r="R54" s="6">
        <v>5728.8</v>
      </c>
      <c r="S54" s="6">
        <v>18518.61</v>
      </c>
      <c r="T54" s="6">
        <v>42052.19</v>
      </c>
      <c r="U54" s="56">
        <v>45566</v>
      </c>
      <c r="V54" s="58">
        <f t="shared" si="0"/>
        <v>148.18024263431542</v>
      </c>
      <c r="W54" s="58">
        <f t="shared" si="1"/>
        <v>130.34041217129362</v>
      </c>
      <c r="X54" s="58">
        <f t="shared" si="2"/>
        <v>126.21150328365371</v>
      </c>
      <c r="Y54" s="58">
        <f t="shared" si="3"/>
        <v>119.93819440384124</v>
      </c>
    </row>
    <row r="55" spans="12:25" x14ac:dyDescent="0.25">
      <c r="P55" s="56">
        <v>45597</v>
      </c>
      <c r="Q55" s="6">
        <v>102.64</v>
      </c>
      <c r="R55" s="6">
        <v>5969.34</v>
      </c>
      <c r="S55" s="6">
        <v>19003.650000000001</v>
      </c>
      <c r="T55" s="6">
        <v>44296.51</v>
      </c>
      <c r="U55" s="56">
        <v>45597</v>
      </c>
      <c r="V55" s="58">
        <f t="shared" si="0"/>
        <v>136.835088654846</v>
      </c>
      <c r="W55" s="58">
        <f t="shared" si="1"/>
        <v>135.81312595841882</v>
      </c>
      <c r="X55" s="58">
        <f t="shared" si="2"/>
        <v>129.51723884116603</v>
      </c>
      <c r="Y55" s="58">
        <f t="shared" si="3"/>
        <v>126.33928049387433</v>
      </c>
    </row>
    <row r="56" spans="12:25" x14ac:dyDescent="0.25">
      <c r="P56" s="56">
        <v>45627</v>
      </c>
      <c r="Q56" s="6">
        <v>89.87</v>
      </c>
      <c r="R56" s="6">
        <v>5942.47</v>
      </c>
      <c r="S56" s="6">
        <v>19722.03</v>
      </c>
      <c r="T56" s="6">
        <v>42840.26</v>
      </c>
      <c r="U56" s="56">
        <v>45627</v>
      </c>
      <c r="V56" s="58">
        <f t="shared" si="0"/>
        <v>119.81069190774562</v>
      </c>
      <c r="W56" s="58">
        <f t="shared" si="1"/>
        <v>135.20178555989861</v>
      </c>
      <c r="X56" s="58">
        <f t="shared" si="2"/>
        <v>134.41327692009912</v>
      </c>
      <c r="Y56" s="58">
        <f t="shared" si="3"/>
        <v>122.18587027669912</v>
      </c>
    </row>
    <row r="57" spans="12:25" x14ac:dyDescent="0.25">
      <c r="P57" s="56">
        <v>45658</v>
      </c>
      <c r="Q57" s="6">
        <v>91.24</v>
      </c>
      <c r="R57" s="6">
        <v>6040.53</v>
      </c>
      <c r="S57" s="6">
        <v>19627.439999999999</v>
      </c>
      <c r="T57" s="6">
        <v>44424.25</v>
      </c>
      <c r="U57" s="56">
        <v>45658</v>
      </c>
      <c r="V57" s="58">
        <f t="shared" si="0"/>
        <v>121.63711505132649</v>
      </c>
      <c r="W57" s="58">
        <f t="shared" si="1"/>
        <v>137.43282536186709</v>
      </c>
      <c r="X57" s="58">
        <f t="shared" si="2"/>
        <v>133.76860941559414</v>
      </c>
      <c r="Y57" s="58">
        <f t="shared" si="3"/>
        <v>126.70361122083878</v>
      </c>
    </row>
    <row r="58" spans="12:25" x14ac:dyDescent="0.25">
      <c r="P58" s="56">
        <v>45689</v>
      </c>
      <c r="Q58" s="6">
        <v>98.84</v>
      </c>
      <c r="R58" s="6">
        <v>5954.5</v>
      </c>
      <c r="S58" s="6">
        <v>19524.009999999998</v>
      </c>
      <c r="T58" s="6">
        <v>43840.91</v>
      </c>
      <c r="U58" s="56">
        <v>45689</v>
      </c>
      <c r="V58" s="58">
        <f t="shared" si="0"/>
        <v>131.76909745367286</v>
      </c>
      <c r="W58" s="58">
        <f t="shared" si="1"/>
        <v>135.47548950460268</v>
      </c>
      <c r="X58" s="58">
        <f t="shared" si="2"/>
        <v>133.06369388550695</v>
      </c>
      <c r="Y58" s="58">
        <f t="shared" si="3"/>
        <v>125.03985134713098</v>
      </c>
    </row>
    <row r="59" spans="12:25" x14ac:dyDescent="0.25">
      <c r="P59" s="56">
        <v>45717</v>
      </c>
      <c r="Q59" s="6">
        <v>64.72</v>
      </c>
      <c r="R59" s="6">
        <v>5074.08</v>
      </c>
      <c r="S59" s="6">
        <v>15587.79</v>
      </c>
      <c r="T59" s="6">
        <v>38314.86</v>
      </c>
      <c r="U59" s="56">
        <v>45717</v>
      </c>
      <c r="V59" s="58">
        <f t="shared" si="0"/>
        <v>86.281829089454732</v>
      </c>
      <c r="W59" s="58">
        <f t="shared" si="1"/>
        <v>115.4443650660029</v>
      </c>
      <c r="X59" s="58">
        <f t="shared" si="2"/>
        <v>106.23682926363827</v>
      </c>
      <c r="Y59" s="58">
        <f t="shared" si="3"/>
        <v>109.27885390121087</v>
      </c>
    </row>
    <row r="60" spans="12:25" x14ac:dyDescent="0.25">
      <c r="P60" s="56">
        <v>45748</v>
      </c>
      <c r="Q60" s="6">
        <v>79.78</v>
      </c>
      <c r="R60" s="6">
        <v>5282.7</v>
      </c>
      <c r="S60" s="6">
        <v>16286.45</v>
      </c>
      <c r="T60" s="6">
        <v>39142.230000000003</v>
      </c>
      <c r="U60" s="56">
        <v>45748</v>
      </c>
      <c r="V60" s="58">
        <f t="shared" si="0"/>
        <v>106.35915211305158</v>
      </c>
      <c r="W60" s="58">
        <f t="shared" si="1"/>
        <v>120.19084195246697</v>
      </c>
      <c r="X60" s="58">
        <f t="shared" si="2"/>
        <v>110.99846790088792</v>
      </c>
      <c r="Y60" s="58">
        <f t="shared" si="3"/>
        <v>111.63861837254771</v>
      </c>
    </row>
    <row r="61" spans="12:25" x14ac:dyDescent="0.25">
      <c r="P61" s="56">
        <v>45778</v>
      </c>
      <c r="Q61" s="6">
        <v>94.46</v>
      </c>
      <c r="R61" s="6">
        <v>5802.82</v>
      </c>
      <c r="S61" s="6">
        <v>19113.77</v>
      </c>
      <c r="T61" s="6">
        <v>41603.07</v>
      </c>
      <c r="U61" s="56">
        <v>45778</v>
      </c>
      <c r="V61" s="58">
        <f t="shared" si="0"/>
        <v>125.92987601653111</v>
      </c>
      <c r="W61" s="58">
        <f t="shared" si="1"/>
        <v>132.024499119506</v>
      </c>
      <c r="X61" s="58">
        <f t="shared" si="2"/>
        <v>130.26774931369047</v>
      </c>
      <c r="Y61" s="58">
        <f t="shared" si="3"/>
        <v>118.65724704127454</v>
      </c>
    </row>
    <row r="62" spans="12:25" x14ac:dyDescent="0.25">
      <c r="P62" s="56">
        <v>45809</v>
      </c>
      <c r="Q62" s="6">
        <v>123.6</v>
      </c>
      <c r="R62" s="6">
        <v>6279.35</v>
      </c>
      <c r="S62" s="6">
        <v>19447.41</v>
      </c>
      <c r="T62" s="6">
        <v>42206.82</v>
      </c>
      <c r="U62" s="56">
        <v>45809</v>
      </c>
      <c r="V62" s="58">
        <f t="shared" si="0"/>
        <v>164.77802959605384</v>
      </c>
      <c r="W62" s="58">
        <f t="shared" si="1"/>
        <v>142.8664060829166</v>
      </c>
      <c r="X62" s="58">
        <f t="shared" si="2"/>
        <v>132.54163520229434</v>
      </c>
      <c r="Y62" s="58">
        <f t="shared" si="3"/>
        <v>120.37921883088454</v>
      </c>
    </row>
    <row r="63" spans="12:25" x14ac:dyDescent="0.25">
      <c r="P63" s="56">
        <v>45839</v>
      </c>
      <c r="Q63" s="6">
        <v>114.39</v>
      </c>
      <c r="R63" s="6">
        <v>6238.01</v>
      </c>
      <c r="S63" s="6">
        <v>20650.13</v>
      </c>
      <c r="T63" s="6">
        <v>44901.919999999998</v>
      </c>
      <c r="U63" s="56">
        <v>45839</v>
      </c>
      <c r="V63" s="58">
        <f t="shared" si="0"/>
        <v>152.49966671110516</v>
      </c>
      <c r="W63" s="58">
        <f t="shared" si="1"/>
        <v>141.92584739014302</v>
      </c>
      <c r="X63" s="58">
        <f t="shared" si="2"/>
        <v>140.73863806748324</v>
      </c>
      <c r="Y63" s="58">
        <f t="shared" si="3"/>
        <v>128.065986814616</v>
      </c>
    </row>
    <row r="64" spans="12:25" x14ac:dyDescent="0.25">
      <c r="P64" s="56">
        <v>45870</v>
      </c>
      <c r="Q64" s="6">
        <v>119.01</v>
      </c>
      <c r="R64" s="6">
        <v>6460.26</v>
      </c>
      <c r="S64" s="6">
        <v>21496.54</v>
      </c>
      <c r="T64" s="6">
        <v>45544.88</v>
      </c>
      <c r="U64" s="56">
        <v>45870</v>
      </c>
      <c r="V64" s="58">
        <f t="shared" si="0"/>
        <v>158.65884548726837</v>
      </c>
      <c r="W64" s="58">
        <f t="shared" si="1"/>
        <v>146.9824310734746</v>
      </c>
      <c r="X64" s="58">
        <f t="shared" si="2"/>
        <v>146.50725020923241</v>
      </c>
      <c r="Y64" s="58">
        <f t="shared" si="3"/>
        <v>129.89979051125803</v>
      </c>
    </row>
    <row r="65" spans="16:25" x14ac:dyDescent="0.25">
      <c r="P65" s="56">
        <v>45901</v>
      </c>
      <c r="Q65" s="6">
        <v>162.72999999999999</v>
      </c>
      <c r="R65" s="6">
        <v>6715.79</v>
      </c>
      <c r="S65" s="6">
        <v>22780.51</v>
      </c>
      <c r="T65" s="6">
        <v>46758.28</v>
      </c>
      <c r="U65" s="56">
        <v>45901</v>
      </c>
      <c r="V65" s="58">
        <f t="shared" si="0"/>
        <v>216.94440741234499</v>
      </c>
      <c r="W65" s="58">
        <f t="shared" si="1"/>
        <v>152.79619408180628</v>
      </c>
      <c r="X65" s="58">
        <f t="shared" si="2"/>
        <v>155.25800330955215</v>
      </c>
      <c r="Y65" s="58">
        <f t="shared" si="3"/>
        <v>133.36056164088578</v>
      </c>
    </row>
    <row r="66" spans="16:25" x14ac:dyDescent="0.25">
      <c r="P66" s="56">
        <v>45931</v>
      </c>
      <c r="Q66" s="6">
        <v>219.02</v>
      </c>
      <c r="R66" s="6">
        <v>6840.2</v>
      </c>
      <c r="S66" s="6">
        <v>23204.87</v>
      </c>
      <c r="T66" s="6">
        <v>47207.12</v>
      </c>
      <c r="U66" s="56">
        <v>45931</v>
      </c>
      <c r="V66" s="58">
        <f t="shared" si="0"/>
        <v>291.98773496867085</v>
      </c>
      <c r="W66" s="58">
        <f t="shared" si="1"/>
        <v>155.62674335534189</v>
      </c>
      <c r="X66" s="58">
        <f t="shared" si="2"/>
        <v>158.15018115300001</v>
      </c>
      <c r="Y66" s="58">
        <f t="shared" si="3"/>
        <v>134.64071040783992</v>
      </c>
    </row>
    <row r="67" spans="16:25" x14ac:dyDescent="0.25">
      <c r="P67" s="56">
        <v>45962</v>
      </c>
      <c r="Q67" s="6">
        <v>207.37</v>
      </c>
      <c r="R67" s="6">
        <v>6849.09</v>
      </c>
      <c r="S67" s="6">
        <v>23365.69</v>
      </c>
      <c r="T67" s="6">
        <v>46245.41</v>
      </c>
      <c r="U67" s="56">
        <v>45962</v>
      </c>
      <c r="V67" s="58">
        <f t="shared" si="0"/>
        <v>276.4564724703373</v>
      </c>
      <c r="W67" s="58">
        <f t="shared" si="1"/>
        <v>155.82900670267514</v>
      </c>
      <c r="X67" s="58">
        <f t="shared" si="2"/>
        <v>159.24623177224612</v>
      </c>
      <c r="Y67" s="58">
        <f t="shared" si="3"/>
        <v>131.89779117009942</v>
      </c>
    </row>
    <row r="68" spans="16:25" x14ac:dyDescent="0.25">
      <c r="P68" s="56">
        <v>45992</v>
      </c>
      <c r="Q68" s="6">
        <v>265.92</v>
      </c>
      <c r="R68" s="6">
        <v>6929.94</v>
      </c>
      <c r="S68" s="6">
        <v>23593.1</v>
      </c>
      <c r="T68" s="6">
        <v>48134.89</v>
      </c>
      <c r="U68" s="56">
        <v>45992</v>
      </c>
      <c r="V68" s="58">
        <f t="shared" si="0"/>
        <v>354.5127316357819</v>
      </c>
      <c r="W68" s="58">
        <f t="shared" si="1"/>
        <v>157.66848832606033</v>
      </c>
      <c r="X68" s="58">
        <f t="shared" si="2"/>
        <v>160.7961190457367</v>
      </c>
      <c r="Y68" s="58">
        <f t="shared" si="3"/>
        <v>137.28682844882783</v>
      </c>
    </row>
    <row r="69" spans="16:25" x14ac:dyDescent="0.25">
      <c r="P69" s="56">
        <v>46023</v>
      </c>
      <c r="Q69" s="59">
        <v>399.65</v>
      </c>
      <c r="R69" s="6">
        <v>6939.03</v>
      </c>
      <c r="S69" s="6">
        <v>23461.82</v>
      </c>
      <c r="T69" s="6">
        <v>49098.71</v>
      </c>
      <c r="U69" s="56">
        <v>46023</v>
      </c>
      <c r="V69" s="58">
        <f t="shared" si="0"/>
        <v>532.79562724969992</v>
      </c>
      <c r="W69" s="58">
        <f t="shared" si="1"/>
        <v>157.87530202991402</v>
      </c>
      <c r="X69" s="58">
        <f t="shared" si="2"/>
        <v>159.90139497351541</v>
      </c>
      <c r="Y69" s="58">
        <f t="shared" si="3"/>
        <v>140.03576567493451</v>
      </c>
    </row>
    <row r="70" spans="16:25" x14ac:dyDescent="0.25">
      <c r="P70" s="56">
        <v>46054</v>
      </c>
      <c r="Q70" s="6">
        <v>412.37</v>
      </c>
      <c r="R70" s="6">
        <v>6909.51</v>
      </c>
      <c r="S70" s="6">
        <v>22668.21</v>
      </c>
      <c r="T70" s="6">
        <v>48977.919999999998</v>
      </c>
      <c r="U70" s="56">
        <v>46054</v>
      </c>
      <c r="V70" s="58">
        <f t="shared" si="0"/>
        <v>549.75336621783754</v>
      </c>
      <c r="W70" s="58">
        <f t="shared" si="1"/>
        <v>157.20366940749807</v>
      </c>
      <c r="X70" s="58">
        <f t="shared" si="2"/>
        <v>154.49263529225743</v>
      </c>
      <c r="Y70" s="58">
        <f t="shared" si="3"/>
        <v>139.69125723192499</v>
      </c>
    </row>
    <row r="71" spans="16:25" x14ac:dyDescent="0.25">
      <c r="P71" s="56">
        <v>46082</v>
      </c>
      <c r="Q71" s="6">
        <v>357.22</v>
      </c>
      <c r="R71" s="6">
        <v>6368.85</v>
      </c>
      <c r="S71" s="6">
        <v>20948.36</v>
      </c>
      <c r="T71" s="6">
        <v>45577.47</v>
      </c>
      <c r="U71" s="56">
        <v>46082</v>
      </c>
      <c r="V71" s="58">
        <f t="shared" si="0"/>
        <v>476.22983602186378</v>
      </c>
      <c r="W71" s="58">
        <f t="shared" si="1"/>
        <v>144.90269062581055</v>
      </c>
      <c r="X71" s="58">
        <f t="shared" si="2"/>
        <v>142.77119108438268</v>
      </c>
      <c r="Y71" s="58">
        <f t="shared" si="3"/>
        <v>129.99274133630715</v>
      </c>
    </row>
    <row r="72" spans="16:25" x14ac:dyDescent="0.25">
      <c r="P72" s="56">
        <v>46113</v>
      </c>
      <c r="Q72" s="6">
        <v>455.07</v>
      </c>
      <c r="R72" s="6">
        <v>7123.06</v>
      </c>
      <c r="S72" s="6">
        <v>24468.48</v>
      </c>
      <c r="T72" s="6">
        <v>49447.43</v>
      </c>
      <c r="U72" s="56">
        <v>46113</v>
      </c>
      <c r="V72" s="58">
        <f t="shared" si="0"/>
        <v>606.67910945207302</v>
      </c>
      <c r="W72" s="58">
        <f t="shared" si="1"/>
        <v>162.06231258219083</v>
      </c>
      <c r="X72" s="58">
        <f t="shared" si="2"/>
        <v>166.76217296363035</v>
      </c>
      <c r="Y72" s="58">
        <f t="shared" si="3"/>
        <v>141.0303594678501</v>
      </c>
    </row>
    <row r="73" spans="16:25" x14ac:dyDescent="0.25">
      <c r="P73" s="56">
        <v>46143</v>
      </c>
      <c r="Q73" s="6">
        <v>751</v>
      </c>
      <c r="R73" s="6">
        <v>7473.47</v>
      </c>
      <c r="S73" s="6">
        <v>26343.97</v>
      </c>
      <c r="T73" s="6">
        <v>50579.7</v>
      </c>
      <c r="U73" s="56">
        <v>46143</v>
      </c>
      <c r="V73" s="58">
        <f t="shared" si="0"/>
        <v>1001.1998400213305</v>
      </c>
      <c r="W73" s="58">
        <f t="shared" si="1"/>
        <v>170.03476472381612</v>
      </c>
      <c r="X73" s="58">
        <f t="shared" si="2"/>
        <v>179.54436408345308</v>
      </c>
      <c r="Y73" s="58">
        <f t="shared" si="3"/>
        <v>144.25973751873488</v>
      </c>
    </row>
    <row r="74" spans="16:25" x14ac:dyDescent="0.25">
      <c r="P74" s="56">
        <v>46174</v>
      </c>
      <c r="Q74" s="6">
        <v>1133.99</v>
      </c>
      <c r="R74" s="6">
        <v>7425.29</v>
      </c>
      <c r="S74" s="6">
        <v>25883.49</v>
      </c>
      <c r="T74" s="6">
        <v>51200.15</v>
      </c>
      <c r="U74" s="56">
        <v>46174</v>
      </c>
      <c r="V74" s="58">
        <f t="shared" si="0"/>
        <v>1511.7850953206239</v>
      </c>
      <c r="W74" s="58">
        <f t="shared" si="1"/>
        <v>168.93858383804371</v>
      </c>
      <c r="X74" s="58">
        <f t="shared" si="2"/>
        <v>176.40601444316923</v>
      </c>
      <c r="Y74" s="58">
        <f t="shared" si="3"/>
        <v>146.02933983238046</v>
      </c>
    </row>
    <row r="75" spans="16:25" x14ac:dyDescent="0.25">
      <c r="P75" s="56">
        <v>46204</v>
      </c>
      <c r="Q75" s="6">
        <v>979.3</v>
      </c>
      <c r="R75" s="6">
        <v>7483.24</v>
      </c>
      <c r="S75" s="6">
        <v>25832.67</v>
      </c>
      <c r="T75" s="6">
        <v>52900.07</v>
      </c>
      <c r="U75" s="56">
        <v>46204</v>
      </c>
      <c r="V75" s="58">
        <f t="shared" si="0"/>
        <v>1305.5592587654978</v>
      </c>
      <c r="W75" s="58">
        <f t="shared" si="1"/>
        <v>170.25704963983927</v>
      </c>
      <c r="X75" s="58">
        <f t="shared" si="2"/>
        <v>176.0596564499464</v>
      </c>
      <c r="Y75" s="58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4C80-891A-4FF1-BB07-3C6ECF9B613C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0.13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0.13100000000000001</v>
      </c>
      <c r="C7" s="41"/>
      <c r="P7">
        <v>2026</v>
      </c>
      <c r="Q7" s="26">
        <f>D28</f>
        <v>16036020000</v>
      </c>
      <c r="R7" s="26"/>
      <c r="S7" t="s">
        <v>41</v>
      </c>
      <c r="T7" s="16">
        <f>B40</f>
        <v>1868.5427464142801</v>
      </c>
    </row>
    <row r="8" spans="1:26" x14ac:dyDescent="0.25">
      <c r="A8" s="40" t="s">
        <v>4</v>
      </c>
      <c r="B8" s="32">
        <v>0.03</v>
      </c>
      <c r="C8" s="41"/>
      <c r="P8">
        <v>2027</v>
      </c>
      <c r="Q8" s="26">
        <f>E28</f>
        <v>28063035000</v>
      </c>
      <c r="R8" s="26"/>
      <c r="S8" t="s">
        <v>55</v>
      </c>
      <c r="T8" s="16">
        <v>889.54</v>
      </c>
    </row>
    <row r="9" spans="1:26" x14ac:dyDescent="0.25">
      <c r="A9" s="40" t="s">
        <v>5</v>
      </c>
      <c r="B9" s="33" t="s">
        <v>100</v>
      </c>
      <c r="C9" s="41"/>
      <c r="P9">
        <v>2028</v>
      </c>
      <c r="Q9" s="26">
        <f>F28</f>
        <v>46304007750</v>
      </c>
      <c r="R9" s="26"/>
      <c r="S9" t="s">
        <v>8</v>
      </c>
      <c r="T9" s="16">
        <f>B12</f>
        <v>979</v>
      </c>
    </row>
    <row r="10" spans="1:26" x14ac:dyDescent="0.25">
      <c r="A10" s="40" t="s">
        <v>6</v>
      </c>
      <c r="B10" s="34">
        <v>46213</v>
      </c>
      <c r="C10" s="41"/>
      <c r="P10">
        <v>2029</v>
      </c>
      <c r="Q10" s="26">
        <f>G28</f>
        <v>71771212012.5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96891136216.875</v>
      </c>
      <c r="R11" s="26"/>
    </row>
    <row r="12" spans="1:26" x14ac:dyDescent="0.25">
      <c r="A12" s="40" t="s">
        <v>8</v>
      </c>
      <c r="B12" s="35">
        <v>979</v>
      </c>
      <c r="C12" s="41" t="s">
        <v>81</v>
      </c>
      <c r="P12">
        <v>2031</v>
      </c>
      <c r="Q12" s="26">
        <f>I28</f>
        <v>155025817947</v>
      </c>
      <c r="R12" s="26"/>
    </row>
    <row r="13" spans="1:26" x14ac:dyDescent="0.25">
      <c r="A13" s="40" t="s">
        <v>9</v>
      </c>
      <c r="B13" s="36">
        <v>1093000000</v>
      </c>
      <c r="C13" s="41"/>
    </row>
    <row r="14" spans="1:26" x14ac:dyDescent="0.25">
      <c r="A14" s="40" t="s">
        <v>10</v>
      </c>
      <c r="B14" s="35">
        <v>5720000000</v>
      </c>
      <c r="C14" s="41"/>
      <c r="P14" s="6" t="s">
        <v>16</v>
      </c>
      <c r="Q14" s="6" t="s">
        <v>91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92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16700000000</v>
      </c>
      <c r="C15" s="41"/>
      <c r="P15" s="56">
        <v>44378</v>
      </c>
      <c r="Q15" s="6">
        <v>75.010000000000005</v>
      </c>
      <c r="R15" s="6">
        <v>4395.26</v>
      </c>
      <c r="S15" s="6">
        <v>14672.68</v>
      </c>
      <c r="T15" s="6">
        <v>35061.550000000003</v>
      </c>
      <c r="U15" s="56">
        <v>44378</v>
      </c>
      <c r="V15" s="57">
        <f t="shared" ref="V15:V75" si="0">(Q15/$Q$15)*100</f>
        <v>100</v>
      </c>
      <c r="W15" s="57">
        <f>(R15/$R$15)*100</f>
        <v>100</v>
      </c>
      <c r="X15" s="57">
        <f>(S15/$S$15)*100</f>
        <v>100</v>
      </c>
      <c r="Y15" s="57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94</v>
      </c>
      <c r="C16" s="41"/>
      <c r="P16" s="56">
        <v>44409</v>
      </c>
      <c r="Q16" s="6">
        <v>70.23</v>
      </c>
      <c r="R16" s="6">
        <v>4509.37</v>
      </c>
      <c r="S16" s="6">
        <v>14714.66</v>
      </c>
      <c r="T16" s="6">
        <v>35120.080000000002</v>
      </c>
      <c r="U16" s="56">
        <v>44409</v>
      </c>
      <c r="V16" s="58">
        <f t="shared" si="0"/>
        <v>93.627516331155846</v>
      </c>
      <c r="W16" s="58">
        <f>(R16/$R$15)*100</f>
        <v>102.59620591273327</v>
      </c>
      <c r="X16" s="58">
        <f>(S16/$S$15)*100</f>
        <v>100.28610996764054</v>
      </c>
      <c r="Y16" s="58">
        <f>(T16/$T$15)*100</f>
        <v>100.16693500429959</v>
      </c>
      <c r="Z16" t="s">
        <v>74</v>
      </c>
    </row>
    <row r="17" spans="1:25" x14ac:dyDescent="0.25">
      <c r="A17" s="42" t="s">
        <v>80</v>
      </c>
      <c r="B17" s="43"/>
      <c r="C17" s="44"/>
      <c r="P17" s="56">
        <v>44440</v>
      </c>
      <c r="Q17" s="6">
        <v>70.989999999999995</v>
      </c>
      <c r="R17" s="6">
        <v>4455.4799999999996</v>
      </c>
      <c r="S17" s="6">
        <v>15047.7</v>
      </c>
      <c r="T17" s="6">
        <v>34326.46</v>
      </c>
      <c r="U17" s="56">
        <v>44440</v>
      </c>
      <c r="V17" s="58">
        <f t="shared" si="0"/>
        <v>94.640714571390475</v>
      </c>
      <c r="W17" s="58">
        <f>(R17/$R$15)*100</f>
        <v>101.37011234830247</v>
      </c>
      <c r="X17" s="58">
        <f>(S17/$S$15)*100</f>
        <v>102.55590662373881</v>
      </c>
      <c r="Y17" s="58">
        <f>(T17/$T$15)*100</f>
        <v>97.903429825549622</v>
      </c>
    </row>
    <row r="18" spans="1:25" x14ac:dyDescent="0.25">
      <c r="P18" s="56">
        <v>44470</v>
      </c>
      <c r="Q18" s="6">
        <v>69.099999999999994</v>
      </c>
      <c r="R18" s="6">
        <v>4544.8999999999996</v>
      </c>
      <c r="S18" s="6">
        <v>15498.39</v>
      </c>
      <c r="T18" s="6">
        <v>35677.019999999997</v>
      </c>
      <c r="U18" s="56">
        <v>44470</v>
      </c>
      <c r="V18" s="58">
        <f t="shared" si="0"/>
        <v>92.121050526596434</v>
      </c>
      <c r="W18" s="58">
        <f t="shared" ref="W18:W75" si="1">(R18/$R$15)*100</f>
        <v>103.40457674858823</v>
      </c>
      <c r="X18" s="58">
        <f t="shared" ref="X18:X75" si="2">(S18/$S$15)*100</f>
        <v>105.62753362030656</v>
      </c>
      <c r="Y18" s="58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6">
        <v>44501</v>
      </c>
      <c r="Q19" s="6">
        <v>83.42</v>
      </c>
      <c r="R19" s="6">
        <v>4594.62</v>
      </c>
      <c r="S19" s="6">
        <v>15085.47</v>
      </c>
      <c r="T19" s="6">
        <v>34889.339999999997</v>
      </c>
      <c r="U19" s="56">
        <v>44501</v>
      </c>
      <c r="V19" s="58">
        <f t="shared" si="0"/>
        <v>111.21183842154379</v>
      </c>
      <c r="W19" s="58">
        <f t="shared" si="1"/>
        <v>104.53579537956799</v>
      </c>
      <c r="X19" s="58">
        <f t="shared" si="2"/>
        <v>102.81332380996517</v>
      </c>
      <c r="Y19" s="58">
        <f t="shared" si="3"/>
        <v>99.508835176995873</v>
      </c>
    </row>
    <row r="20" spans="1:25" x14ac:dyDescent="0.25">
      <c r="A20" t="s">
        <v>16</v>
      </c>
      <c r="C20" s="7">
        <v>46213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1580956361241.6831</v>
      </c>
      <c r="P20" s="56">
        <v>44531</v>
      </c>
      <c r="Q20" s="6">
        <v>94.42</v>
      </c>
      <c r="R20" s="6">
        <v>4766.18</v>
      </c>
      <c r="S20" s="6">
        <v>15653.37</v>
      </c>
      <c r="T20" s="6">
        <v>35950.559999999998</v>
      </c>
      <c r="U20" s="56">
        <v>44531</v>
      </c>
      <c r="V20" s="58">
        <f t="shared" si="0"/>
        <v>125.87654979336087</v>
      </c>
      <c r="W20" s="58">
        <f t="shared" si="1"/>
        <v>108.43909120279574</v>
      </c>
      <c r="X20" s="58">
        <f t="shared" si="2"/>
        <v>106.68378237649836</v>
      </c>
      <c r="Y20" s="58">
        <f t="shared" si="3"/>
        <v>102.53556959119035</v>
      </c>
    </row>
    <row r="21" spans="1:25" x14ac:dyDescent="0.25">
      <c r="A21" t="s">
        <v>18</v>
      </c>
      <c r="B21" t="s">
        <v>86</v>
      </c>
      <c r="D21" s="5">
        <v>37380000000</v>
      </c>
      <c r="E21" s="5">
        <f>D21*1.75</f>
        <v>65415000000</v>
      </c>
      <c r="F21" s="5">
        <f>E21*1.65</f>
        <v>107934750000</v>
      </c>
      <c r="G21" s="5">
        <f>F21*1.55</f>
        <v>167298862500</v>
      </c>
      <c r="H21" s="5">
        <f>G21*1.35</f>
        <v>225853464375</v>
      </c>
      <c r="I21" s="5">
        <f>H21*1.6</f>
        <v>361365543000</v>
      </c>
      <c r="L21" t="s">
        <v>19</v>
      </c>
      <c r="M21" s="13">
        <f>(I22+I25)*18</f>
        <v>6049259189820</v>
      </c>
      <c r="P21" s="56">
        <v>44562</v>
      </c>
      <c r="Q21" s="58">
        <v>81.93</v>
      </c>
      <c r="R21" s="6">
        <v>4500.53</v>
      </c>
      <c r="S21" s="6">
        <v>13770.57</v>
      </c>
      <c r="T21" s="6">
        <v>34725.47</v>
      </c>
      <c r="U21" s="56">
        <v>44562</v>
      </c>
      <c r="V21" s="58">
        <f t="shared" si="0"/>
        <v>109.22543660845221</v>
      </c>
      <c r="W21" s="58">
        <f t="shared" si="1"/>
        <v>102.39508015453009</v>
      </c>
      <c r="X21" s="58">
        <f t="shared" si="2"/>
        <v>93.851770773982665</v>
      </c>
      <c r="Y21" s="58">
        <f t="shared" si="3"/>
        <v>99.041457094737666</v>
      </c>
    </row>
    <row r="22" spans="1:25" x14ac:dyDescent="0.25">
      <c r="A22" t="s">
        <v>77</v>
      </c>
      <c r="B22" t="s">
        <v>102</v>
      </c>
      <c r="C22" s="25">
        <v>0.7</v>
      </c>
      <c r="D22" s="5">
        <f>D21*$C$22</f>
        <v>26166000000</v>
      </c>
      <c r="E22" s="5">
        <f t="shared" ref="E22:I22" si="4">E21*$C$22</f>
        <v>45790500000</v>
      </c>
      <c r="F22" s="5">
        <f t="shared" si="4"/>
        <v>75554325000</v>
      </c>
      <c r="G22" s="5">
        <f t="shared" si="4"/>
        <v>117109203750</v>
      </c>
      <c r="H22" s="5">
        <f t="shared" si="4"/>
        <v>158097425062.5</v>
      </c>
      <c r="I22" s="5">
        <f t="shared" si="4"/>
        <v>252955880099.99997</v>
      </c>
      <c r="L22" t="s">
        <v>20</v>
      </c>
      <c r="M22" s="13">
        <f>(M20+M21)/2</f>
        <v>3815107775530.8418</v>
      </c>
      <c r="P22" s="56">
        <v>44593</v>
      </c>
      <c r="Q22" s="6">
        <v>81.91</v>
      </c>
      <c r="R22" s="6">
        <v>4384.6499999999996</v>
      </c>
      <c r="S22" s="6">
        <v>13313.44</v>
      </c>
      <c r="T22" s="6">
        <v>34058.75</v>
      </c>
      <c r="U22" s="56">
        <v>44593</v>
      </c>
      <c r="V22" s="58">
        <f t="shared" si="0"/>
        <v>109.19877349686706</v>
      </c>
      <c r="W22" s="58">
        <f t="shared" si="1"/>
        <v>99.758603586590993</v>
      </c>
      <c r="X22" s="58">
        <f t="shared" si="2"/>
        <v>90.736252681854992</v>
      </c>
      <c r="Y22" s="58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3401580000</v>
      </c>
      <c r="E23" s="30">
        <f t="shared" ref="E23:I23" si="5">E22*$B$6</f>
        <v>5952765000</v>
      </c>
      <c r="F23" s="5">
        <f t="shared" si="5"/>
        <v>9822062250</v>
      </c>
      <c r="G23" s="30">
        <f t="shared" si="5"/>
        <v>15224196487.5</v>
      </c>
      <c r="H23" s="30">
        <f t="shared" si="5"/>
        <v>20552665258.125</v>
      </c>
      <c r="I23" s="5">
        <f t="shared" si="5"/>
        <v>32884264412.999996</v>
      </c>
      <c r="P23" s="56">
        <v>44621</v>
      </c>
      <c r="Q23" s="6">
        <v>76.180000000000007</v>
      </c>
      <c r="R23" s="6">
        <v>4543.0600000000004</v>
      </c>
      <c r="S23" s="6">
        <v>14169.3</v>
      </c>
      <c r="T23" s="6">
        <v>34861.24</v>
      </c>
      <c r="U23" s="56">
        <v>44621</v>
      </c>
      <c r="V23" s="58">
        <f t="shared" si="0"/>
        <v>101.55979202772964</v>
      </c>
      <c r="W23" s="58">
        <f t="shared" si="1"/>
        <v>103.36271346860026</v>
      </c>
      <c r="X23" s="58">
        <f t="shared" si="2"/>
        <v>96.569270235567046</v>
      </c>
      <c r="Y23" s="58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22764420000</v>
      </c>
      <c r="E24" s="5">
        <f t="shared" ref="E24:I24" si="6">E22*(1-$B$6)</f>
        <v>39837735000</v>
      </c>
      <c r="F24" s="5">
        <f t="shared" si="6"/>
        <v>65732262750</v>
      </c>
      <c r="G24" s="5">
        <f t="shared" si="6"/>
        <v>101885007262.5</v>
      </c>
      <c r="H24" s="5">
        <f t="shared" si="6"/>
        <v>137544759804.375</v>
      </c>
      <c r="I24" s="5">
        <f t="shared" si="6"/>
        <v>220071615686.99997</v>
      </c>
      <c r="P24" s="56">
        <v>44652</v>
      </c>
      <c r="Q24" s="6">
        <v>68.19</v>
      </c>
      <c r="R24" s="6">
        <v>4271.78</v>
      </c>
      <c r="S24" s="6">
        <v>12839.29</v>
      </c>
      <c r="T24" s="6">
        <v>33811.4</v>
      </c>
      <c r="U24" s="56">
        <v>44652</v>
      </c>
      <c r="V24" s="58">
        <f t="shared" si="0"/>
        <v>90.9078789494734</v>
      </c>
      <c r="W24" s="58">
        <f t="shared" si="1"/>
        <v>97.190609884284413</v>
      </c>
      <c r="X24" s="58">
        <f t="shared" si="2"/>
        <v>87.504736694318979</v>
      </c>
      <c r="Y24" s="58">
        <f t="shared" si="3"/>
        <v>96.434413196222067</v>
      </c>
    </row>
    <row r="25" spans="1:25" x14ac:dyDescent="0.25">
      <c r="A25" s="4" t="s">
        <v>25</v>
      </c>
      <c r="B25" s="8" t="s">
        <v>103</v>
      </c>
      <c r="C25" s="25">
        <v>0.23</v>
      </c>
      <c r="D25" s="12">
        <f>D21*$C$25</f>
        <v>8597400000</v>
      </c>
      <c r="E25" s="12">
        <f t="shared" ref="E25:I25" si="7">E21*$C$25</f>
        <v>15045450000</v>
      </c>
      <c r="F25" s="12">
        <f t="shared" si="7"/>
        <v>24824992500</v>
      </c>
      <c r="G25" s="12">
        <f t="shared" si="7"/>
        <v>38478738375</v>
      </c>
      <c r="H25" s="12">
        <f t="shared" si="7"/>
        <v>51946296806.25</v>
      </c>
      <c r="I25" s="12">
        <f t="shared" si="7"/>
        <v>83114074890</v>
      </c>
      <c r="P25" s="56">
        <v>44682</v>
      </c>
      <c r="Q25" s="6">
        <v>68.900000000000006</v>
      </c>
      <c r="R25" s="6">
        <v>4158.24</v>
      </c>
      <c r="S25" s="6">
        <v>11354.62</v>
      </c>
      <c r="T25" s="6">
        <v>33212.959999999999</v>
      </c>
      <c r="U25" s="56">
        <v>44682</v>
      </c>
      <c r="V25" s="58">
        <f t="shared" si="0"/>
        <v>91.854419410745237</v>
      </c>
      <c r="W25" s="58">
        <f t="shared" si="1"/>
        <v>94.607372487634393</v>
      </c>
      <c r="X25" s="58">
        <f t="shared" si="2"/>
        <v>77.386135320882076</v>
      </c>
      <c r="Y25" s="58">
        <f t="shared" si="3"/>
        <v>94.727586201979079</v>
      </c>
    </row>
    <row r="26" spans="1:25" x14ac:dyDescent="0.25">
      <c r="A26" t="s">
        <v>26</v>
      </c>
      <c r="B26" t="s">
        <v>104</v>
      </c>
      <c r="C26" s="60">
        <v>0.4</v>
      </c>
      <c r="D26" s="10">
        <f>D21*$C$26</f>
        <v>14952000000</v>
      </c>
      <c r="E26" s="10">
        <f t="shared" ref="E26:I26" si="8">E21*$C$26</f>
        <v>26166000000</v>
      </c>
      <c r="F26" s="10">
        <f t="shared" si="8"/>
        <v>43173900000</v>
      </c>
      <c r="G26" s="10">
        <f t="shared" si="8"/>
        <v>66919545000</v>
      </c>
      <c r="H26" s="10">
        <f t="shared" si="8"/>
        <v>90341385750</v>
      </c>
      <c r="I26" s="10">
        <f t="shared" si="8"/>
        <v>144546217200</v>
      </c>
      <c r="P26" s="56">
        <v>44713</v>
      </c>
      <c r="Q26" s="6">
        <v>55.75</v>
      </c>
      <c r="R26" s="6">
        <v>3911.74</v>
      </c>
      <c r="S26" s="6">
        <v>11127.85</v>
      </c>
      <c r="T26" s="6">
        <v>31097.26</v>
      </c>
      <c r="U26" s="56">
        <v>44713</v>
      </c>
      <c r="V26" s="58">
        <f t="shared" si="0"/>
        <v>74.323423543527525</v>
      </c>
      <c r="W26" s="58">
        <f t="shared" si="1"/>
        <v>88.999058076200271</v>
      </c>
      <c r="X26" s="58">
        <f t="shared" si="2"/>
        <v>75.840609895397435</v>
      </c>
      <c r="Y26" s="58">
        <f t="shared" si="3"/>
        <v>88.693340710835642</v>
      </c>
    </row>
    <row r="27" spans="1:25" x14ac:dyDescent="0.25">
      <c r="A27" t="s">
        <v>27</v>
      </c>
      <c r="B27" t="s">
        <v>83</v>
      </c>
      <c r="C27" s="25">
        <v>0.01</v>
      </c>
      <c r="D27" s="10">
        <f>D21*$C$27</f>
        <v>373800000</v>
      </c>
      <c r="E27" s="10">
        <f t="shared" ref="E27:I27" si="9">E21*$C$27</f>
        <v>654150000</v>
      </c>
      <c r="F27" s="10">
        <f t="shared" si="9"/>
        <v>1079347500</v>
      </c>
      <c r="G27" s="10">
        <f t="shared" si="9"/>
        <v>1672988625</v>
      </c>
      <c r="H27" s="10">
        <f t="shared" si="9"/>
        <v>2258534643.75</v>
      </c>
      <c r="I27" s="10">
        <f t="shared" si="9"/>
        <v>3613655430</v>
      </c>
      <c r="P27" s="56">
        <v>44743</v>
      </c>
      <c r="Q27" s="6">
        <v>61.86</v>
      </c>
      <c r="R27" s="6">
        <v>4130.29</v>
      </c>
      <c r="S27" s="6">
        <v>12390.69</v>
      </c>
      <c r="T27" s="6">
        <v>32845.129999999997</v>
      </c>
      <c r="U27" s="56">
        <v>44743</v>
      </c>
      <c r="V27" s="58">
        <f t="shared" si="0"/>
        <v>82.469004132782288</v>
      </c>
      <c r="W27" s="58">
        <f t="shared" si="1"/>
        <v>93.971460163903842</v>
      </c>
      <c r="X27" s="58">
        <f t="shared" si="2"/>
        <v>84.447353857645638</v>
      </c>
      <c r="Y27" s="58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16036020000</v>
      </c>
      <c r="E28" s="12">
        <f t="shared" ref="E28:I28" si="10">E24+E25-E26-E27</f>
        <v>28063035000</v>
      </c>
      <c r="F28" s="12">
        <f t="shared" si="10"/>
        <v>46304007750</v>
      </c>
      <c r="G28" s="12">
        <f t="shared" si="10"/>
        <v>71771212012.5</v>
      </c>
      <c r="H28" s="12">
        <f t="shared" si="10"/>
        <v>96891136216.875</v>
      </c>
      <c r="I28" s="12">
        <f t="shared" si="10"/>
        <v>155025817947</v>
      </c>
      <c r="P28" s="56">
        <v>44774</v>
      </c>
      <c r="Q28" s="6">
        <v>56.33</v>
      </c>
      <c r="R28" s="6">
        <v>3924.26</v>
      </c>
      <c r="S28" s="6">
        <v>12141.71</v>
      </c>
      <c r="T28" s="6">
        <v>31318.44</v>
      </c>
      <c r="U28" s="56">
        <v>44774</v>
      </c>
      <c r="V28" s="58">
        <f t="shared" si="0"/>
        <v>75.096653779496052</v>
      </c>
      <c r="W28" s="58">
        <f t="shared" si="1"/>
        <v>89.28391039437939</v>
      </c>
      <c r="X28" s="58">
        <f t="shared" si="2"/>
        <v>82.750458675579367</v>
      </c>
      <c r="Y28" s="58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6">
        <v>44805</v>
      </c>
      <c r="Q29" s="6">
        <v>50.1</v>
      </c>
      <c r="R29" s="6">
        <v>3585.62</v>
      </c>
      <c r="S29" s="6">
        <v>10867.93</v>
      </c>
      <c r="T29" s="6">
        <v>30822.42</v>
      </c>
      <c r="U29" s="56">
        <v>44805</v>
      </c>
      <c r="V29" s="58">
        <f t="shared" si="0"/>
        <v>66.791094520730567</v>
      </c>
      <c r="W29" s="58">
        <f t="shared" si="1"/>
        <v>81.579246733981606</v>
      </c>
      <c r="X29" s="58">
        <f t="shared" si="2"/>
        <v>74.069154373979401</v>
      </c>
      <c r="Y29" s="58">
        <f t="shared" si="3"/>
        <v>87.90946207455174</v>
      </c>
    </row>
    <row r="30" spans="1:25" x14ac:dyDescent="0.25">
      <c r="A30" t="s">
        <v>36</v>
      </c>
      <c r="C30" s="13">
        <f>-G39</f>
        <v>-1059067000000</v>
      </c>
      <c r="D30" s="5">
        <f>D28</f>
        <v>16036020000</v>
      </c>
      <c r="E30" s="5">
        <f t="shared" ref="E30:I30" si="11">E28</f>
        <v>28063035000</v>
      </c>
      <c r="F30" s="5">
        <f t="shared" si="11"/>
        <v>46304007750</v>
      </c>
      <c r="G30" s="5">
        <f t="shared" si="11"/>
        <v>71771212012.5</v>
      </c>
      <c r="H30" s="5">
        <f t="shared" si="11"/>
        <v>96891136216.875</v>
      </c>
      <c r="I30" s="5">
        <f t="shared" si="11"/>
        <v>155025817947</v>
      </c>
      <c r="J30" s="13">
        <f>I28+M22</f>
        <v>3970133593477.8418</v>
      </c>
      <c r="K30" t="s">
        <v>38</v>
      </c>
      <c r="P30" s="56">
        <v>44835</v>
      </c>
      <c r="Q30" s="6">
        <v>56.05</v>
      </c>
      <c r="R30" s="6">
        <v>3901.06</v>
      </c>
      <c r="S30" s="6">
        <v>11102.45</v>
      </c>
      <c r="T30" s="6">
        <v>32861.800000000003</v>
      </c>
      <c r="U30" s="56">
        <v>44835</v>
      </c>
      <c r="V30" s="58">
        <f t="shared" si="0"/>
        <v>74.72337021730435</v>
      </c>
      <c r="W30" s="58">
        <f t="shared" si="1"/>
        <v>88.756069038009116</v>
      </c>
      <c r="X30" s="58">
        <f t="shared" si="2"/>
        <v>75.667499052661142</v>
      </c>
      <c r="Y30" s="58">
        <f t="shared" si="3"/>
        <v>93.726033218725362</v>
      </c>
    </row>
    <row r="31" spans="1:25" x14ac:dyDescent="0.25">
      <c r="A31" t="s">
        <v>37</v>
      </c>
      <c r="D31" s="6">
        <f>1/(1+$B$7)^D29</f>
        <v>0.94030489627907465</v>
      </c>
      <c r="E31" s="6">
        <f t="shared" ref="E31:I31" si="12">1/(1+$B$7)^E29</f>
        <v>0.83139248123702447</v>
      </c>
      <c r="F31" s="6">
        <f t="shared" si="12"/>
        <v>0.73509503203980942</v>
      </c>
      <c r="G31" s="6">
        <f t="shared" si="12"/>
        <v>0.64995139879735586</v>
      </c>
      <c r="H31" s="6">
        <f t="shared" si="12"/>
        <v>0.57466967179253392</v>
      </c>
      <c r="I31" s="6">
        <f t="shared" si="12"/>
        <v>0.54036470612960852</v>
      </c>
      <c r="J31" t="s">
        <v>39</v>
      </c>
      <c r="P31" s="56">
        <v>44866</v>
      </c>
      <c r="Q31" s="6">
        <v>58.41</v>
      </c>
      <c r="R31" s="6">
        <v>4026.12</v>
      </c>
      <c r="S31" s="6">
        <v>11226.36</v>
      </c>
      <c r="T31" s="6">
        <v>34429.879999999997</v>
      </c>
      <c r="U31" s="56">
        <v>44866</v>
      </c>
      <c r="V31" s="58">
        <f t="shared" si="0"/>
        <v>77.869617384348743</v>
      </c>
      <c r="W31" s="58">
        <f t="shared" si="1"/>
        <v>91.601406970236113</v>
      </c>
      <c r="X31" s="58">
        <f t="shared" si="2"/>
        <v>76.511993718938882</v>
      </c>
      <c r="Y31" s="58">
        <f t="shared" si="3"/>
        <v>98.198396819307746</v>
      </c>
    </row>
    <row r="32" spans="1:25" x14ac:dyDescent="0.25">
      <c r="A32" t="s">
        <v>40</v>
      </c>
      <c r="C32" s="13">
        <f>-G39</f>
        <v>-1059067000000</v>
      </c>
      <c r="D32" s="5">
        <f>D30*D31</f>
        <v>15078748122.829166</v>
      </c>
      <c r="E32" s="5">
        <f t="shared" ref="E32:I32" si="13">E30*E31</f>
        <v>23331396299.69146</v>
      </c>
      <c r="F32" s="5">
        <f t="shared" si="13"/>
        <v>34037846060.557835</v>
      </c>
      <c r="G32" s="5">
        <f t="shared" si="13"/>
        <v>46647799640.905968</v>
      </c>
      <c r="H32" s="5">
        <f t="shared" si="13"/>
        <v>55680397449.357254</v>
      </c>
      <c r="I32" s="5">
        <f t="shared" si="13"/>
        <v>83770480557.432846</v>
      </c>
      <c r="J32" s="14">
        <f>M22</f>
        <v>3815107775530.8418</v>
      </c>
      <c r="P32" s="56">
        <v>44896</v>
      </c>
      <c r="Q32" s="6">
        <v>49.98</v>
      </c>
      <c r="R32" s="6">
        <v>3839.5</v>
      </c>
      <c r="S32" s="6">
        <v>10466.48</v>
      </c>
      <c r="T32" s="6">
        <v>33203.93</v>
      </c>
      <c r="U32" s="56">
        <v>44896</v>
      </c>
      <c r="V32" s="58">
        <f t="shared" si="0"/>
        <v>66.631115851219818</v>
      </c>
      <c r="W32" s="58">
        <f t="shared" si="1"/>
        <v>87.355469301019724</v>
      </c>
      <c r="X32" s="58">
        <f t="shared" si="2"/>
        <v>71.333117058369695</v>
      </c>
      <c r="Y32" s="58">
        <f t="shared" si="3"/>
        <v>94.701831493473605</v>
      </c>
    </row>
    <row r="33" spans="1:25" x14ac:dyDescent="0.25">
      <c r="A33" t="s">
        <v>56</v>
      </c>
      <c r="C33" s="29">
        <v>-1059067</v>
      </c>
      <c r="D33" s="45">
        <v>15079</v>
      </c>
      <c r="E33" s="24">
        <v>23331</v>
      </c>
      <c r="F33" s="24">
        <v>34038</v>
      </c>
      <c r="G33" s="24">
        <v>46648</v>
      </c>
      <c r="H33" s="24">
        <v>55680</v>
      </c>
      <c r="I33" s="24">
        <v>83770</v>
      </c>
      <c r="J33" s="24">
        <v>3815108</v>
      </c>
      <c r="P33" s="56">
        <v>44927</v>
      </c>
      <c r="Q33" s="6">
        <v>63.87</v>
      </c>
      <c r="R33" s="6">
        <v>4070.56</v>
      </c>
      <c r="S33" s="6">
        <v>11140.43</v>
      </c>
      <c r="T33" s="6">
        <v>33375.49</v>
      </c>
      <c r="U33" s="56">
        <v>44927</v>
      </c>
      <c r="V33" s="58">
        <f t="shared" si="0"/>
        <v>85.148646847087051</v>
      </c>
      <c r="W33" s="58">
        <f t="shared" si="1"/>
        <v>92.61249618907641</v>
      </c>
      <c r="X33" s="58">
        <f t="shared" si="2"/>
        <v>75.92634747026446</v>
      </c>
      <c r="Y33" s="58">
        <f t="shared" si="3"/>
        <v>95.19114243380568</v>
      </c>
    </row>
    <row r="34" spans="1:25" x14ac:dyDescent="0.25">
      <c r="P34" s="56">
        <v>44958</v>
      </c>
      <c r="Q34" s="6">
        <v>58.18</v>
      </c>
      <c r="R34" s="6">
        <v>4045.64</v>
      </c>
      <c r="S34" s="6">
        <v>11689.01</v>
      </c>
      <c r="T34" s="6">
        <v>32816.92</v>
      </c>
      <c r="U34" s="56">
        <v>44958</v>
      </c>
      <c r="V34" s="58">
        <f t="shared" si="0"/>
        <v>77.562991601119847</v>
      </c>
      <c r="W34" s="58">
        <f t="shared" si="1"/>
        <v>92.045521766630415</v>
      </c>
      <c r="X34" s="58">
        <f t="shared" si="2"/>
        <v>79.665132750117905</v>
      </c>
      <c r="Y34" s="58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6">
        <v>44986</v>
      </c>
      <c r="Q35" s="6">
        <v>61.16</v>
      </c>
      <c r="R35" s="6">
        <v>3970.99</v>
      </c>
      <c r="S35" s="6">
        <v>11823.96</v>
      </c>
      <c r="T35" s="6">
        <v>33274.15</v>
      </c>
      <c r="U35" s="56">
        <v>44986</v>
      </c>
      <c r="V35" s="58">
        <f t="shared" si="0"/>
        <v>81.535795227303026</v>
      </c>
      <c r="W35" s="58">
        <f t="shared" si="1"/>
        <v>90.347101195378642</v>
      </c>
      <c r="X35" s="58">
        <f t="shared" si="2"/>
        <v>80.584869294498347</v>
      </c>
      <c r="Y35" s="58">
        <f t="shared" si="3"/>
        <v>94.902107864598108</v>
      </c>
    </row>
    <row r="36" spans="1:25" x14ac:dyDescent="0.25">
      <c r="A36" s="13" t="s">
        <v>42</v>
      </c>
      <c r="B36" s="17">
        <f>SUM(D32:I32)</f>
        <v>258546668130.77454</v>
      </c>
      <c r="C36" t="s">
        <v>45</v>
      </c>
      <c r="F36" t="s">
        <v>33</v>
      </c>
      <c r="G36" s="15">
        <f>B13*B12</f>
        <v>1070047000000</v>
      </c>
      <c r="H36" t="s">
        <v>34</v>
      </c>
      <c r="L36" s="3" t="s">
        <v>51</v>
      </c>
      <c r="P36" s="56">
        <v>45017</v>
      </c>
      <c r="Q36" s="6">
        <v>61.13</v>
      </c>
      <c r="R36" s="6">
        <v>4133.5200000000004</v>
      </c>
      <c r="S36" s="6">
        <v>12072.46</v>
      </c>
      <c r="T36" s="6">
        <v>33808.959999999999</v>
      </c>
      <c r="U36" s="56">
        <v>45017</v>
      </c>
      <c r="V36" s="58">
        <f t="shared" si="0"/>
        <v>81.495800559925343</v>
      </c>
      <c r="W36" s="58">
        <f t="shared" si="1"/>
        <v>94.044948421708852</v>
      </c>
      <c r="X36" s="58">
        <f t="shared" si="2"/>
        <v>82.278493090560133</v>
      </c>
      <c r="Y36" s="58">
        <f t="shared" si="3"/>
        <v>96.427454005883931</v>
      </c>
    </row>
    <row r="37" spans="1:25" x14ac:dyDescent="0.25">
      <c r="A37" t="s">
        <v>11</v>
      </c>
      <c r="B37" s="19">
        <f>B15</f>
        <v>16700000000</v>
      </c>
      <c r="F37" t="s">
        <v>10</v>
      </c>
      <c r="G37" s="14">
        <f>B14</f>
        <v>5720000000</v>
      </c>
      <c r="L37" t="s">
        <v>52</v>
      </c>
      <c r="M37" s="21">
        <f>(B40/B12)-1</f>
        <v>0.90862384720559763</v>
      </c>
      <c r="P37" s="56">
        <v>45047</v>
      </c>
      <c r="Q37" s="6">
        <v>68.17</v>
      </c>
      <c r="R37" s="6">
        <v>4282.37</v>
      </c>
      <c r="S37" s="6">
        <v>13240.77</v>
      </c>
      <c r="T37" s="6">
        <v>33093.339999999997</v>
      </c>
      <c r="U37" s="56">
        <v>45047</v>
      </c>
      <c r="V37" s="58">
        <f t="shared" si="0"/>
        <v>90.881215837888277</v>
      </c>
      <c r="W37" s="58">
        <f t="shared" si="1"/>
        <v>97.431551262041367</v>
      </c>
      <c r="X37" s="58">
        <f t="shared" si="2"/>
        <v>90.24097847155393</v>
      </c>
      <c r="Y37" s="58">
        <f t="shared" si="3"/>
        <v>94.386414747779241</v>
      </c>
    </row>
    <row r="38" spans="1:25" x14ac:dyDescent="0.25">
      <c r="A38" t="s">
        <v>10</v>
      </c>
      <c r="B38" s="19">
        <f>B14</f>
        <v>5720000000</v>
      </c>
      <c r="C38" s="3"/>
      <c r="F38" t="s">
        <v>11</v>
      </c>
      <c r="G38" s="14">
        <f>B15</f>
        <v>16700000000</v>
      </c>
      <c r="L38" t="s">
        <v>53</v>
      </c>
      <c r="M38" s="23">
        <f>IRR(C33:J33)</f>
        <v>0.22054721983887204</v>
      </c>
      <c r="N38" t="s">
        <v>57</v>
      </c>
      <c r="P38" s="56">
        <v>45078</v>
      </c>
      <c r="Q38" s="6">
        <v>63.11</v>
      </c>
      <c r="R38" s="6">
        <v>4450.38</v>
      </c>
      <c r="S38" s="6">
        <v>13492.52</v>
      </c>
      <c r="T38" s="6">
        <v>33727.43</v>
      </c>
      <c r="U38" s="56">
        <v>45078</v>
      </c>
      <c r="V38" s="58">
        <f t="shared" si="0"/>
        <v>84.135448606852421</v>
      </c>
      <c r="W38" s="58">
        <f t="shared" si="1"/>
        <v>101.25407825703144</v>
      </c>
      <c r="X38" s="58">
        <f t="shared" si="2"/>
        <v>91.956752277020968</v>
      </c>
      <c r="Y38" s="58">
        <f t="shared" si="3"/>
        <v>96.194920076265873</v>
      </c>
    </row>
    <row r="39" spans="1:25" x14ac:dyDescent="0.25">
      <c r="A39" t="s">
        <v>44</v>
      </c>
      <c r="B39" s="17">
        <f>(((B36+B37)-B38)+(M22))/2</f>
        <v>2042317221830.8081</v>
      </c>
      <c r="C39" t="s">
        <v>75</v>
      </c>
      <c r="F39" t="s">
        <v>30</v>
      </c>
      <c r="G39" s="13">
        <f>G36+G37-G38</f>
        <v>1059067000000</v>
      </c>
      <c r="H39" t="s">
        <v>32</v>
      </c>
      <c r="P39" s="56">
        <v>45108</v>
      </c>
      <c r="Q39" s="6">
        <v>71.2</v>
      </c>
      <c r="R39" s="6">
        <v>4582.2299999999996</v>
      </c>
      <c r="S39" s="6">
        <v>14032.81</v>
      </c>
      <c r="T39" s="6">
        <v>35065.620000000003</v>
      </c>
      <c r="U39" s="56">
        <v>45108</v>
      </c>
      <c r="V39" s="58">
        <f t="shared" si="0"/>
        <v>94.920677243034262</v>
      </c>
      <c r="W39" s="58">
        <f t="shared" si="1"/>
        <v>104.25390079312713</v>
      </c>
      <c r="X39" s="58">
        <f t="shared" si="2"/>
        <v>95.639037994422281</v>
      </c>
      <c r="Y39" s="58">
        <f t="shared" si="3"/>
        <v>100.01160815765418</v>
      </c>
    </row>
    <row r="40" spans="1:25" x14ac:dyDescent="0.25">
      <c r="A40" t="s">
        <v>72</v>
      </c>
      <c r="B40" s="20">
        <f>B39/B13</f>
        <v>1868.5427464142801</v>
      </c>
      <c r="C40" t="s">
        <v>76</v>
      </c>
      <c r="F40" t="s">
        <v>48</v>
      </c>
      <c r="G40" s="16">
        <f>G39/B13</f>
        <v>968.95425434583717</v>
      </c>
      <c r="H40" t="s">
        <v>49</v>
      </c>
      <c r="L40" s="46" t="s">
        <v>82</v>
      </c>
      <c r="M40" s="47"/>
      <c r="P40" s="56">
        <v>45139</v>
      </c>
      <c r="Q40" s="6">
        <v>63.72</v>
      </c>
      <c r="R40" s="6">
        <v>4515.7700000000004</v>
      </c>
      <c r="S40" s="6">
        <v>13590.65</v>
      </c>
      <c r="T40" s="6">
        <v>34837.71</v>
      </c>
      <c r="U40" s="56">
        <v>45139</v>
      </c>
      <c r="V40" s="58">
        <f t="shared" si="0"/>
        <v>84.948673510198631</v>
      </c>
      <c r="W40" s="58">
        <f t="shared" si="1"/>
        <v>102.74181732138715</v>
      </c>
      <c r="X40" s="58">
        <f t="shared" si="2"/>
        <v>92.625546253308869</v>
      </c>
      <c r="Y40" s="58">
        <f t="shared" si="3"/>
        <v>99.361579850291832</v>
      </c>
    </row>
    <row r="41" spans="1:25" x14ac:dyDescent="0.25">
      <c r="A41" t="s">
        <v>46</v>
      </c>
      <c r="B41" s="22">
        <f>(B40/B12)-1</f>
        <v>0.90862384720559763</v>
      </c>
      <c r="C41" t="s">
        <v>47</v>
      </c>
      <c r="F41" t="s">
        <v>46</v>
      </c>
      <c r="G41" s="21">
        <f>(G40/B12)-1</f>
        <v>-1.0261231515998781E-2</v>
      </c>
      <c r="H41" t="s">
        <v>50</v>
      </c>
      <c r="L41" s="48" t="s">
        <v>41</v>
      </c>
      <c r="M41" s="49">
        <f>B40</f>
        <v>1868.5427464142801</v>
      </c>
      <c r="P41" s="56">
        <v>45170</v>
      </c>
      <c r="Q41" s="6">
        <v>68.88</v>
      </c>
      <c r="R41" s="6">
        <v>4320.0600000000004</v>
      </c>
      <c r="S41" s="6">
        <v>13211.81</v>
      </c>
      <c r="T41" s="6">
        <v>33507.5</v>
      </c>
      <c r="U41" s="56">
        <v>45170</v>
      </c>
      <c r="V41" s="58">
        <f t="shared" si="0"/>
        <v>91.8277562991601</v>
      </c>
      <c r="W41" s="58">
        <f t="shared" si="1"/>
        <v>98.289065948317059</v>
      </c>
      <c r="X41" s="58">
        <f t="shared" si="2"/>
        <v>90.04360484928452</v>
      </c>
      <c r="Y41" s="58">
        <f t="shared" si="3"/>
        <v>95.567651743861859</v>
      </c>
    </row>
    <row r="42" spans="1:25" x14ac:dyDescent="0.25">
      <c r="L42" s="48" t="s">
        <v>8</v>
      </c>
      <c r="M42" s="53">
        <f>B12</f>
        <v>979</v>
      </c>
      <c r="P42" s="56">
        <v>45200</v>
      </c>
      <c r="Q42" s="6">
        <v>67.22</v>
      </c>
      <c r="R42" s="6">
        <v>4117.37</v>
      </c>
      <c r="S42" s="6">
        <v>12643.01</v>
      </c>
      <c r="T42" s="6">
        <v>34061.32</v>
      </c>
      <c r="U42" s="56">
        <v>45200</v>
      </c>
      <c r="V42" s="58">
        <f t="shared" si="0"/>
        <v>89.614718037594969</v>
      </c>
      <c r="W42" s="58">
        <f t="shared" si="1"/>
        <v>93.677507132683829</v>
      </c>
      <c r="X42" s="58">
        <f t="shared" si="2"/>
        <v>86.16701243399298</v>
      </c>
      <c r="Y42" s="58">
        <f t="shared" si="3"/>
        <v>97.147216822986991</v>
      </c>
    </row>
    <row r="43" spans="1:25" x14ac:dyDescent="0.25">
      <c r="L43" s="48" t="s">
        <v>85</v>
      </c>
      <c r="M43" s="49">
        <f>(B40-B12)</f>
        <v>889.54274641428015</v>
      </c>
      <c r="P43" s="56">
        <v>45231</v>
      </c>
      <c r="Q43" s="6">
        <v>77.56</v>
      </c>
      <c r="R43" s="6">
        <v>4559.34</v>
      </c>
      <c r="S43" s="6">
        <v>14250.85</v>
      </c>
      <c r="T43" s="6">
        <v>36245.5</v>
      </c>
      <c r="U43" s="56">
        <v>45231</v>
      </c>
      <c r="V43" s="58">
        <f t="shared" si="0"/>
        <v>103.39954672710306</v>
      </c>
      <c r="W43" s="58">
        <f t="shared" si="1"/>
        <v>103.73311248936355</v>
      </c>
      <c r="X43" s="58">
        <f t="shared" si="2"/>
        <v>97.125065086950713</v>
      </c>
      <c r="Y43" s="58">
        <f t="shared" si="3"/>
        <v>103.37677598394821</v>
      </c>
    </row>
    <row r="44" spans="1:25" x14ac:dyDescent="0.25">
      <c r="L44" s="48" t="s">
        <v>84</v>
      </c>
      <c r="M44" s="54">
        <f>((B40-B12)/(B12))</f>
        <v>0.90862384720559775</v>
      </c>
      <c r="P44" s="56">
        <v>45261</v>
      </c>
      <c r="Q44" s="6">
        <v>85.34</v>
      </c>
      <c r="R44" s="6">
        <v>4769.83</v>
      </c>
      <c r="S44" s="6">
        <v>14992.97</v>
      </c>
      <c r="T44" s="6">
        <v>37689.54</v>
      </c>
      <c r="U44" s="56">
        <v>45261</v>
      </c>
      <c r="V44" s="58">
        <f t="shared" si="0"/>
        <v>113.7714971337155</v>
      </c>
      <c r="W44" s="58">
        <f t="shared" si="1"/>
        <v>108.52213520929364</v>
      </c>
      <c r="X44" s="58">
        <f t="shared" si="2"/>
        <v>102.18290046535465</v>
      </c>
      <c r="Y44" s="58">
        <f t="shared" si="3"/>
        <v>107.4953617281609</v>
      </c>
    </row>
    <row r="45" spans="1:25" x14ac:dyDescent="0.25">
      <c r="L45" s="48"/>
      <c r="M45" s="50"/>
      <c r="P45" s="56">
        <v>45292</v>
      </c>
      <c r="Q45" s="6">
        <v>86.48</v>
      </c>
      <c r="R45" s="6">
        <v>4958.6099999999997</v>
      </c>
      <c r="S45" s="6">
        <v>15628.95</v>
      </c>
      <c r="T45" s="6">
        <v>38109.43</v>
      </c>
      <c r="U45" s="56">
        <v>45292</v>
      </c>
      <c r="V45" s="58">
        <f t="shared" si="0"/>
        <v>115.29129449406746</v>
      </c>
      <c r="W45" s="58">
        <f t="shared" si="1"/>
        <v>112.8172167289307</v>
      </c>
      <c r="X45" s="58">
        <f t="shared" si="2"/>
        <v>106.51735061352119</v>
      </c>
      <c r="Y45" s="58">
        <f t="shared" si="3"/>
        <v>108.69294141302936</v>
      </c>
    </row>
    <row r="46" spans="1:25" x14ac:dyDescent="0.25">
      <c r="L46" s="51" t="s">
        <v>54</v>
      </c>
      <c r="M46" s="50"/>
      <c r="P46" s="56">
        <v>45323</v>
      </c>
      <c r="Q46" s="6">
        <v>95.15</v>
      </c>
      <c r="R46" s="6">
        <v>5137.08</v>
      </c>
      <c r="S46" s="6">
        <v>16274.94</v>
      </c>
      <c r="T46" s="6">
        <v>39087.379999999997</v>
      </c>
      <c r="U46" s="56">
        <v>45323</v>
      </c>
      <c r="V46" s="58">
        <f t="shared" si="0"/>
        <v>126.84975336621784</v>
      </c>
      <c r="W46" s="58">
        <f t="shared" si="1"/>
        <v>116.87772736993942</v>
      </c>
      <c r="X46" s="58">
        <f t="shared" si="2"/>
        <v>110.92002279065582</v>
      </c>
      <c r="Y46" s="58">
        <f t="shared" si="3"/>
        <v>111.48217919629906</v>
      </c>
    </row>
    <row r="47" spans="1:25" x14ac:dyDescent="0.25">
      <c r="L47" s="48" t="s">
        <v>41</v>
      </c>
      <c r="M47" s="49">
        <f>B40</f>
        <v>1868.5427464142801</v>
      </c>
      <c r="P47" s="56">
        <v>45352</v>
      </c>
      <c r="Q47" s="6">
        <v>110.21</v>
      </c>
      <c r="R47" s="6">
        <v>5234.18</v>
      </c>
      <c r="S47" s="6">
        <v>16428.82</v>
      </c>
      <c r="T47" s="6">
        <v>39807.370000000003</v>
      </c>
      <c r="U47" s="56">
        <v>45352</v>
      </c>
      <c r="V47" s="58">
        <f t="shared" si="0"/>
        <v>146.92707638981469</v>
      </c>
      <c r="W47" s="58">
        <f t="shared" si="1"/>
        <v>119.08692546060983</v>
      </c>
      <c r="X47" s="58">
        <f t="shared" si="2"/>
        <v>111.96877462058737</v>
      </c>
      <c r="Y47" s="58">
        <f t="shared" si="3"/>
        <v>113.53568225021426</v>
      </c>
    </row>
    <row r="48" spans="1:25" x14ac:dyDescent="0.25">
      <c r="L48" s="48" t="s">
        <v>31</v>
      </c>
      <c r="M48" s="49">
        <f>G40</f>
        <v>968.95425434583717</v>
      </c>
      <c r="P48" s="56">
        <v>45383</v>
      </c>
      <c r="Q48" s="6">
        <v>106.77</v>
      </c>
      <c r="R48" s="6">
        <v>4967.2299999999996</v>
      </c>
      <c r="S48" s="6">
        <v>15282.01</v>
      </c>
      <c r="T48" s="6">
        <v>37986.400000000001</v>
      </c>
      <c r="U48" s="56">
        <v>45383</v>
      </c>
      <c r="V48" s="58">
        <f t="shared" si="0"/>
        <v>142.34102119717369</v>
      </c>
      <c r="W48" s="58">
        <f t="shared" si="1"/>
        <v>113.01333709496137</v>
      </c>
      <c r="X48" s="58">
        <f t="shared" si="2"/>
        <v>104.15282007104361</v>
      </c>
      <c r="Y48" s="58">
        <f t="shared" si="3"/>
        <v>108.34204420511928</v>
      </c>
    </row>
    <row r="49" spans="12:25" x14ac:dyDescent="0.25">
      <c r="L49" s="48" t="s">
        <v>85</v>
      </c>
      <c r="M49" s="49">
        <f>-(G40-B40)</f>
        <v>899.58849206844297</v>
      </c>
      <c r="P49" s="56">
        <v>45413</v>
      </c>
      <c r="Q49" s="6">
        <v>125.29</v>
      </c>
      <c r="R49" s="6">
        <v>5277.51</v>
      </c>
      <c r="S49" s="6">
        <v>16735.02</v>
      </c>
      <c r="T49" s="6">
        <v>38686.32</v>
      </c>
      <c r="U49" s="56">
        <v>45413</v>
      </c>
      <c r="V49" s="58">
        <f t="shared" si="0"/>
        <v>167.03106252499666</v>
      </c>
      <c r="W49" s="58">
        <f t="shared" si="1"/>
        <v>120.07276020076172</v>
      </c>
      <c r="X49" s="58">
        <f t="shared" si="2"/>
        <v>114.05564627593596</v>
      </c>
      <c r="Y49" s="58">
        <f t="shared" si="3"/>
        <v>110.33830506637612</v>
      </c>
    </row>
    <row r="50" spans="12:25" x14ac:dyDescent="0.25">
      <c r="L50" s="52" t="s">
        <v>84</v>
      </c>
      <c r="M50" s="55">
        <f>((B40-G40)/(G40))</f>
        <v>0.92841172638823433</v>
      </c>
      <c r="P50" s="56">
        <v>45444</v>
      </c>
      <c r="Q50" s="6">
        <v>139.54</v>
      </c>
      <c r="R50" s="6">
        <v>5464.62</v>
      </c>
      <c r="S50" s="6">
        <v>17689.36</v>
      </c>
      <c r="T50" s="6">
        <v>39150.33</v>
      </c>
      <c r="U50" s="56">
        <v>45444</v>
      </c>
      <c r="V50" s="58">
        <f t="shared" si="0"/>
        <v>186.02852952939605</v>
      </c>
      <c r="W50" s="58">
        <f t="shared" si="1"/>
        <v>124.32984624345316</v>
      </c>
      <c r="X50" s="58">
        <f t="shared" si="2"/>
        <v>120.55984319156418</v>
      </c>
      <c r="Y50" s="58">
        <f t="shared" si="3"/>
        <v>111.66172060276855</v>
      </c>
    </row>
    <row r="51" spans="12:25" x14ac:dyDescent="0.25">
      <c r="P51" s="56">
        <v>45474</v>
      </c>
      <c r="Q51" s="6">
        <v>109.41</v>
      </c>
      <c r="R51" s="6">
        <v>5459.1</v>
      </c>
      <c r="S51" s="6">
        <v>17357.88</v>
      </c>
      <c r="T51" s="6">
        <v>40287.53</v>
      </c>
      <c r="U51" s="56">
        <v>45474</v>
      </c>
      <c r="V51" s="58">
        <f t="shared" si="0"/>
        <v>145.86055192640978</v>
      </c>
      <c r="W51" s="58">
        <f t="shared" si="1"/>
        <v>124.20425640348923</v>
      </c>
      <c r="X51" s="58">
        <f t="shared" si="2"/>
        <v>118.30067853998042</v>
      </c>
      <c r="Y51" s="58">
        <f t="shared" si="3"/>
        <v>114.90515964068902</v>
      </c>
    </row>
    <row r="52" spans="12:25" x14ac:dyDescent="0.25">
      <c r="P52" s="56">
        <v>45505</v>
      </c>
      <c r="Q52" s="6">
        <v>102.85</v>
      </c>
      <c r="R52" s="6">
        <v>5648.4</v>
      </c>
      <c r="S52" s="6">
        <v>17877.79</v>
      </c>
      <c r="T52" s="6">
        <v>41175.08</v>
      </c>
      <c r="U52" s="56">
        <v>45505</v>
      </c>
      <c r="V52" s="58">
        <f t="shared" si="0"/>
        <v>137.11505132648978</v>
      </c>
      <c r="W52" s="58">
        <f t="shared" si="1"/>
        <v>128.51116885007937</v>
      </c>
      <c r="X52" s="58">
        <f t="shared" si="2"/>
        <v>121.84406665994216</v>
      </c>
      <c r="Y52" s="58">
        <f t="shared" si="3"/>
        <v>117.43656512618523</v>
      </c>
    </row>
    <row r="53" spans="12:25" x14ac:dyDescent="0.25">
      <c r="P53" s="56">
        <v>45536</v>
      </c>
      <c r="Q53" s="6">
        <v>90.9</v>
      </c>
      <c r="R53" s="6">
        <v>5751.07</v>
      </c>
      <c r="S53" s="6">
        <v>18137.849999999999</v>
      </c>
      <c r="T53" s="6">
        <v>42313</v>
      </c>
      <c r="U53" s="56">
        <v>45536</v>
      </c>
      <c r="V53" s="58">
        <f t="shared" si="0"/>
        <v>121.18384215437941</v>
      </c>
      <c r="W53" s="58">
        <f t="shared" si="1"/>
        <v>130.84709436984389</v>
      </c>
      <c r="X53" s="58">
        <f t="shared" si="2"/>
        <v>123.61647633561148</v>
      </c>
      <c r="Y53" s="58">
        <f t="shared" si="3"/>
        <v>120.68205769568088</v>
      </c>
    </row>
    <row r="54" spans="12:25" x14ac:dyDescent="0.25">
      <c r="P54" s="56">
        <v>45566</v>
      </c>
      <c r="Q54" s="6">
        <v>111.15</v>
      </c>
      <c r="R54" s="6">
        <v>5728.8</v>
      </c>
      <c r="S54" s="6">
        <v>18518.61</v>
      </c>
      <c r="T54" s="6">
        <v>42052.19</v>
      </c>
      <c r="U54" s="56">
        <v>45566</v>
      </c>
      <c r="V54" s="58">
        <f t="shared" si="0"/>
        <v>148.18024263431542</v>
      </c>
      <c r="W54" s="58">
        <f t="shared" si="1"/>
        <v>130.34041217129362</v>
      </c>
      <c r="X54" s="58">
        <f t="shared" si="2"/>
        <v>126.21150328365371</v>
      </c>
      <c r="Y54" s="58">
        <f t="shared" si="3"/>
        <v>119.93819440384124</v>
      </c>
    </row>
    <row r="55" spans="12:25" x14ac:dyDescent="0.25">
      <c r="P55" s="56">
        <v>45597</v>
      </c>
      <c r="Q55" s="6">
        <v>102.64</v>
      </c>
      <c r="R55" s="6">
        <v>5969.34</v>
      </c>
      <c r="S55" s="6">
        <v>19003.650000000001</v>
      </c>
      <c r="T55" s="6">
        <v>44296.51</v>
      </c>
      <c r="U55" s="56">
        <v>45597</v>
      </c>
      <c r="V55" s="58">
        <f t="shared" si="0"/>
        <v>136.835088654846</v>
      </c>
      <c r="W55" s="58">
        <f t="shared" si="1"/>
        <v>135.81312595841882</v>
      </c>
      <c r="X55" s="58">
        <f t="shared" si="2"/>
        <v>129.51723884116603</v>
      </c>
      <c r="Y55" s="58">
        <f t="shared" si="3"/>
        <v>126.33928049387433</v>
      </c>
    </row>
    <row r="56" spans="12:25" x14ac:dyDescent="0.25">
      <c r="P56" s="56">
        <v>45627</v>
      </c>
      <c r="Q56" s="6">
        <v>89.87</v>
      </c>
      <c r="R56" s="6">
        <v>5942.47</v>
      </c>
      <c r="S56" s="6">
        <v>19722.03</v>
      </c>
      <c r="T56" s="6">
        <v>42840.26</v>
      </c>
      <c r="U56" s="56">
        <v>45627</v>
      </c>
      <c r="V56" s="58">
        <f t="shared" si="0"/>
        <v>119.81069190774562</v>
      </c>
      <c r="W56" s="58">
        <f t="shared" si="1"/>
        <v>135.20178555989861</v>
      </c>
      <c r="X56" s="58">
        <f t="shared" si="2"/>
        <v>134.41327692009912</v>
      </c>
      <c r="Y56" s="58">
        <f t="shared" si="3"/>
        <v>122.18587027669912</v>
      </c>
    </row>
    <row r="57" spans="12:25" x14ac:dyDescent="0.25">
      <c r="P57" s="56">
        <v>45658</v>
      </c>
      <c r="Q57" s="6">
        <v>91.24</v>
      </c>
      <c r="R57" s="6">
        <v>6040.53</v>
      </c>
      <c r="S57" s="6">
        <v>19627.439999999999</v>
      </c>
      <c r="T57" s="6">
        <v>44424.25</v>
      </c>
      <c r="U57" s="56">
        <v>45658</v>
      </c>
      <c r="V57" s="58">
        <f t="shared" si="0"/>
        <v>121.63711505132649</v>
      </c>
      <c r="W57" s="58">
        <f t="shared" si="1"/>
        <v>137.43282536186709</v>
      </c>
      <c r="X57" s="58">
        <f t="shared" si="2"/>
        <v>133.76860941559414</v>
      </c>
      <c r="Y57" s="58">
        <f t="shared" si="3"/>
        <v>126.70361122083878</v>
      </c>
    </row>
    <row r="58" spans="12:25" x14ac:dyDescent="0.25">
      <c r="P58" s="56">
        <v>45689</v>
      </c>
      <c r="Q58" s="6">
        <v>98.84</v>
      </c>
      <c r="R58" s="6">
        <v>5954.5</v>
      </c>
      <c r="S58" s="6">
        <v>19524.009999999998</v>
      </c>
      <c r="T58" s="6">
        <v>43840.91</v>
      </c>
      <c r="U58" s="56">
        <v>45689</v>
      </c>
      <c r="V58" s="58">
        <f t="shared" si="0"/>
        <v>131.76909745367286</v>
      </c>
      <c r="W58" s="58">
        <f t="shared" si="1"/>
        <v>135.47548950460268</v>
      </c>
      <c r="X58" s="58">
        <f t="shared" si="2"/>
        <v>133.06369388550695</v>
      </c>
      <c r="Y58" s="58">
        <f t="shared" si="3"/>
        <v>125.03985134713098</v>
      </c>
    </row>
    <row r="59" spans="12:25" x14ac:dyDescent="0.25">
      <c r="P59" s="56">
        <v>45717</v>
      </c>
      <c r="Q59" s="6">
        <v>64.72</v>
      </c>
      <c r="R59" s="6">
        <v>5074.08</v>
      </c>
      <c r="S59" s="6">
        <v>15587.79</v>
      </c>
      <c r="T59" s="6">
        <v>38314.86</v>
      </c>
      <c r="U59" s="56">
        <v>45717</v>
      </c>
      <c r="V59" s="58">
        <f t="shared" si="0"/>
        <v>86.281829089454732</v>
      </c>
      <c r="W59" s="58">
        <f t="shared" si="1"/>
        <v>115.4443650660029</v>
      </c>
      <c r="X59" s="58">
        <f t="shared" si="2"/>
        <v>106.23682926363827</v>
      </c>
      <c r="Y59" s="58">
        <f t="shared" si="3"/>
        <v>109.27885390121087</v>
      </c>
    </row>
    <row r="60" spans="12:25" x14ac:dyDescent="0.25">
      <c r="P60" s="56">
        <v>45748</v>
      </c>
      <c r="Q60" s="6">
        <v>79.78</v>
      </c>
      <c r="R60" s="6">
        <v>5282.7</v>
      </c>
      <c r="S60" s="6">
        <v>16286.45</v>
      </c>
      <c r="T60" s="6">
        <v>39142.230000000003</v>
      </c>
      <c r="U60" s="56">
        <v>45748</v>
      </c>
      <c r="V60" s="58">
        <f t="shared" si="0"/>
        <v>106.35915211305158</v>
      </c>
      <c r="W60" s="58">
        <f t="shared" si="1"/>
        <v>120.19084195246697</v>
      </c>
      <c r="X60" s="58">
        <f t="shared" si="2"/>
        <v>110.99846790088792</v>
      </c>
      <c r="Y60" s="58">
        <f t="shared" si="3"/>
        <v>111.63861837254771</v>
      </c>
    </row>
    <row r="61" spans="12:25" x14ac:dyDescent="0.25">
      <c r="P61" s="56">
        <v>45778</v>
      </c>
      <c r="Q61" s="6">
        <v>94.46</v>
      </c>
      <c r="R61" s="6">
        <v>5802.82</v>
      </c>
      <c r="S61" s="6">
        <v>19113.77</v>
      </c>
      <c r="T61" s="6">
        <v>41603.07</v>
      </c>
      <c r="U61" s="56">
        <v>45778</v>
      </c>
      <c r="V61" s="58">
        <f t="shared" si="0"/>
        <v>125.92987601653111</v>
      </c>
      <c r="W61" s="58">
        <f t="shared" si="1"/>
        <v>132.024499119506</v>
      </c>
      <c r="X61" s="58">
        <f t="shared" si="2"/>
        <v>130.26774931369047</v>
      </c>
      <c r="Y61" s="58">
        <f t="shared" si="3"/>
        <v>118.65724704127454</v>
      </c>
    </row>
    <row r="62" spans="12:25" x14ac:dyDescent="0.25">
      <c r="P62" s="56">
        <v>45809</v>
      </c>
      <c r="Q62" s="6">
        <v>123.6</v>
      </c>
      <c r="R62" s="6">
        <v>6279.35</v>
      </c>
      <c r="S62" s="6">
        <v>19447.41</v>
      </c>
      <c r="T62" s="6">
        <v>42206.82</v>
      </c>
      <c r="U62" s="56">
        <v>45809</v>
      </c>
      <c r="V62" s="58">
        <f t="shared" si="0"/>
        <v>164.77802959605384</v>
      </c>
      <c r="W62" s="58">
        <f t="shared" si="1"/>
        <v>142.8664060829166</v>
      </c>
      <c r="X62" s="58">
        <f t="shared" si="2"/>
        <v>132.54163520229434</v>
      </c>
      <c r="Y62" s="58">
        <f t="shared" si="3"/>
        <v>120.37921883088454</v>
      </c>
    </row>
    <row r="63" spans="12:25" x14ac:dyDescent="0.25">
      <c r="P63" s="56">
        <v>45839</v>
      </c>
      <c r="Q63" s="6">
        <v>114.39</v>
      </c>
      <c r="R63" s="6">
        <v>6238.01</v>
      </c>
      <c r="S63" s="6">
        <v>20650.13</v>
      </c>
      <c r="T63" s="6">
        <v>44901.919999999998</v>
      </c>
      <c r="U63" s="56">
        <v>45839</v>
      </c>
      <c r="V63" s="58">
        <f t="shared" si="0"/>
        <v>152.49966671110516</v>
      </c>
      <c r="W63" s="58">
        <f t="shared" si="1"/>
        <v>141.92584739014302</v>
      </c>
      <c r="X63" s="58">
        <f t="shared" si="2"/>
        <v>140.73863806748324</v>
      </c>
      <c r="Y63" s="58">
        <f t="shared" si="3"/>
        <v>128.065986814616</v>
      </c>
    </row>
    <row r="64" spans="12:25" x14ac:dyDescent="0.25">
      <c r="P64" s="56">
        <v>45870</v>
      </c>
      <c r="Q64" s="6">
        <v>119.01</v>
      </c>
      <c r="R64" s="6">
        <v>6460.26</v>
      </c>
      <c r="S64" s="6">
        <v>21496.54</v>
      </c>
      <c r="T64" s="6">
        <v>45544.88</v>
      </c>
      <c r="U64" s="56">
        <v>45870</v>
      </c>
      <c r="V64" s="58">
        <f t="shared" si="0"/>
        <v>158.65884548726837</v>
      </c>
      <c r="W64" s="58">
        <f t="shared" si="1"/>
        <v>146.9824310734746</v>
      </c>
      <c r="X64" s="58">
        <f t="shared" si="2"/>
        <v>146.50725020923241</v>
      </c>
      <c r="Y64" s="58">
        <f t="shared" si="3"/>
        <v>129.89979051125803</v>
      </c>
    </row>
    <row r="65" spans="16:25" x14ac:dyDescent="0.25">
      <c r="P65" s="56">
        <v>45901</v>
      </c>
      <c r="Q65" s="6">
        <v>162.72999999999999</v>
      </c>
      <c r="R65" s="6">
        <v>6715.79</v>
      </c>
      <c r="S65" s="6">
        <v>22780.51</v>
      </c>
      <c r="T65" s="6">
        <v>46758.28</v>
      </c>
      <c r="U65" s="56">
        <v>45901</v>
      </c>
      <c r="V65" s="58">
        <f t="shared" si="0"/>
        <v>216.94440741234499</v>
      </c>
      <c r="W65" s="58">
        <f t="shared" si="1"/>
        <v>152.79619408180628</v>
      </c>
      <c r="X65" s="58">
        <f t="shared" si="2"/>
        <v>155.25800330955215</v>
      </c>
      <c r="Y65" s="58">
        <f t="shared" si="3"/>
        <v>133.36056164088578</v>
      </c>
    </row>
    <row r="66" spans="16:25" x14ac:dyDescent="0.25">
      <c r="P66" s="56">
        <v>45931</v>
      </c>
      <c r="Q66" s="6">
        <v>219.02</v>
      </c>
      <c r="R66" s="6">
        <v>6840.2</v>
      </c>
      <c r="S66" s="6">
        <v>23204.87</v>
      </c>
      <c r="T66" s="6">
        <v>47207.12</v>
      </c>
      <c r="U66" s="56">
        <v>45931</v>
      </c>
      <c r="V66" s="58">
        <f t="shared" si="0"/>
        <v>291.98773496867085</v>
      </c>
      <c r="W66" s="58">
        <f t="shared" si="1"/>
        <v>155.62674335534189</v>
      </c>
      <c r="X66" s="58">
        <f t="shared" si="2"/>
        <v>158.15018115300001</v>
      </c>
      <c r="Y66" s="58">
        <f t="shared" si="3"/>
        <v>134.64071040783992</v>
      </c>
    </row>
    <row r="67" spans="16:25" x14ac:dyDescent="0.25">
      <c r="P67" s="56">
        <v>45962</v>
      </c>
      <c r="Q67" s="6">
        <v>207.37</v>
      </c>
      <c r="R67" s="6">
        <v>6849.09</v>
      </c>
      <c r="S67" s="6">
        <v>23365.69</v>
      </c>
      <c r="T67" s="6">
        <v>46245.41</v>
      </c>
      <c r="U67" s="56">
        <v>45962</v>
      </c>
      <c r="V67" s="58">
        <f t="shared" si="0"/>
        <v>276.4564724703373</v>
      </c>
      <c r="W67" s="58">
        <f t="shared" si="1"/>
        <v>155.82900670267514</v>
      </c>
      <c r="X67" s="58">
        <f t="shared" si="2"/>
        <v>159.24623177224612</v>
      </c>
      <c r="Y67" s="58">
        <f t="shared" si="3"/>
        <v>131.89779117009942</v>
      </c>
    </row>
    <row r="68" spans="16:25" x14ac:dyDescent="0.25">
      <c r="P68" s="56">
        <v>45992</v>
      </c>
      <c r="Q68" s="6">
        <v>265.92</v>
      </c>
      <c r="R68" s="6">
        <v>6929.94</v>
      </c>
      <c r="S68" s="6">
        <v>23593.1</v>
      </c>
      <c r="T68" s="6">
        <v>48134.89</v>
      </c>
      <c r="U68" s="56">
        <v>45992</v>
      </c>
      <c r="V68" s="58">
        <f t="shared" si="0"/>
        <v>354.5127316357819</v>
      </c>
      <c r="W68" s="58">
        <f t="shared" si="1"/>
        <v>157.66848832606033</v>
      </c>
      <c r="X68" s="58">
        <f t="shared" si="2"/>
        <v>160.7961190457367</v>
      </c>
      <c r="Y68" s="58">
        <f t="shared" si="3"/>
        <v>137.28682844882783</v>
      </c>
    </row>
    <row r="69" spans="16:25" x14ac:dyDescent="0.25">
      <c r="P69" s="56">
        <v>46023</v>
      </c>
      <c r="Q69" s="59">
        <v>399.65</v>
      </c>
      <c r="R69" s="6">
        <v>6939.03</v>
      </c>
      <c r="S69" s="6">
        <v>23461.82</v>
      </c>
      <c r="T69" s="6">
        <v>49098.71</v>
      </c>
      <c r="U69" s="56">
        <v>46023</v>
      </c>
      <c r="V69" s="58">
        <f t="shared" si="0"/>
        <v>532.79562724969992</v>
      </c>
      <c r="W69" s="58">
        <f t="shared" si="1"/>
        <v>157.87530202991402</v>
      </c>
      <c r="X69" s="58">
        <f t="shared" si="2"/>
        <v>159.90139497351541</v>
      </c>
      <c r="Y69" s="58">
        <f t="shared" si="3"/>
        <v>140.03576567493451</v>
      </c>
    </row>
    <row r="70" spans="16:25" x14ac:dyDescent="0.25">
      <c r="P70" s="56">
        <v>46054</v>
      </c>
      <c r="Q70" s="6">
        <v>412.37</v>
      </c>
      <c r="R70" s="6">
        <v>6909.51</v>
      </c>
      <c r="S70" s="6">
        <v>22668.21</v>
      </c>
      <c r="T70" s="6">
        <v>48977.919999999998</v>
      </c>
      <c r="U70" s="56">
        <v>46054</v>
      </c>
      <c r="V70" s="58">
        <f t="shared" si="0"/>
        <v>549.75336621783754</v>
      </c>
      <c r="W70" s="58">
        <f t="shared" si="1"/>
        <v>157.20366940749807</v>
      </c>
      <c r="X70" s="58">
        <f t="shared" si="2"/>
        <v>154.49263529225743</v>
      </c>
      <c r="Y70" s="58">
        <f t="shared" si="3"/>
        <v>139.69125723192499</v>
      </c>
    </row>
    <row r="71" spans="16:25" x14ac:dyDescent="0.25">
      <c r="P71" s="56">
        <v>46082</v>
      </c>
      <c r="Q71" s="6">
        <v>357.22</v>
      </c>
      <c r="R71" s="6">
        <v>6368.85</v>
      </c>
      <c r="S71" s="6">
        <v>20948.36</v>
      </c>
      <c r="T71" s="6">
        <v>45577.47</v>
      </c>
      <c r="U71" s="56">
        <v>46082</v>
      </c>
      <c r="V71" s="58">
        <f t="shared" si="0"/>
        <v>476.22983602186378</v>
      </c>
      <c r="W71" s="58">
        <f t="shared" si="1"/>
        <v>144.90269062581055</v>
      </c>
      <c r="X71" s="58">
        <f t="shared" si="2"/>
        <v>142.77119108438268</v>
      </c>
      <c r="Y71" s="58">
        <f t="shared" si="3"/>
        <v>129.99274133630715</v>
      </c>
    </row>
    <row r="72" spans="16:25" x14ac:dyDescent="0.25">
      <c r="P72" s="56">
        <v>46113</v>
      </c>
      <c r="Q72" s="6">
        <v>455.07</v>
      </c>
      <c r="R72" s="6">
        <v>7123.06</v>
      </c>
      <c r="S72" s="6">
        <v>24468.48</v>
      </c>
      <c r="T72" s="6">
        <v>49447.43</v>
      </c>
      <c r="U72" s="56">
        <v>46113</v>
      </c>
      <c r="V72" s="58">
        <f t="shared" si="0"/>
        <v>606.67910945207302</v>
      </c>
      <c r="W72" s="58">
        <f t="shared" si="1"/>
        <v>162.06231258219083</v>
      </c>
      <c r="X72" s="58">
        <f t="shared" si="2"/>
        <v>166.76217296363035</v>
      </c>
      <c r="Y72" s="58">
        <f t="shared" si="3"/>
        <v>141.0303594678501</v>
      </c>
    </row>
    <row r="73" spans="16:25" x14ac:dyDescent="0.25">
      <c r="P73" s="56">
        <v>46143</v>
      </c>
      <c r="Q73" s="6">
        <v>751</v>
      </c>
      <c r="R73" s="6">
        <v>7473.47</v>
      </c>
      <c r="S73" s="6">
        <v>26343.97</v>
      </c>
      <c r="T73" s="6">
        <v>50579.7</v>
      </c>
      <c r="U73" s="56">
        <v>46143</v>
      </c>
      <c r="V73" s="58">
        <f t="shared" si="0"/>
        <v>1001.1998400213305</v>
      </c>
      <c r="W73" s="58">
        <f t="shared" si="1"/>
        <v>170.03476472381612</v>
      </c>
      <c r="X73" s="58">
        <f t="shared" si="2"/>
        <v>179.54436408345308</v>
      </c>
      <c r="Y73" s="58">
        <f t="shared" si="3"/>
        <v>144.25973751873488</v>
      </c>
    </row>
    <row r="74" spans="16:25" x14ac:dyDescent="0.25">
      <c r="P74" s="56">
        <v>46174</v>
      </c>
      <c r="Q74" s="6">
        <v>1133.99</v>
      </c>
      <c r="R74" s="6">
        <v>7425.29</v>
      </c>
      <c r="S74" s="6">
        <v>25883.49</v>
      </c>
      <c r="T74" s="6">
        <v>51200.15</v>
      </c>
      <c r="U74" s="56">
        <v>46174</v>
      </c>
      <c r="V74" s="58">
        <f t="shared" si="0"/>
        <v>1511.7850953206239</v>
      </c>
      <c r="W74" s="58">
        <f t="shared" si="1"/>
        <v>168.93858383804371</v>
      </c>
      <c r="X74" s="58">
        <f t="shared" si="2"/>
        <v>176.40601444316923</v>
      </c>
      <c r="Y74" s="58">
        <f t="shared" si="3"/>
        <v>146.02933983238046</v>
      </c>
    </row>
    <row r="75" spans="16:25" x14ac:dyDescent="0.25">
      <c r="P75" s="56">
        <v>46204</v>
      </c>
      <c r="Q75" s="6">
        <v>979.3</v>
      </c>
      <c r="R75" s="6">
        <v>7483.24</v>
      </c>
      <c r="S75" s="6">
        <v>25832.67</v>
      </c>
      <c r="T75" s="6">
        <v>52900.07</v>
      </c>
      <c r="U75" s="56">
        <v>46204</v>
      </c>
      <c r="V75" s="58">
        <f t="shared" si="0"/>
        <v>1305.5592587654978</v>
      </c>
      <c r="W75" s="58">
        <f t="shared" si="1"/>
        <v>170.25704963983927</v>
      </c>
      <c r="X75" s="58">
        <f t="shared" si="2"/>
        <v>176.0596564499464</v>
      </c>
      <c r="Y75" s="58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61FF-75B7-4A05-8B78-39B24782ABAC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2026-09-01T15:49:26Z</dcterms:modified>
  <cp:category/>
  <cp:contentStatus/>
</cp:coreProperties>
</file>