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all\Desktop\personal projects\dcf models\"/>
    </mc:Choice>
  </mc:AlternateContent>
  <xr:revisionPtr revIDLastSave="0" documentId="13_ncr:1_{4DE23F67-2F75-4898-98A5-C93736ADC51A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WACC Input" sheetId="17" r:id="rId1"/>
    <sheet name="Base Assumptions" sheetId="1" r:id="rId2"/>
    <sheet name="Bear Assumptions" sheetId="15" r:id="rId3"/>
    <sheet name="Bull Assumptions" sheetId="16" r:id="rId4"/>
    <sheet name="Export" sheetId="1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7" l="1"/>
  <c r="C24" i="17" s="1"/>
  <c r="C18" i="17"/>
  <c r="C19" i="17" s="1"/>
  <c r="C12" i="17"/>
  <c r="C14" i="17" s="1"/>
  <c r="I21" i="16"/>
  <c r="H21" i="16"/>
  <c r="G21" i="16"/>
  <c r="F21" i="16"/>
  <c r="E21" i="16"/>
  <c r="I21" i="15"/>
  <c r="H21" i="15"/>
  <c r="G21" i="15"/>
  <c r="F21" i="15"/>
  <c r="E21" i="15"/>
  <c r="Y75" i="16"/>
  <c r="X75" i="16"/>
  <c r="W75" i="16"/>
  <c r="V75" i="16"/>
  <c r="Y74" i="16"/>
  <c r="X74" i="16"/>
  <c r="W74" i="16"/>
  <c r="V74" i="16"/>
  <c r="Y73" i="16"/>
  <c r="X73" i="16"/>
  <c r="W73" i="16"/>
  <c r="V73" i="16"/>
  <c r="Y72" i="16"/>
  <c r="X72" i="16"/>
  <c r="W72" i="16"/>
  <c r="V72" i="16"/>
  <c r="Y71" i="16"/>
  <c r="X71" i="16"/>
  <c r="W71" i="16"/>
  <c r="V71" i="16"/>
  <c r="Y70" i="16"/>
  <c r="X70" i="16"/>
  <c r="W70" i="16"/>
  <c r="V70" i="16"/>
  <c r="Y69" i="16"/>
  <c r="X69" i="16"/>
  <c r="W69" i="16"/>
  <c r="V69" i="16"/>
  <c r="Y68" i="16"/>
  <c r="X68" i="16"/>
  <c r="W68" i="16"/>
  <c r="V68" i="16"/>
  <c r="Y67" i="16"/>
  <c r="X67" i="16"/>
  <c r="W67" i="16"/>
  <c r="V67" i="16"/>
  <c r="Y66" i="16"/>
  <c r="X66" i="16"/>
  <c r="W66" i="16"/>
  <c r="V66" i="16"/>
  <c r="Y65" i="16"/>
  <c r="X65" i="16"/>
  <c r="W65" i="16"/>
  <c r="V65" i="16"/>
  <c r="Y64" i="16"/>
  <c r="X64" i="16"/>
  <c r="W64" i="16"/>
  <c r="V64" i="16"/>
  <c r="Y63" i="16"/>
  <c r="X63" i="16"/>
  <c r="W63" i="16"/>
  <c r="V63" i="16"/>
  <c r="Y62" i="16"/>
  <c r="X62" i="16"/>
  <c r="W62" i="16"/>
  <c r="V62" i="16"/>
  <c r="Y61" i="16"/>
  <c r="X61" i="16"/>
  <c r="W61" i="16"/>
  <c r="V61" i="16"/>
  <c r="Y60" i="16"/>
  <c r="X60" i="16"/>
  <c r="W60" i="16"/>
  <c r="V60" i="16"/>
  <c r="Y59" i="16"/>
  <c r="X59" i="16"/>
  <c r="W59" i="16"/>
  <c r="V59" i="16"/>
  <c r="Y58" i="16"/>
  <c r="X58" i="16"/>
  <c r="W58" i="16"/>
  <c r="V58" i="16"/>
  <c r="Y57" i="16"/>
  <c r="X57" i="16"/>
  <c r="W57" i="16"/>
  <c r="V57" i="16"/>
  <c r="Y56" i="16"/>
  <c r="X56" i="16"/>
  <c r="W56" i="16"/>
  <c r="V56" i="16"/>
  <c r="Y55" i="16"/>
  <c r="X55" i="16"/>
  <c r="W55" i="16"/>
  <c r="V55" i="16"/>
  <c r="Y54" i="16"/>
  <c r="X54" i="16"/>
  <c r="W54" i="16"/>
  <c r="V54" i="16"/>
  <c r="Y53" i="16"/>
  <c r="X53" i="16"/>
  <c r="W53" i="16"/>
  <c r="V53" i="16"/>
  <c r="Y52" i="16"/>
  <c r="X52" i="16"/>
  <c r="W52" i="16"/>
  <c r="V52" i="16"/>
  <c r="Y51" i="16"/>
  <c r="X51" i="16"/>
  <c r="W51" i="16"/>
  <c r="V51" i="16"/>
  <c r="Y50" i="16"/>
  <c r="X50" i="16"/>
  <c r="W50" i="16"/>
  <c r="V50" i="16"/>
  <c r="Y49" i="16"/>
  <c r="X49" i="16"/>
  <c r="W49" i="16"/>
  <c r="V49" i="16"/>
  <c r="Y48" i="16"/>
  <c r="X48" i="16"/>
  <c r="W48" i="16"/>
  <c r="V48" i="16"/>
  <c r="Y47" i="16"/>
  <c r="X47" i="16"/>
  <c r="W47" i="16"/>
  <c r="V47" i="16"/>
  <c r="Y46" i="16"/>
  <c r="X46" i="16"/>
  <c r="W46" i="16"/>
  <c r="V46" i="16"/>
  <c r="Y45" i="16"/>
  <c r="X45" i="16"/>
  <c r="W45" i="16"/>
  <c r="V45" i="16"/>
  <c r="Y44" i="16"/>
  <c r="X44" i="16"/>
  <c r="W44" i="16"/>
  <c r="V44" i="16"/>
  <c r="Y43" i="16"/>
  <c r="X43" i="16"/>
  <c r="W43" i="16"/>
  <c r="V43" i="16"/>
  <c r="Y42" i="16"/>
  <c r="X42" i="16"/>
  <c r="W42" i="16"/>
  <c r="V42" i="16"/>
  <c r="M42" i="16"/>
  <c r="Y41" i="16"/>
  <c r="X41" i="16"/>
  <c r="W41" i="16"/>
  <c r="V41" i="16"/>
  <c r="Y40" i="16"/>
  <c r="X40" i="16"/>
  <c r="W40" i="16"/>
  <c r="V40" i="16"/>
  <c r="Y39" i="16"/>
  <c r="X39" i="16"/>
  <c r="W39" i="16"/>
  <c r="V39" i="16"/>
  <c r="Y38" i="16"/>
  <c r="X38" i="16"/>
  <c r="W38" i="16"/>
  <c r="V38" i="16"/>
  <c r="M38" i="16"/>
  <c r="G38" i="16"/>
  <c r="B38" i="16"/>
  <c r="Y37" i="16"/>
  <c r="X37" i="16"/>
  <c r="W37" i="16"/>
  <c r="V37" i="16"/>
  <c r="G37" i="16"/>
  <c r="G39" i="16" s="1"/>
  <c r="B37" i="16"/>
  <c r="Y36" i="16"/>
  <c r="X36" i="16"/>
  <c r="W36" i="16"/>
  <c r="V36" i="16"/>
  <c r="G36" i="16"/>
  <c r="Y35" i="16"/>
  <c r="X35" i="16"/>
  <c r="W35" i="16"/>
  <c r="V35" i="16"/>
  <c r="Y34" i="16"/>
  <c r="X34" i="16"/>
  <c r="W34" i="16"/>
  <c r="V34" i="16"/>
  <c r="Y33" i="16"/>
  <c r="X33" i="16"/>
  <c r="W33" i="16"/>
  <c r="V33" i="16"/>
  <c r="Y32" i="16"/>
  <c r="X32" i="16"/>
  <c r="W32" i="16"/>
  <c r="V32" i="16"/>
  <c r="Y31" i="16"/>
  <c r="X31" i="16"/>
  <c r="W31" i="16"/>
  <c r="V31" i="16"/>
  <c r="I31" i="16"/>
  <c r="H31" i="16"/>
  <c r="G31" i="16"/>
  <c r="F31" i="16"/>
  <c r="E31" i="16"/>
  <c r="D31" i="16"/>
  <c r="Y30" i="16"/>
  <c r="X30" i="16"/>
  <c r="W30" i="16"/>
  <c r="V30" i="16"/>
  <c r="Y29" i="16"/>
  <c r="X29" i="16"/>
  <c r="W29" i="16"/>
  <c r="V29" i="16"/>
  <c r="Y28" i="16"/>
  <c r="X28" i="16"/>
  <c r="W28" i="16"/>
  <c r="V28" i="16"/>
  <c r="Y27" i="16"/>
  <c r="X27" i="16"/>
  <c r="W27" i="16"/>
  <c r="V27" i="16"/>
  <c r="D27" i="16"/>
  <c r="Y26" i="16"/>
  <c r="X26" i="16"/>
  <c r="W26" i="16"/>
  <c r="V26" i="16"/>
  <c r="D26" i="16"/>
  <c r="Y25" i="16"/>
  <c r="X25" i="16"/>
  <c r="W25" i="16"/>
  <c r="V25" i="16"/>
  <c r="E25" i="16"/>
  <c r="D25" i="16"/>
  <c r="Y24" i="16"/>
  <c r="X24" i="16"/>
  <c r="W24" i="16"/>
  <c r="V24" i="16"/>
  <c r="Y23" i="16"/>
  <c r="X23" i="16"/>
  <c r="W23" i="16"/>
  <c r="V23" i="16"/>
  <c r="Y22" i="16"/>
  <c r="X22" i="16"/>
  <c r="W22" i="16"/>
  <c r="V22" i="16"/>
  <c r="D22" i="16"/>
  <c r="D24" i="16" s="1"/>
  <c r="D28" i="16" s="1"/>
  <c r="Y21" i="16"/>
  <c r="X21" i="16"/>
  <c r="W21" i="16"/>
  <c r="V21" i="16"/>
  <c r="F27" i="16"/>
  <c r="E27" i="16"/>
  <c r="Y20" i="16"/>
  <c r="X20" i="16"/>
  <c r="W20" i="16"/>
  <c r="V20" i="16"/>
  <c r="Y19" i="16"/>
  <c r="X19" i="16"/>
  <c r="W19" i="16"/>
  <c r="V19" i="16"/>
  <c r="Y18" i="16"/>
  <c r="X18" i="16"/>
  <c r="W18" i="16"/>
  <c r="V18" i="16"/>
  <c r="Y17" i="16"/>
  <c r="X17" i="16"/>
  <c r="W17" i="16"/>
  <c r="V17" i="16"/>
  <c r="Y16" i="16"/>
  <c r="X16" i="16"/>
  <c r="W16" i="16"/>
  <c r="V16" i="16"/>
  <c r="Y15" i="16"/>
  <c r="X15" i="16"/>
  <c r="W15" i="16"/>
  <c r="V15" i="16"/>
  <c r="T9" i="16"/>
  <c r="Y75" i="15"/>
  <c r="X75" i="15"/>
  <c r="W75" i="15"/>
  <c r="V75" i="15"/>
  <c r="Y74" i="15"/>
  <c r="X74" i="15"/>
  <c r="W74" i="15"/>
  <c r="V74" i="15"/>
  <c r="Y73" i="15"/>
  <c r="X73" i="15"/>
  <c r="W73" i="15"/>
  <c r="V73" i="15"/>
  <c r="Y72" i="15"/>
  <c r="X72" i="15"/>
  <c r="W72" i="15"/>
  <c r="V72" i="15"/>
  <c r="Y71" i="15"/>
  <c r="X71" i="15"/>
  <c r="W71" i="15"/>
  <c r="V71" i="15"/>
  <c r="Y70" i="15"/>
  <c r="X70" i="15"/>
  <c r="W70" i="15"/>
  <c r="V70" i="15"/>
  <c r="Y69" i="15"/>
  <c r="X69" i="15"/>
  <c r="W69" i="15"/>
  <c r="V69" i="15"/>
  <c r="Y68" i="15"/>
  <c r="X68" i="15"/>
  <c r="W68" i="15"/>
  <c r="V68" i="15"/>
  <c r="Y67" i="15"/>
  <c r="X67" i="15"/>
  <c r="W67" i="15"/>
  <c r="V67" i="15"/>
  <c r="Y66" i="15"/>
  <c r="X66" i="15"/>
  <c r="W66" i="15"/>
  <c r="V66" i="15"/>
  <c r="Y65" i="15"/>
  <c r="X65" i="15"/>
  <c r="W65" i="15"/>
  <c r="V65" i="15"/>
  <c r="Y64" i="15"/>
  <c r="X64" i="15"/>
  <c r="W64" i="15"/>
  <c r="V64" i="15"/>
  <c r="Y63" i="15"/>
  <c r="X63" i="15"/>
  <c r="W63" i="15"/>
  <c r="V63" i="15"/>
  <c r="Y62" i="15"/>
  <c r="X62" i="15"/>
  <c r="W62" i="15"/>
  <c r="V62" i="15"/>
  <c r="Y61" i="15"/>
  <c r="X61" i="15"/>
  <c r="W61" i="15"/>
  <c r="V61" i="15"/>
  <c r="Y60" i="15"/>
  <c r="X60" i="15"/>
  <c r="W60" i="15"/>
  <c r="V60" i="15"/>
  <c r="Y59" i="15"/>
  <c r="X59" i="15"/>
  <c r="W59" i="15"/>
  <c r="V59" i="15"/>
  <c r="Y58" i="15"/>
  <c r="X58" i="15"/>
  <c r="W58" i="15"/>
  <c r="V58" i="15"/>
  <c r="Y57" i="15"/>
  <c r="X57" i="15"/>
  <c r="W57" i="15"/>
  <c r="V57" i="15"/>
  <c r="Y56" i="15"/>
  <c r="X56" i="15"/>
  <c r="W56" i="15"/>
  <c r="V56" i="15"/>
  <c r="Y55" i="15"/>
  <c r="X55" i="15"/>
  <c r="W55" i="15"/>
  <c r="V55" i="15"/>
  <c r="Y54" i="15"/>
  <c r="X54" i="15"/>
  <c r="W54" i="15"/>
  <c r="V54" i="15"/>
  <c r="Y53" i="15"/>
  <c r="X53" i="15"/>
  <c r="W53" i="15"/>
  <c r="V53" i="15"/>
  <c r="Y52" i="15"/>
  <c r="X52" i="15"/>
  <c r="W52" i="15"/>
  <c r="V52" i="15"/>
  <c r="Y51" i="15"/>
  <c r="X51" i="15"/>
  <c r="W51" i="15"/>
  <c r="V51" i="15"/>
  <c r="Y50" i="15"/>
  <c r="X50" i="15"/>
  <c r="W50" i="15"/>
  <c r="V50" i="15"/>
  <c r="Y49" i="15"/>
  <c r="X49" i="15"/>
  <c r="W49" i="15"/>
  <c r="V49" i="15"/>
  <c r="Y48" i="15"/>
  <c r="X48" i="15"/>
  <c r="W48" i="15"/>
  <c r="V48" i="15"/>
  <c r="Y47" i="15"/>
  <c r="X47" i="15"/>
  <c r="W47" i="15"/>
  <c r="V47" i="15"/>
  <c r="Y46" i="15"/>
  <c r="X46" i="15"/>
  <c r="W46" i="15"/>
  <c r="V46" i="15"/>
  <c r="Y45" i="15"/>
  <c r="X45" i="15"/>
  <c r="W45" i="15"/>
  <c r="V45" i="15"/>
  <c r="Y44" i="15"/>
  <c r="X44" i="15"/>
  <c r="W44" i="15"/>
  <c r="V44" i="15"/>
  <c r="Y43" i="15"/>
  <c r="X43" i="15"/>
  <c r="W43" i="15"/>
  <c r="V43" i="15"/>
  <c r="Y42" i="15"/>
  <c r="X42" i="15"/>
  <c r="W42" i="15"/>
  <c r="V42" i="15"/>
  <c r="M42" i="15"/>
  <c r="Y41" i="15"/>
  <c r="X41" i="15"/>
  <c r="W41" i="15"/>
  <c r="V41" i="15"/>
  <c r="Y40" i="15"/>
  <c r="X40" i="15"/>
  <c r="W40" i="15"/>
  <c r="V40" i="15"/>
  <c r="Y39" i="15"/>
  <c r="X39" i="15"/>
  <c r="W39" i="15"/>
  <c r="V39" i="15"/>
  <c r="Y38" i="15"/>
  <c r="X38" i="15"/>
  <c r="W38" i="15"/>
  <c r="V38" i="15"/>
  <c r="M38" i="15"/>
  <c r="G38" i="15"/>
  <c r="B38" i="15"/>
  <c r="Y37" i="15"/>
  <c r="X37" i="15"/>
  <c r="W37" i="15"/>
  <c r="V37" i="15"/>
  <c r="G37" i="15"/>
  <c r="B37" i="15"/>
  <c r="Y36" i="15"/>
  <c r="X36" i="15"/>
  <c r="W36" i="15"/>
  <c r="V36" i="15"/>
  <c r="G36" i="15"/>
  <c r="G39" i="15" s="1"/>
  <c r="Y35" i="15"/>
  <c r="X35" i="15"/>
  <c r="W35" i="15"/>
  <c r="V35" i="15"/>
  <c r="Y34" i="15"/>
  <c r="X34" i="15"/>
  <c r="W34" i="15"/>
  <c r="V34" i="15"/>
  <c r="Y33" i="15"/>
  <c r="X33" i="15"/>
  <c r="W33" i="15"/>
  <c r="V33" i="15"/>
  <c r="Y32" i="15"/>
  <c r="X32" i="15"/>
  <c r="W32" i="15"/>
  <c r="V32" i="15"/>
  <c r="Y31" i="15"/>
  <c r="X31" i="15"/>
  <c r="W31" i="15"/>
  <c r="V31" i="15"/>
  <c r="I31" i="15"/>
  <c r="H31" i="15"/>
  <c r="G31" i="15"/>
  <c r="F31" i="15"/>
  <c r="E31" i="15"/>
  <c r="D31" i="15"/>
  <c r="Y30" i="15"/>
  <c r="X30" i="15"/>
  <c r="W30" i="15"/>
  <c r="V30" i="15"/>
  <c r="Y29" i="15"/>
  <c r="X29" i="15"/>
  <c r="W29" i="15"/>
  <c r="V29" i="15"/>
  <c r="Y28" i="15"/>
  <c r="X28" i="15"/>
  <c r="W28" i="15"/>
  <c r="V28" i="15"/>
  <c r="Y27" i="15"/>
  <c r="X27" i="15"/>
  <c r="W27" i="15"/>
  <c r="V27" i="15"/>
  <c r="E27" i="15"/>
  <c r="D27" i="15"/>
  <c r="Y26" i="15"/>
  <c r="X26" i="15"/>
  <c r="W26" i="15"/>
  <c r="V26" i="15"/>
  <c r="E26" i="15"/>
  <c r="D26" i="15"/>
  <c r="Y25" i="15"/>
  <c r="X25" i="15"/>
  <c r="W25" i="15"/>
  <c r="V25" i="15"/>
  <c r="E25" i="15"/>
  <c r="D25" i="15"/>
  <c r="Y24" i="15"/>
  <c r="X24" i="15"/>
  <c r="W24" i="15"/>
  <c r="V24" i="15"/>
  <c r="Y23" i="15"/>
  <c r="X23" i="15"/>
  <c r="W23" i="15"/>
  <c r="V23" i="15"/>
  <c r="Y22" i="15"/>
  <c r="X22" i="15"/>
  <c r="W22" i="15"/>
  <c r="V22" i="15"/>
  <c r="E22" i="15"/>
  <c r="E24" i="15" s="1"/>
  <c r="D22" i="15"/>
  <c r="D24" i="15" s="1"/>
  <c r="Y21" i="15"/>
  <c r="X21" i="15"/>
  <c r="W21" i="15"/>
  <c r="V21" i="15"/>
  <c r="F27" i="15"/>
  <c r="Y20" i="15"/>
  <c r="X20" i="15"/>
  <c r="W20" i="15"/>
  <c r="V20" i="15"/>
  <c r="Y19" i="15"/>
  <c r="X19" i="15"/>
  <c r="W19" i="15"/>
  <c r="V19" i="15"/>
  <c r="Y18" i="15"/>
  <c r="X18" i="15"/>
  <c r="W18" i="15"/>
  <c r="V18" i="15"/>
  <c r="Y17" i="15"/>
  <c r="X17" i="15"/>
  <c r="W17" i="15"/>
  <c r="V17" i="15"/>
  <c r="Y16" i="15"/>
  <c r="X16" i="15"/>
  <c r="W16" i="15"/>
  <c r="V16" i="15"/>
  <c r="Y15" i="15"/>
  <c r="X15" i="15"/>
  <c r="W15" i="15"/>
  <c r="V15" i="15"/>
  <c r="T9" i="15"/>
  <c r="V75" i="1"/>
  <c r="W75" i="1"/>
  <c r="X75" i="1"/>
  <c r="Y75" i="1"/>
  <c r="V18" i="1"/>
  <c r="W18" i="1"/>
  <c r="X18" i="1"/>
  <c r="Y18" i="1"/>
  <c r="V19" i="1"/>
  <c r="W19" i="1"/>
  <c r="X19" i="1"/>
  <c r="Y19" i="1"/>
  <c r="V20" i="1"/>
  <c r="W20" i="1"/>
  <c r="X20" i="1"/>
  <c r="Y20" i="1"/>
  <c r="V21" i="1"/>
  <c r="W21" i="1"/>
  <c r="X21" i="1"/>
  <c r="Y21" i="1"/>
  <c r="V22" i="1"/>
  <c r="W22" i="1"/>
  <c r="X22" i="1"/>
  <c r="Y22" i="1"/>
  <c r="V23" i="1"/>
  <c r="W23" i="1"/>
  <c r="X23" i="1"/>
  <c r="Y23" i="1"/>
  <c r="V24" i="1"/>
  <c r="W24" i="1"/>
  <c r="X24" i="1"/>
  <c r="Y24" i="1"/>
  <c r="V25" i="1"/>
  <c r="W25" i="1"/>
  <c r="X25" i="1"/>
  <c r="Y25" i="1"/>
  <c r="V26" i="1"/>
  <c r="W26" i="1"/>
  <c r="X26" i="1"/>
  <c r="Y26" i="1"/>
  <c r="V27" i="1"/>
  <c r="W27" i="1"/>
  <c r="X27" i="1"/>
  <c r="Y27" i="1"/>
  <c r="V28" i="1"/>
  <c r="W28" i="1"/>
  <c r="X28" i="1"/>
  <c r="Y28" i="1"/>
  <c r="V29" i="1"/>
  <c r="W29" i="1"/>
  <c r="X29" i="1"/>
  <c r="Y29" i="1"/>
  <c r="V30" i="1"/>
  <c r="W30" i="1"/>
  <c r="X30" i="1"/>
  <c r="Y30" i="1"/>
  <c r="V31" i="1"/>
  <c r="W31" i="1"/>
  <c r="X31" i="1"/>
  <c r="Y31" i="1"/>
  <c r="V32" i="1"/>
  <c r="W32" i="1"/>
  <c r="X32" i="1"/>
  <c r="Y32" i="1"/>
  <c r="V33" i="1"/>
  <c r="W33" i="1"/>
  <c r="X33" i="1"/>
  <c r="Y33" i="1"/>
  <c r="V34" i="1"/>
  <c r="W34" i="1"/>
  <c r="X34" i="1"/>
  <c r="Y34" i="1"/>
  <c r="V35" i="1"/>
  <c r="W35" i="1"/>
  <c r="X35" i="1"/>
  <c r="Y35" i="1"/>
  <c r="V36" i="1"/>
  <c r="W36" i="1"/>
  <c r="X36" i="1"/>
  <c r="Y36" i="1"/>
  <c r="V37" i="1"/>
  <c r="W37" i="1"/>
  <c r="X37" i="1"/>
  <c r="Y37" i="1"/>
  <c r="V38" i="1"/>
  <c r="W38" i="1"/>
  <c r="X38" i="1"/>
  <c r="Y38" i="1"/>
  <c r="V39" i="1"/>
  <c r="W39" i="1"/>
  <c r="X39" i="1"/>
  <c r="Y39" i="1"/>
  <c r="V40" i="1"/>
  <c r="W40" i="1"/>
  <c r="X40" i="1"/>
  <c r="Y40" i="1"/>
  <c r="V41" i="1"/>
  <c r="W41" i="1"/>
  <c r="X41" i="1"/>
  <c r="Y41" i="1"/>
  <c r="V42" i="1"/>
  <c r="W42" i="1"/>
  <c r="X42" i="1"/>
  <c r="Y42" i="1"/>
  <c r="V43" i="1"/>
  <c r="W43" i="1"/>
  <c r="X43" i="1"/>
  <c r="Y43" i="1"/>
  <c r="V44" i="1"/>
  <c r="W44" i="1"/>
  <c r="X44" i="1"/>
  <c r="Y44" i="1"/>
  <c r="V45" i="1"/>
  <c r="W45" i="1"/>
  <c r="X45" i="1"/>
  <c r="Y45" i="1"/>
  <c r="V46" i="1"/>
  <c r="W46" i="1"/>
  <c r="X46" i="1"/>
  <c r="Y46" i="1"/>
  <c r="V47" i="1"/>
  <c r="W47" i="1"/>
  <c r="X47" i="1"/>
  <c r="Y47" i="1"/>
  <c r="V48" i="1"/>
  <c r="W48" i="1"/>
  <c r="X48" i="1"/>
  <c r="Y48" i="1"/>
  <c r="V49" i="1"/>
  <c r="W49" i="1"/>
  <c r="X49" i="1"/>
  <c r="Y49" i="1"/>
  <c r="V50" i="1"/>
  <c r="W50" i="1"/>
  <c r="X50" i="1"/>
  <c r="Y50" i="1"/>
  <c r="V51" i="1"/>
  <c r="W51" i="1"/>
  <c r="X51" i="1"/>
  <c r="Y51" i="1"/>
  <c r="V52" i="1"/>
  <c r="W52" i="1"/>
  <c r="X52" i="1"/>
  <c r="Y52" i="1"/>
  <c r="V53" i="1"/>
  <c r="W53" i="1"/>
  <c r="X53" i="1"/>
  <c r="Y53" i="1"/>
  <c r="V54" i="1"/>
  <c r="W54" i="1"/>
  <c r="X54" i="1"/>
  <c r="Y54" i="1"/>
  <c r="V55" i="1"/>
  <c r="W55" i="1"/>
  <c r="X55" i="1"/>
  <c r="Y55" i="1"/>
  <c r="V56" i="1"/>
  <c r="W56" i="1"/>
  <c r="X56" i="1"/>
  <c r="Y56" i="1"/>
  <c r="V57" i="1"/>
  <c r="W57" i="1"/>
  <c r="X57" i="1"/>
  <c r="Y57" i="1"/>
  <c r="V58" i="1"/>
  <c r="W58" i="1"/>
  <c r="X58" i="1"/>
  <c r="Y58" i="1"/>
  <c r="V59" i="1"/>
  <c r="W59" i="1"/>
  <c r="X59" i="1"/>
  <c r="Y59" i="1"/>
  <c r="V60" i="1"/>
  <c r="W60" i="1"/>
  <c r="X60" i="1"/>
  <c r="Y60" i="1"/>
  <c r="V61" i="1"/>
  <c r="W61" i="1"/>
  <c r="X61" i="1"/>
  <c r="Y61" i="1"/>
  <c r="V62" i="1"/>
  <c r="W62" i="1"/>
  <c r="X62" i="1"/>
  <c r="Y62" i="1"/>
  <c r="V63" i="1"/>
  <c r="W63" i="1"/>
  <c r="X63" i="1"/>
  <c r="Y63" i="1"/>
  <c r="V64" i="1"/>
  <c r="W64" i="1"/>
  <c r="X64" i="1"/>
  <c r="Y64" i="1"/>
  <c r="V65" i="1"/>
  <c r="W65" i="1"/>
  <c r="X65" i="1"/>
  <c r="Y65" i="1"/>
  <c r="V66" i="1"/>
  <c r="W66" i="1"/>
  <c r="X66" i="1"/>
  <c r="Y66" i="1"/>
  <c r="V67" i="1"/>
  <c r="W67" i="1"/>
  <c r="X67" i="1"/>
  <c r="Y67" i="1"/>
  <c r="V68" i="1"/>
  <c r="W68" i="1"/>
  <c r="X68" i="1"/>
  <c r="Y68" i="1"/>
  <c r="V69" i="1"/>
  <c r="W69" i="1"/>
  <c r="X69" i="1"/>
  <c r="Y69" i="1"/>
  <c r="V70" i="1"/>
  <c r="W70" i="1"/>
  <c r="X70" i="1"/>
  <c r="Y70" i="1"/>
  <c r="V71" i="1"/>
  <c r="W71" i="1"/>
  <c r="X71" i="1"/>
  <c r="Y71" i="1"/>
  <c r="V72" i="1"/>
  <c r="W72" i="1"/>
  <c r="X72" i="1"/>
  <c r="Y72" i="1"/>
  <c r="V73" i="1"/>
  <c r="W73" i="1"/>
  <c r="X73" i="1"/>
  <c r="Y73" i="1"/>
  <c r="V74" i="1"/>
  <c r="W74" i="1"/>
  <c r="X74" i="1"/>
  <c r="Y74" i="1"/>
  <c r="Y17" i="1"/>
  <c r="X17" i="1"/>
  <c r="W17" i="1"/>
  <c r="V17" i="1"/>
  <c r="Y16" i="1"/>
  <c r="X16" i="1"/>
  <c r="W16" i="1"/>
  <c r="V16" i="1"/>
  <c r="Y15" i="1"/>
  <c r="X15" i="1"/>
  <c r="W15" i="1"/>
  <c r="V15" i="1"/>
  <c r="C13" i="17" l="1"/>
  <c r="C28" i="17" s="1"/>
  <c r="B7" i="1" s="1"/>
  <c r="D28" i="15"/>
  <c r="Q7" i="15" s="1"/>
  <c r="E28" i="15"/>
  <c r="E30" i="15" s="1"/>
  <c r="E32" i="15" s="1"/>
  <c r="Q7" i="16"/>
  <c r="D30" i="16"/>
  <c r="D32" i="16" s="1"/>
  <c r="G40" i="16"/>
  <c r="C30" i="16"/>
  <c r="C32" i="16"/>
  <c r="E22" i="16"/>
  <c r="F25" i="16"/>
  <c r="F22" i="16"/>
  <c r="E26" i="16"/>
  <c r="D23" i="16"/>
  <c r="F26" i="16"/>
  <c r="G40" i="15"/>
  <c r="C30" i="15"/>
  <c r="C32" i="15"/>
  <c r="F25" i="15"/>
  <c r="F22" i="15"/>
  <c r="D23" i="15"/>
  <c r="F26" i="15"/>
  <c r="E23" i="15"/>
  <c r="E21" i="1"/>
  <c r="F21" i="1" s="1"/>
  <c r="G21" i="1" s="1"/>
  <c r="H21" i="1" s="1"/>
  <c r="I21" i="1" s="1"/>
  <c r="D30" i="15" l="1"/>
  <c r="D32" i="15" s="1"/>
  <c r="Q8" i="15"/>
  <c r="E24" i="16"/>
  <c r="E28" i="16" s="1"/>
  <c r="E23" i="16"/>
  <c r="G27" i="16"/>
  <c r="G26" i="16"/>
  <c r="G22" i="16"/>
  <c r="G25" i="16"/>
  <c r="M48" i="16"/>
  <c r="G41" i="16"/>
  <c r="F23" i="16"/>
  <c r="F24" i="16"/>
  <c r="F28" i="16" s="1"/>
  <c r="G27" i="15"/>
  <c r="G26" i="15"/>
  <c r="G22" i="15"/>
  <c r="G25" i="15"/>
  <c r="F23" i="15"/>
  <c r="F24" i="15"/>
  <c r="F28" i="15" s="1"/>
  <c r="M48" i="15"/>
  <c r="G41" i="15"/>
  <c r="G23" i="16" l="1"/>
  <c r="G24" i="16"/>
  <c r="G28" i="16" s="1"/>
  <c r="F30" i="16"/>
  <c r="F32" i="16" s="1"/>
  <c r="Q9" i="16"/>
  <c r="E30" i="16"/>
  <c r="E32" i="16" s="1"/>
  <c r="Q8" i="16"/>
  <c r="F30" i="15"/>
  <c r="F32" i="15" s="1"/>
  <c r="Q9" i="15"/>
  <c r="G23" i="15"/>
  <c r="G24" i="15"/>
  <c r="G28" i="15" s="1"/>
  <c r="H26" i="15"/>
  <c r="H22" i="15"/>
  <c r="H25" i="15"/>
  <c r="H27" i="15"/>
  <c r="D26" i="1"/>
  <c r="Q10" i="16" l="1"/>
  <c r="G30" i="16"/>
  <c r="G32" i="16" s="1"/>
  <c r="I26" i="15"/>
  <c r="I22" i="15"/>
  <c r="I25" i="15"/>
  <c r="I27" i="15"/>
  <c r="H24" i="15"/>
  <c r="H28" i="15" s="1"/>
  <c r="H23" i="15"/>
  <c r="Q10" i="15"/>
  <c r="G30" i="15"/>
  <c r="G32" i="15" s="1"/>
  <c r="M21" i="15" l="1"/>
  <c r="Q11" i="15"/>
  <c r="H30" i="15"/>
  <c r="H32" i="15" s="1"/>
  <c r="I24" i="15"/>
  <c r="I28" i="15" s="1"/>
  <c r="I23" i="15"/>
  <c r="M42" i="1"/>
  <c r="T9" i="1"/>
  <c r="Q12" i="15" l="1"/>
  <c r="I30" i="15"/>
  <c r="I32" i="15" s="1"/>
  <c r="M20" i="15"/>
  <c r="M22" i="15" s="1"/>
  <c r="J32" i="15" s="1"/>
  <c r="B36" i="15"/>
  <c r="D22" i="1"/>
  <c r="D27" i="1"/>
  <c r="D25" i="1"/>
  <c r="G36" i="1"/>
  <c r="B39" i="15" l="1"/>
  <c r="B40" i="15" s="1"/>
  <c r="M37" i="15" s="1"/>
  <c r="J30" i="15"/>
  <c r="E27" i="1"/>
  <c r="E25" i="1"/>
  <c r="E26" i="1"/>
  <c r="F26" i="1"/>
  <c r="F27" i="1"/>
  <c r="G27" i="1"/>
  <c r="G25" i="1"/>
  <c r="G26" i="1"/>
  <c r="F25" i="1"/>
  <c r="B41" i="15" l="1"/>
  <c r="M41" i="15"/>
  <c r="M47" i="15"/>
  <c r="M44" i="15"/>
  <c r="M43" i="15"/>
  <c r="T7" i="15"/>
  <c r="M49" i="15"/>
  <c r="M50" i="15"/>
  <c r="H26" i="1"/>
  <c r="H27" i="1"/>
  <c r="H25" i="1"/>
  <c r="I26" i="1" l="1"/>
  <c r="I27" i="1"/>
  <c r="I25" i="1"/>
  <c r="E22" i="1"/>
  <c r="B38" i="1"/>
  <c r="F22" i="1" l="1"/>
  <c r="D23" i="1"/>
  <c r="M38" i="1"/>
  <c r="B37" i="1"/>
  <c r="G37" i="1"/>
  <c r="G38" i="1"/>
  <c r="E31" i="1"/>
  <c r="F31" i="1"/>
  <c r="G31" i="1"/>
  <c r="H31" i="1"/>
  <c r="I31" i="1"/>
  <c r="D31" i="1"/>
  <c r="G22" i="1" l="1"/>
  <c r="D24" i="1"/>
  <c r="G39" i="1"/>
  <c r="C30" i="1" s="1"/>
  <c r="H22" i="1" l="1"/>
  <c r="D28" i="1"/>
  <c r="Q7" i="1" s="1"/>
  <c r="G40" i="1"/>
  <c r="C32" i="1"/>
  <c r="E24" i="1"/>
  <c r="E28" i="1" s="1"/>
  <c r="E23" i="1"/>
  <c r="G41" i="1" l="1"/>
  <c r="I22" i="1"/>
  <c r="M21" i="1" s="1"/>
  <c r="D30" i="1"/>
  <c r="D32" i="1" s="1"/>
  <c r="M48" i="1"/>
  <c r="E30" i="1"/>
  <c r="E32" i="1" s="1"/>
  <c r="Q8" i="1"/>
  <c r="F24" i="1"/>
  <c r="F28" i="1" s="1"/>
  <c r="F23" i="1"/>
  <c r="F30" i="1" l="1"/>
  <c r="F32" i="1" s="1"/>
  <c r="Q9" i="1"/>
  <c r="G24" i="1"/>
  <c r="G28" i="1" s="1"/>
  <c r="G23" i="1"/>
  <c r="G30" i="1" l="1"/>
  <c r="G32" i="1" s="1"/>
  <c r="Q10" i="1"/>
  <c r="H24" i="1"/>
  <c r="H28" i="1" s="1"/>
  <c r="H23" i="1"/>
  <c r="H30" i="1" l="1"/>
  <c r="H32" i="1" s="1"/>
  <c r="Q11" i="1"/>
  <c r="I24" i="1"/>
  <c r="I28" i="1" s="1"/>
  <c r="Q12" i="1" s="1"/>
  <c r="I23" i="1"/>
  <c r="M20" i="1" l="1"/>
  <c r="M22" i="1" s="1"/>
  <c r="I30" i="1"/>
  <c r="I32" i="1" s="1"/>
  <c r="B36" i="1" s="1"/>
  <c r="B39" i="1" l="1"/>
  <c r="B40" i="1" s="1"/>
  <c r="J30" i="1"/>
  <c r="J32" i="1"/>
  <c r="T7" i="1" l="1"/>
  <c r="M44" i="1"/>
  <c r="M50" i="1"/>
  <c r="M41" i="1"/>
  <c r="M43" i="1"/>
  <c r="M37" i="1"/>
  <c r="B41" i="1"/>
  <c r="M47" i="1"/>
  <c r="M49" i="1"/>
  <c r="H22" i="16"/>
  <c r="H24" i="16" s="1"/>
  <c r="H23" i="16"/>
  <c r="I27" i="16"/>
  <c r="I26" i="16"/>
  <c r="H27" i="16"/>
  <c r="H25" i="16"/>
  <c r="H26" i="16"/>
  <c r="H28" i="16" l="1"/>
  <c r="H30" i="16"/>
  <c r="H32" i="16" s="1"/>
  <c r="Q11" i="16"/>
  <c r="I25" i="16"/>
  <c r="I22" i="16"/>
  <c r="I23" i="16" l="1"/>
  <c r="M21" i="16"/>
  <c r="I24" i="16"/>
  <c r="I28" i="16" s="1"/>
  <c r="M20" i="16" l="1"/>
  <c r="M22" i="16" s="1"/>
  <c r="J32" i="16" s="1"/>
  <c r="I30" i="16"/>
  <c r="I32" i="16" s="1"/>
  <c r="B36" i="16" s="1"/>
  <c r="Q12" i="16"/>
  <c r="B39" i="16" l="1"/>
  <c r="B40" i="16" s="1"/>
  <c r="J30" i="16"/>
  <c r="M49" i="16"/>
  <c r="M47" i="16"/>
  <c r="M37" i="16"/>
  <c r="B41" i="16"/>
  <c r="M44" i="16"/>
  <c r="M41" i="16"/>
  <c r="M43" i="16"/>
  <c r="M50" i="16"/>
  <c r="T7" i="16"/>
</calcChain>
</file>

<file path=xl/sharedStrings.xml><?xml version="1.0" encoding="utf-8"?>
<sst xmlns="http://schemas.openxmlformats.org/spreadsheetml/2006/main" count="345" uniqueCount="127">
  <si>
    <t>Wallace Capital Research</t>
  </si>
  <si>
    <t>Assumptions</t>
  </si>
  <si>
    <t>Tax Rate</t>
  </si>
  <si>
    <t>Discount Rate (WACC)</t>
  </si>
  <si>
    <t>Perpetual Growth Rate</t>
  </si>
  <si>
    <t>EV/EBITDA Multiple</t>
  </si>
  <si>
    <t>Transaction Date</t>
  </si>
  <si>
    <t>Fiscal Year End</t>
  </si>
  <si>
    <t>Current Price</t>
  </si>
  <si>
    <t>Shares Outstanding</t>
  </si>
  <si>
    <t>Debt</t>
  </si>
  <si>
    <t>Cash</t>
  </si>
  <si>
    <t>Capex</t>
  </si>
  <si>
    <t>Entry</t>
  </si>
  <si>
    <t>Exit</t>
  </si>
  <si>
    <t>Terminal Value</t>
  </si>
  <si>
    <t>Date</t>
  </si>
  <si>
    <t>Perpetual Growth</t>
  </si>
  <si>
    <t>Revenue</t>
  </si>
  <si>
    <t>EV/EBITDA</t>
  </si>
  <si>
    <t>Average</t>
  </si>
  <si>
    <t>Taxes</t>
  </si>
  <si>
    <t>(EBIT * Tax Rate)</t>
  </si>
  <si>
    <t>NOPAT</t>
  </si>
  <si>
    <t>(EBIT * (1 - Tax Rate)</t>
  </si>
  <si>
    <t>Plus: D&amp;A</t>
  </si>
  <si>
    <t>Less: Capex</t>
  </si>
  <si>
    <t>Less: Change in NWC</t>
  </si>
  <si>
    <t>Unlevered Free Cash Flow</t>
  </si>
  <si>
    <t>(NOPAT + D&amp;A - Capex - Change in NWC)</t>
  </si>
  <si>
    <t>Enterprise Value</t>
  </si>
  <si>
    <t>Market Value</t>
  </si>
  <si>
    <t>(Market Cap + Debt - Cash)</t>
  </si>
  <si>
    <t>Market Cap</t>
  </si>
  <si>
    <t>(Shares Outstanding * Current Price)</t>
  </si>
  <si>
    <t>Time Period</t>
  </si>
  <si>
    <t>Transaction CF</t>
  </si>
  <si>
    <t>Discount Factor</t>
  </si>
  <si>
    <t>(Unlevered FCF 2031 + Average Terminal Value)</t>
  </si>
  <si>
    <t>(1/(1+WACC)^Time Period</t>
  </si>
  <si>
    <t>Present Value of Transaction CF</t>
  </si>
  <si>
    <t>Intrinsic Value</t>
  </si>
  <si>
    <t>Intrinsic Enterprise Value</t>
  </si>
  <si>
    <t>Discounted Cash Flow</t>
  </si>
  <si>
    <t>Intrinsic Equity Value</t>
  </si>
  <si>
    <t>(Sum all PV of Transaction CF)</t>
  </si>
  <si>
    <t>Upside / Downside %</t>
  </si>
  <si>
    <t>(Intrinsic Equity Value per Share / Current Price) - 1</t>
  </si>
  <si>
    <t>Enterprise Value per Share</t>
  </si>
  <si>
    <t>(Enterprise Value / Shares Outstanding)</t>
  </si>
  <si>
    <t>(Enterprise Value per Share / Current Price) - 1</t>
  </si>
  <si>
    <t>Rate of Return</t>
  </si>
  <si>
    <t>Target Price Upside</t>
  </si>
  <si>
    <t>Internal Rate of Return (IRR)</t>
  </si>
  <si>
    <t>Intrinsic Value vs Market Value</t>
  </si>
  <si>
    <t>Present Value of Transaction CF (millions)</t>
  </si>
  <si>
    <t>(IRR in millions)</t>
  </si>
  <si>
    <t>Chart Data</t>
  </si>
  <si>
    <t>Year</t>
  </si>
  <si>
    <t>Unlevered FCF</t>
  </si>
  <si>
    <t>Category</t>
  </si>
  <si>
    <t>Value ($ per share)</t>
  </si>
  <si>
    <t>5 YR DCF MODEL</t>
  </si>
  <si>
    <t>S&amp;P 500</t>
  </si>
  <si>
    <t>DJIA</t>
  </si>
  <si>
    <t>S&amp;P 500 Indexed</t>
  </si>
  <si>
    <t>DJIA Indexed</t>
  </si>
  <si>
    <t>Total returns indexed to 100</t>
  </si>
  <si>
    <t>(From Yahoo Finance)</t>
  </si>
  <si>
    <t>NASDAQ Composite</t>
  </si>
  <si>
    <t>NASDAQ Indexed</t>
  </si>
  <si>
    <t>Perpetual Growth Equity Value per Share</t>
  </si>
  <si>
    <t>Downside</t>
  </si>
  <si>
    <t>Mid to end of month closing price</t>
  </si>
  <si>
    <t>(Intrinsic EV + Cash - Debt + Average Growth Terminal Value) / 2</t>
  </si>
  <si>
    <t>(Intrinsic Equity Value / Shares Outstanding)</t>
  </si>
  <si>
    <t>EBIT Margin</t>
  </si>
  <si>
    <t>*base-case assumptions</t>
  </si>
  <si>
    <t>*bear-case assumptions</t>
  </si>
  <si>
    <t>*bull-case assumptions</t>
  </si>
  <si>
    <t>Intrinsic Value vs Current Price</t>
  </si>
  <si>
    <t>(1% of Revenue)</t>
  </si>
  <si>
    <t>Upside (%)</t>
  </si>
  <si>
    <t>Upside ($)</t>
  </si>
  <si>
    <t>(Following previous trend logic)</t>
  </si>
  <si>
    <t>(2% of Revenue)</t>
  </si>
  <si>
    <t>(Revenue * 0.6)</t>
  </si>
  <si>
    <t>(3% of Revenue)</t>
  </si>
  <si>
    <t>(as of August 2026)</t>
  </si>
  <si>
    <t>Mastercard Incorporated</t>
  </si>
  <si>
    <t>22.0x</t>
  </si>
  <si>
    <t>(Revenue * 0.55)</t>
  </si>
  <si>
    <t>(2.5% of Revenue)</t>
  </si>
  <si>
    <t>819,750,000 (2.5% of Revenue)</t>
  </si>
  <si>
    <t>(0.5% of Revenue)</t>
  </si>
  <si>
    <t>Mastercard Indexed</t>
  </si>
  <si>
    <t>20.0x</t>
  </si>
  <si>
    <t>(Revenue * 0.5)</t>
  </si>
  <si>
    <t>(0% of Revenue)</t>
  </si>
  <si>
    <t>655,800,000 (2% of Revenue)</t>
  </si>
  <si>
    <t>(3.5% of Revenue)</t>
  </si>
  <si>
    <t>(1.5% of Revenue)</t>
  </si>
  <si>
    <t>491,850,000 (1.5% of Revenue)</t>
  </si>
  <si>
    <t>Input</t>
  </si>
  <si>
    <t>Ticker</t>
  </si>
  <si>
    <t>Beta</t>
  </si>
  <si>
    <t>Total Debt</t>
  </si>
  <si>
    <t>Interest Expense (TTM)</t>
  </si>
  <si>
    <t>Effective Tax Rate</t>
  </si>
  <si>
    <t>Risk-Free Rate (beginning of month)</t>
  </si>
  <si>
    <t>Capital Structure Weights</t>
  </si>
  <si>
    <t>Total Capitalization</t>
  </si>
  <si>
    <t>Weight of Equity (E/V)</t>
  </si>
  <si>
    <t>Weight of Debt (D/V)</t>
  </si>
  <si>
    <r>
      <t>Cost of Equity (R</t>
    </r>
    <r>
      <rPr>
        <b/>
        <vertAlign val="subscript"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>) via CAPM</t>
    </r>
  </si>
  <si>
    <t>Formula</t>
  </si>
  <si>
    <t>Risk-Free Rate + (Beta x Market Risk Premium)</t>
  </si>
  <si>
    <t>Market Risk Premium (assuming 9% return)</t>
  </si>
  <si>
    <t>Calculation</t>
  </si>
  <si>
    <r>
      <t>After-Tax Cost of Debt (R</t>
    </r>
    <r>
      <rPr>
        <b/>
        <vertAlign val="subscript"/>
        <sz val="11"/>
        <color theme="1"/>
        <rFont val="Calibri"/>
        <family val="2"/>
        <scheme val="minor"/>
      </rPr>
      <t>d</t>
    </r>
    <r>
      <rPr>
        <b/>
        <sz val="11"/>
        <color theme="1"/>
        <rFont val="Calibri"/>
        <family val="2"/>
        <scheme val="minor"/>
      </rPr>
      <t>)</t>
    </r>
  </si>
  <si>
    <t>Pre-Tax Cost of Debt</t>
  </si>
  <si>
    <t>After-Tax Shield Formula</t>
  </si>
  <si>
    <t>Pre-Tax Rate x (1-Tax Rate)</t>
  </si>
  <si>
    <t>Final Weighted Average Cost of Capital (WACC)</t>
  </si>
  <si>
    <r>
      <t>(W</t>
    </r>
    <r>
      <rPr>
        <vertAlign val="subscript"/>
        <sz val="11"/>
        <color theme="1"/>
        <rFont val="Calibri"/>
        <family val="2"/>
        <scheme val="minor"/>
      </rPr>
      <t>equity</t>
    </r>
    <r>
      <rPr>
        <sz val="11"/>
        <color theme="1"/>
        <rFont val="Calibri"/>
        <family val="2"/>
        <scheme val="minor"/>
      </rPr>
      <t xml:space="preserve"> x R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) + (W</t>
    </r>
    <r>
      <rPr>
        <vertAlign val="subscript"/>
        <sz val="11"/>
        <color theme="1"/>
        <rFont val="Calibri"/>
        <family val="2"/>
        <scheme val="minor"/>
      </rPr>
      <t>debt</t>
    </r>
    <r>
      <rPr>
        <sz val="11"/>
        <color theme="1"/>
        <rFont val="Calibri"/>
        <family val="2"/>
        <scheme val="minor"/>
      </rPr>
      <t xml:space="preserve"> x After-Tax R</t>
    </r>
    <r>
      <rPr>
        <vertAlign val="sub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)</t>
    </r>
  </si>
  <si>
    <t>MA</t>
  </si>
  <si>
    <t>Upside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</si>
</sst>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.0"/>
    <numFmt numFmtId="166" formatCode="&quot;$&quot;#,##0"/>
    <numFmt numFmtId="167" formatCode="_(&quot;$&quot;* #,##0_);_(&quot;$&quot;* \(#,##0\);_(&quot;$&quot;* &quot;-&quot;??_);_(@_)"/>
    <numFmt numFmtId="168" formatCode="_(* #,##0_);_(* \(#,##0\);_(* &quot;-&quot;??_);_(@_)"/>
    <numFmt numFmtId="169" formatCode="0.0%"/>
    <numFmt numFmtId="170" formatCode="0.0"/>
    <numFmt numFmtId="171" formatCode="0.000"/>
  </numFmts>
  <fonts count="9" x14ac:knownFonts="1">
    <font>
      <sz val="11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0" fillId="2" borderId="0" xfId="0" applyFill="1"/>
    <xf numFmtId="0" fontId="1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6" fontId="0" fillId="0" borderId="0" xfId="0" applyNumberFormat="1" applyAlignment="1">
      <alignment horizontal="center" vertical="top"/>
    </xf>
    <xf numFmtId="0" fontId="5" fillId="0" borderId="0" xfId="0" applyFont="1"/>
    <xf numFmtId="166" fontId="0" fillId="0" borderId="0" xfId="0" applyNumberFormat="1" applyAlignment="1">
      <alignment horizontal="center" vertical="top"/>
    </xf>
    <xf numFmtId="166" fontId="0" fillId="0" borderId="0" xfId="0" applyNumberFormat="1"/>
    <xf numFmtId="6" fontId="0" fillId="0" borderId="0" xfId="0" applyNumberFormat="1"/>
    <xf numFmtId="167" fontId="0" fillId="0" borderId="0" xfId="0" applyNumberFormat="1"/>
    <xf numFmtId="164" fontId="0" fillId="0" borderId="0" xfId="0" applyNumberFormat="1"/>
    <xf numFmtId="166" fontId="0" fillId="0" borderId="0" xfId="0" applyNumberFormat="1" applyAlignment="1">
      <alignment horizontal="left"/>
    </xf>
    <xf numFmtId="164" fontId="0" fillId="0" borderId="0" xfId="0" applyNumberFormat="1" applyAlignment="1">
      <alignment vertical="top"/>
    </xf>
    <xf numFmtId="6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0" fontId="0" fillId="0" borderId="0" xfId="0" applyNumberFormat="1"/>
    <xf numFmtId="10" fontId="0" fillId="0" borderId="0" xfId="0" applyNumberFormat="1" applyAlignment="1">
      <alignment horizontal="left"/>
    </xf>
    <xf numFmtId="9" fontId="0" fillId="0" borderId="0" xfId="0" applyNumberFormat="1"/>
    <xf numFmtId="3" fontId="0" fillId="0" borderId="0" xfId="0" applyNumberFormat="1"/>
    <xf numFmtId="2" fontId="0" fillId="0" borderId="0" xfId="0" applyNumberFormat="1"/>
    <xf numFmtId="168" fontId="0" fillId="0" borderId="0" xfId="1" applyNumberFormat="1" applyFont="1"/>
    <xf numFmtId="0" fontId="2" fillId="4" borderId="0" xfId="0" applyFont="1" applyFill="1"/>
    <xf numFmtId="0" fontId="0" fillId="4" borderId="0" xfId="0" applyFill="1"/>
    <xf numFmtId="168" fontId="0" fillId="0" borderId="0" xfId="2" applyNumberFormat="1" applyFont="1"/>
    <xf numFmtId="165" fontId="0" fillId="0" borderId="0" xfId="0" applyNumberFormat="1" applyAlignment="1">
      <alignment horizontal="center"/>
    </xf>
    <xf numFmtId="9" fontId="3" fillId="3" borderId="0" xfId="0" applyNumberFormat="1" applyFont="1" applyFill="1" applyAlignment="1">
      <alignment horizontal="left"/>
    </xf>
    <xf numFmtId="169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14" fontId="0" fillId="3" borderId="0" xfId="0" applyNumberFormat="1" applyFill="1" applyAlignment="1">
      <alignment horizontal="left"/>
    </xf>
    <xf numFmtId="6" fontId="0" fillId="3" borderId="0" xfId="0" applyNumberFormat="1" applyFill="1" applyAlignment="1">
      <alignment horizontal="left"/>
    </xf>
    <xf numFmtId="3" fontId="0" fillId="3" borderId="0" xfId="0" applyNumberFormat="1" applyFill="1" applyAlignment="1">
      <alignment horizontal="left"/>
    </xf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0" fillId="3" borderId="4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3" fontId="0" fillId="0" borderId="0" xfId="1" applyNumberFormat="1" applyFont="1"/>
    <xf numFmtId="0" fontId="4" fillId="5" borderId="1" xfId="0" applyFont="1" applyFill="1" applyBorder="1"/>
    <xf numFmtId="0" fontId="0" fillId="5" borderId="3" xfId="0" applyFill="1" applyBorder="1"/>
    <xf numFmtId="0" fontId="0" fillId="5" borderId="4" xfId="0" applyFill="1" applyBorder="1"/>
    <xf numFmtId="164" fontId="0" fillId="5" borderId="5" xfId="0" applyNumberFormat="1" applyFill="1" applyBorder="1"/>
    <xf numFmtId="0" fontId="0" fillId="5" borderId="5" xfId="0" applyFill="1" applyBorder="1"/>
    <xf numFmtId="0" fontId="4" fillId="5" borderId="4" xfId="0" applyFont="1" applyFill="1" applyBorder="1"/>
    <xf numFmtId="0" fontId="0" fillId="5" borderId="6" xfId="0" applyFill="1" applyBorder="1"/>
    <xf numFmtId="6" fontId="0" fillId="5" borderId="5" xfId="0" applyNumberFormat="1" applyFill="1" applyBorder="1"/>
    <xf numFmtId="10" fontId="0" fillId="5" borderId="5" xfId="3" applyNumberFormat="1" applyFont="1" applyFill="1" applyBorder="1"/>
    <xf numFmtId="10" fontId="0" fillId="5" borderId="8" xfId="3" applyNumberFormat="1" applyFont="1" applyFill="1" applyBorder="1"/>
    <xf numFmtId="17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70" fontId="0" fillId="0" borderId="0" xfId="0" applyNumberFormat="1"/>
    <xf numFmtId="171" fontId="0" fillId="0" borderId="0" xfId="0" applyNumberFormat="1"/>
    <xf numFmtId="1" fontId="0" fillId="0" borderId="0" xfId="0" applyNumberFormat="1"/>
    <xf numFmtId="0" fontId="0" fillId="0" borderId="1" xfId="0" applyBorder="1"/>
    <xf numFmtId="0" fontId="0" fillId="0" borderId="3" xfId="0" applyBorder="1" applyAlignment="1">
      <alignment horizontal="right"/>
    </xf>
    <xf numFmtId="0" fontId="0" fillId="0" borderId="4" xfId="0" applyBorder="1"/>
    <xf numFmtId="0" fontId="0" fillId="0" borderId="5" xfId="0" applyBorder="1" applyAlignment="1">
      <alignment horizontal="right"/>
    </xf>
    <xf numFmtId="168" fontId="0" fillId="0" borderId="5" xfId="1" applyNumberFormat="1" applyFont="1" applyBorder="1" applyAlignment="1">
      <alignment horizontal="right"/>
    </xf>
    <xf numFmtId="9" fontId="0" fillId="0" borderId="5" xfId="0" applyNumberFormat="1" applyBorder="1" applyAlignment="1">
      <alignment horizontal="right"/>
    </xf>
    <xf numFmtId="10" fontId="0" fillId="0" borderId="8" xfId="0" applyNumberFormat="1" applyBorder="1" applyAlignment="1">
      <alignment horizontal="right"/>
    </xf>
    <xf numFmtId="168" fontId="0" fillId="0" borderId="0" xfId="0" applyNumberFormat="1"/>
    <xf numFmtId="10" fontId="0" fillId="0" borderId="0" xfId="3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'Base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'Base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'Base Assumptions'!$Q$7:$Q$12</c:f>
              <c:numCache>
                <c:formatCode>_(* #,##0_);_(* \(#,##0\);_(* "-"??_);_(@_)</c:formatCode>
                <c:ptCount val="6"/>
                <c:pt idx="0">
                  <c:v>14681722499.999998</c:v>
                </c:pt>
                <c:pt idx="1">
                  <c:v>17177615325</c:v>
                </c:pt>
                <c:pt idx="2">
                  <c:v>19754257623.75</c:v>
                </c:pt>
                <c:pt idx="3">
                  <c:v>22124768538.600006</c:v>
                </c:pt>
                <c:pt idx="4">
                  <c:v>25000988448.618</c:v>
                </c:pt>
                <c:pt idx="5">
                  <c:v>27501087293.479805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7-4AF1-9A8F-C1340CFDF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#,##0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6E7-4242-935E-C5C9592ED4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Assumptions'!$S$7:$S$9</c:f>
              <c:strCache>
                <c:ptCount val="3"/>
                <c:pt idx="0">
                  <c:v>Intrinsic Value</c:v>
                </c:pt>
                <c:pt idx="1">
                  <c:v>Downside</c:v>
                </c:pt>
                <c:pt idx="2">
                  <c:v>Current Price</c:v>
                </c:pt>
              </c:strCache>
            </c:strRef>
          </c:cat>
          <c:val>
            <c:numRef>
              <c:f>'Base Assumptions'!$T$7:$T$9</c:f>
              <c:numCache>
                <c:formatCode>"$"#,##0.00</c:formatCode>
                <c:ptCount val="3"/>
                <c:pt idx="0">
                  <c:v>434.0316175505082</c:v>
                </c:pt>
                <c:pt idx="1">
                  <c:v>125.97</c:v>
                </c:pt>
                <c:pt idx="2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C-47D6-B258-AA75CCA0D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MA vs Major Indices 5 Year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'Base Assumptions'!$V$14</c:f>
              <c:strCache>
                <c:ptCount val="1"/>
                <c:pt idx="0">
                  <c:v>Mastercard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Assumptions'!$U$15:$U$75</c:f>
              <c:numCache>
                <c:formatCode>mmm\-yy</c:formatCode>
                <c:ptCount val="61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  <c:pt idx="59">
                  <c:v>46174</c:v>
                </c:pt>
                <c:pt idx="60">
                  <c:v>46204</c:v>
                </c:pt>
              </c:numCache>
            </c:numRef>
          </c:cat>
          <c:val>
            <c:numRef>
              <c:f>'Base Assumptions'!$V$15:$V$75</c:f>
              <c:numCache>
                <c:formatCode>0.00</c:formatCode>
                <c:ptCount val="61"/>
                <c:pt idx="0" formatCode="0">
                  <c:v>100</c:v>
                </c:pt>
                <c:pt idx="1">
                  <c:v>100.89298290092678</c:v>
                </c:pt>
                <c:pt idx="2">
                  <c:v>94.515338460238311</c:v>
                </c:pt>
                <c:pt idx="3" formatCode="0">
                  <c:v>91.318065297614012</c:v>
                </c:pt>
                <c:pt idx="4">
                  <c:v>101.57469224485196</c:v>
                </c:pt>
                <c:pt idx="5">
                  <c:v>100.02535282684018</c:v>
                </c:pt>
                <c:pt idx="6" formatCode="0">
                  <c:v>103.97194287163019</c:v>
                </c:pt>
                <c:pt idx="7">
                  <c:v>98.318262486267216</c:v>
                </c:pt>
                <c:pt idx="8">
                  <c:v>98.926730330431838</c:v>
                </c:pt>
                <c:pt idx="9" formatCode="0">
                  <c:v>100.78593763204596</c:v>
                </c:pt>
                <c:pt idx="10">
                  <c:v>89.647595706921322</c:v>
                </c:pt>
                <c:pt idx="11">
                  <c:v>99.661962308797442</c:v>
                </c:pt>
                <c:pt idx="12" formatCode="0">
                  <c:v>93.512493309670688</c:v>
                </c:pt>
                <c:pt idx="13">
                  <c:v>82.700921152708517</c:v>
                </c:pt>
                <c:pt idx="14">
                  <c:v>85.177047240767351</c:v>
                </c:pt>
                <c:pt idx="15" formatCode="0">
                  <c:v>98.957717118792075</c:v>
                </c:pt>
                <c:pt idx="16">
                  <c:v>97.422462604580403</c:v>
                </c:pt>
                <c:pt idx="17">
                  <c:v>105.36353136708074</c:v>
                </c:pt>
                <c:pt idx="18" formatCode="0">
                  <c:v>99.473224597875998</c:v>
                </c:pt>
                <c:pt idx="19">
                  <c:v>99.053494464632806</c:v>
                </c:pt>
                <c:pt idx="20">
                  <c:v>105.70438603904336</c:v>
                </c:pt>
                <c:pt idx="21" formatCode="0">
                  <c:v>105.27902194428012</c:v>
                </c:pt>
                <c:pt idx="22">
                  <c:v>106.99174624637313</c:v>
                </c:pt>
                <c:pt idx="23">
                  <c:v>110.24254204343784</c:v>
                </c:pt>
                <c:pt idx="24" formatCode="0">
                  <c:v>113.49333784050255</c:v>
                </c:pt>
                <c:pt idx="25">
                  <c:v>113.30460012958112</c:v>
                </c:pt>
                <c:pt idx="26">
                  <c:v>108.28755739598299</c:v>
                </c:pt>
                <c:pt idx="27" formatCode="0">
                  <c:v>116.72441477224712</c:v>
                </c:pt>
                <c:pt idx="28">
                  <c:v>120.1470463956731</c:v>
                </c:pt>
                <c:pt idx="29">
                  <c:v>123.0400856362151</c:v>
                </c:pt>
                <c:pt idx="30" formatCode="0">
                  <c:v>131.87132031888223</c:v>
                </c:pt>
                <c:pt idx="31">
                  <c:v>135.657342460351</c:v>
                </c:pt>
                <c:pt idx="32">
                  <c:v>130.26282430491</c:v>
                </c:pt>
                <c:pt idx="33" formatCode="0">
                  <c:v>129.65717344150539</c:v>
                </c:pt>
                <c:pt idx="34">
                  <c:v>128.1303698695738</c:v>
                </c:pt>
                <c:pt idx="35">
                  <c:v>124.98661934138991</c:v>
                </c:pt>
                <c:pt idx="36" formatCode="0">
                  <c:v>136.15594805487476</c:v>
                </c:pt>
                <c:pt idx="37">
                  <c:v>139.05743823769683</c:v>
                </c:pt>
                <c:pt idx="38">
                  <c:v>143.12515845516774</c:v>
                </c:pt>
                <c:pt idx="39" formatCode="0">
                  <c:v>146.72525986647511</c:v>
                </c:pt>
                <c:pt idx="40">
                  <c:v>149.91971604833941</c:v>
                </c:pt>
                <c:pt idx="41">
                  <c:v>156.46356235386912</c:v>
                </c:pt>
                <c:pt idx="42" formatCode="0">
                  <c:v>157.04949435195357</c:v>
                </c:pt>
                <c:pt idx="43">
                  <c:v>137.96726668356854</c:v>
                </c:pt>
                <c:pt idx="44">
                  <c:v>157.5790867348376</c:v>
                </c:pt>
                <c:pt idx="45" formatCode="0">
                  <c:v>164.96239330685373</c:v>
                </c:pt>
                <c:pt idx="46">
                  <c:v>150.13662356686103</c:v>
                </c:pt>
                <c:pt idx="47">
                  <c:v>160.0664807459365</c:v>
                </c:pt>
                <c:pt idx="48" formatCode="0">
                  <c:v>168.72587960224232</c:v>
                </c:pt>
                <c:pt idx="49">
                  <c:v>159.19603369108987</c:v>
                </c:pt>
                <c:pt idx="50">
                  <c:v>158.024169694921</c:v>
                </c:pt>
                <c:pt idx="51" formatCode="0">
                  <c:v>153.73109101664835</c:v>
                </c:pt>
                <c:pt idx="52">
                  <c:v>163.27220485084086</c:v>
                </c:pt>
                <c:pt idx="53">
                  <c:v>151.77610636919349</c:v>
                </c:pt>
                <c:pt idx="54" formatCode="0">
                  <c:v>145.6970618890673</c:v>
                </c:pt>
                <c:pt idx="55">
                  <c:v>139.81238908138255</c:v>
                </c:pt>
                <c:pt idx="56">
                  <c:v>139.57012873602073</c:v>
                </c:pt>
                <c:pt idx="57" formatCode="0">
                  <c:v>140.43775881010734</c:v>
                </c:pt>
                <c:pt idx="58">
                  <c:v>151.94512521479479</c:v>
                </c:pt>
                <c:pt idx="59">
                  <c:v>161.44116735682695</c:v>
                </c:pt>
                <c:pt idx="60" formatCode="0">
                  <c:v>157.67486408067833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B3-4ECE-B81D-8DB2175BF751}"/>
            </c:ext>
          </c:extLst>
        </c:ser>
        <c:ser>
          <c:idx val="1"/>
          <c:order val="1"/>
          <c:tx>
            <c:strRef>
              <c:f>'Base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Assumptions'!$U$15:$U$75</c:f>
              <c:numCache>
                <c:formatCode>mmm\-yy</c:formatCode>
                <c:ptCount val="61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  <c:pt idx="59">
                  <c:v>46174</c:v>
                </c:pt>
                <c:pt idx="60">
                  <c:v>46204</c:v>
                </c:pt>
              </c:numCache>
            </c:numRef>
          </c:cat>
          <c:val>
            <c:numRef>
              <c:f>'Base Assumptions'!$W$15:$W$75</c:f>
              <c:numCache>
                <c:formatCode>0.00</c:formatCode>
                <c:ptCount val="61"/>
                <c:pt idx="0" formatCode="0">
                  <c:v>100</c:v>
                </c:pt>
                <c:pt idx="1">
                  <c:v>98.804932839842365</c:v>
                </c:pt>
                <c:pt idx="2">
                  <c:v>100.78791494155502</c:v>
                </c:pt>
                <c:pt idx="3" formatCode="0">
                  <c:v>101.89050798670326</c:v>
                </c:pt>
                <c:pt idx="4">
                  <c:v>105.69503056968048</c:v>
                </c:pt>
                <c:pt idx="5">
                  <c:v>99.80396374659874</c:v>
                </c:pt>
                <c:pt idx="6" formatCode="0">
                  <c:v>97.234203447488227</c:v>
                </c:pt>
                <c:pt idx="7">
                  <c:v>100.74711101550773</c:v>
                </c:pt>
                <c:pt idx="8">
                  <c:v>94.73119304913989</c:v>
                </c:pt>
                <c:pt idx="9" formatCode="0">
                  <c:v>92.213324699459122</c:v>
                </c:pt>
                <c:pt idx="10">
                  <c:v>86.746929171924236</c:v>
                </c:pt>
                <c:pt idx="11">
                  <c:v>91.593504192381644</c:v>
                </c:pt>
                <c:pt idx="12" formatCode="0">
                  <c:v>87.024573277420131</c:v>
                </c:pt>
                <c:pt idx="13">
                  <c:v>79.514876800972203</c:v>
                </c:pt>
                <c:pt idx="14">
                  <c:v>86.510088992475659</c:v>
                </c:pt>
                <c:pt idx="15" formatCode="0">
                  <c:v>89.283425400887481</c:v>
                </c:pt>
                <c:pt idx="16">
                  <c:v>85.144931553631665</c:v>
                </c:pt>
                <c:pt idx="17">
                  <c:v>90.268928919117315</c:v>
                </c:pt>
                <c:pt idx="18" formatCode="0">
                  <c:v>89.716301833737305</c:v>
                </c:pt>
                <c:pt idx="19">
                  <c:v>88.060859942741445</c:v>
                </c:pt>
                <c:pt idx="20">
                  <c:v>91.665132823432103</c:v>
                </c:pt>
                <c:pt idx="21" formatCode="0">
                  <c:v>94.966037384379632</c:v>
                </c:pt>
                <c:pt idx="22">
                  <c:v>98.691835001341659</c:v>
                </c:pt>
                <c:pt idx="23">
                  <c:v>101.61574676728678</c:v>
                </c:pt>
                <c:pt idx="24" formatCode="0">
                  <c:v>100.14192669929503</c:v>
                </c:pt>
                <c:pt idx="25">
                  <c:v>95.801852586946751</c:v>
                </c:pt>
                <c:pt idx="26">
                  <c:v>91.30698966817981</c:v>
                </c:pt>
                <c:pt idx="27" formatCode="0">
                  <c:v>101.10813705683942</c:v>
                </c:pt>
                <c:pt idx="28">
                  <c:v>105.77597314037217</c:v>
                </c:pt>
                <c:pt idx="29">
                  <c:v>109.96236724864006</c:v>
                </c:pt>
                <c:pt idx="30" formatCode="0">
                  <c:v>113.92012631476238</c:v>
                </c:pt>
                <c:pt idx="31">
                  <c:v>116.07342045562908</c:v>
                </c:pt>
                <c:pt idx="32">
                  <c:v>110.15352477175304</c:v>
                </c:pt>
                <c:pt idx="33" formatCode="0">
                  <c:v>117.0343085619499</c:v>
                </c:pt>
                <c:pt idx="34">
                  <c:v>121.18366867212049</c:v>
                </c:pt>
                <c:pt idx="35">
                  <c:v>121.06125689397855</c:v>
                </c:pt>
                <c:pt idx="36" formatCode="0">
                  <c:v>125.25918254656415</c:v>
                </c:pt>
                <c:pt idx="37">
                  <c:v>127.53599726791103</c:v>
                </c:pt>
                <c:pt idx="38">
                  <c:v>127.0421367064579</c:v>
                </c:pt>
                <c:pt idx="39" formatCode="0">
                  <c:v>132.37636299527429</c:v>
                </c:pt>
                <c:pt idx="40">
                  <c:v>131.78049261870285</c:v>
                </c:pt>
                <c:pt idx="41">
                  <c:v>133.95507576446377</c:v>
                </c:pt>
                <c:pt idx="42" formatCode="0">
                  <c:v>132.04727046128394</c:v>
                </c:pt>
                <c:pt idx="43">
                  <c:v>112.523035368577</c:v>
                </c:pt>
                <c:pt idx="44">
                  <c:v>117.14940224465946</c:v>
                </c:pt>
                <c:pt idx="45" formatCode="0">
                  <c:v>128.68360768799189</c:v>
                </c:pt>
                <c:pt idx="46">
                  <c:v>139.25115925284464</c:v>
                </c:pt>
                <c:pt idx="47">
                  <c:v>138.33440147958584</c:v>
                </c:pt>
                <c:pt idx="48" formatCode="0">
                  <c:v>143.26302787307318</c:v>
                </c:pt>
                <c:pt idx="49">
                  <c:v>148.92967310289464</c:v>
                </c:pt>
                <c:pt idx="50">
                  <c:v>151.68859508090929</c:v>
                </c:pt>
                <c:pt idx="51" formatCode="0">
                  <c:v>151.88574013664882</c:v>
                </c:pt>
                <c:pt idx="52">
                  <c:v>153.6786735175867</c:v>
                </c:pt>
                <c:pt idx="53">
                  <c:v>153.88025378267918</c:v>
                </c:pt>
                <c:pt idx="54" formatCode="0">
                  <c:v>153.22561688218087</c:v>
                </c:pt>
                <c:pt idx="55">
                  <c:v>141.23591543829849</c:v>
                </c:pt>
                <c:pt idx="56">
                  <c:v>157.96131166881406</c:v>
                </c:pt>
                <c:pt idx="57" formatCode="0">
                  <c:v>165.73202021568426</c:v>
                </c:pt>
                <c:pt idx="58">
                  <c:v>164.66357828255389</c:v>
                </c:pt>
                <c:pt idx="59">
                  <c:v>165.94868019257677</c:v>
                </c:pt>
                <c:pt idx="60" formatCode="0">
                  <c:v>171.83109835742022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B3-4ECE-B81D-8DB2175BF751}"/>
            </c:ext>
          </c:extLst>
        </c:ser>
        <c:ser>
          <c:idx val="2"/>
          <c:order val="2"/>
          <c:tx>
            <c:strRef>
              <c:f>'Base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Assumptions'!$U$15:$U$75</c:f>
              <c:numCache>
                <c:formatCode>mmm\-yy</c:formatCode>
                <c:ptCount val="61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  <c:pt idx="59">
                  <c:v>46174</c:v>
                </c:pt>
                <c:pt idx="60">
                  <c:v>46204</c:v>
                </c:pt>
              </c:numCache>
            </c:numRef>
          </c:cat>
          <c:val>
            <c:numRef>
              <c:f>'Base Assumptions'!$X$15:$X$75</c:f>
              <c:numCache>
                <c:formatCode>0.00</c:formatCode>
                <c:ptCount val="61"/>
                <c:pt idx="0" formatCode="0">
                  <c:v>100</c:v>
                </c:pt>
                <c:pt idx="1">
                  <c:v>102.2633210689204</c:v>
                </c:pt>
                <c:pt idx="2">
                  <c:v>105.32618490675286</c:v>
                </c:pt>
                <c:pt idx="3" formatCode="0">
                  <c:v>102.52000386009598</c:v>
                </c:pt>
                <c:pt idx="4">
                  <c:v>106.3794202516402</c:v>
                </c:pt>
                <c:pt idx="5">
                  <c:v>93.584017571591872</c:v>
                </c:pt>
                <c:pt idx="6" formatCode="0">
                  <c:v>90.477387856736087</c:v>
                </c:pt>
                <c:pt idx="7">
                  <c:v>96.293764178037407</c:v>
                </c:pt>
                <c:pt idx="8">
                  <c:v>87.255091181175786</c:v>
                </c:pt>
                <c:pt idx="9" formatCode="0">
                  <c:v>77.165357541390705</c:v>
                </c:pt>
                <c:pt idx="10">
                  <c:v>75.624241402791498</c:v>
                </c:pt>
                <c:pt idx="11">
                  <c:v>84.206430865544974</c:v>
                </c:pt>
                <c:pt idx="12" formatCode="0">
                  <c:v>82.514376818764418</c:v>
                </c:pt>
                <c:pt idx="13">
                  <c:v>73.857839732620405</c:v>
                </c:pt>
                <c:pt idx="14">
                  <c:v>75.451624434407591</c:v>
                </c:pt>
                <c:pt idx="15" formatCode="0">
                  <c:v>76.293709810488323</c:v>
                </c:pt>
                <c:pt idx="16">
                  <c:v>71.129608159481762</c:v>
                </c:pt>
                <c:pt idx="17">
                  <c:v>75.709734373746997</c:v>
                </c:pt>
                <c:pt idx="18" formatCode="0">
                  <c:v>79.437853134221243</c:v>
                </c:pt>
                <c:pt idx="19">
                  <c:v>80.354965728056243</c:v>
                </c:pt>
                <c:pt idx="20">
                  <c:v>82.043757721890955</c:v>
                </c:pt>
                <c:pt idx="21" formatCode="0">
                  <c:v>89.983526632623523</c:v>
                </c:pt>
                <c:pt idx="22">
                  <c:v>91.69440544327901</c:v>
                </c:pt>
                <c:pt idx="23">
                  <c:v>95.366185831001189</c:v>
                </c:pt>
                <c:pt idx="24" formatCode="0">
                  <c:v>92.36129139239371</c:v>
                </c:pt>
                <c:pt idx="25">
                  <c:v>89.786716104891312</c:v>
                </c:pt>
                <c:pt idx="26">
                  <c:v>85.921183364073656</c:v>
                </c:pt>
                <c:pt idx="27" formatCode="0">
                  <c:v>96.847973381647961</c:v>
                </c:pt>
                <c:pt idx="28">
                  <c:v>101.8913790736585</c:v>
                </c:pt>
                <c:pt idx="29">
                  <c:v>106.21346330802071</c:v>
                </c:pt>
                <c:pt idx="30" formatCode="0">
                  <c:v>110.6035749381909</c:v>
                </c:pt>
                <c:pt idx="31">
                  <c:v>111.64933474507737</c:v>
                </c:pt>
                <c:pt idx="32">
                  <c:v>103.85567862254376</c:v>
                </c:pt>
                <c:pt idx="33" formatCode="0">
                  <c:v>113.73025268677632</c:v>
                </c:pt>
                <c:pt idx="34">
                  <c:v>120.21589353746536</c:v>
                </c:pt>
                <c:pt idx="35">
                  <c:v>117.96317414061896</c:v>
                </c:pt>
                <c:pt idx="36" formatCode="0">
                  <c:v>121.49645319701577</c:v>
                </c:pt>
                <c:pt idx="37">
                  <c:v>123.26380629929608</c:v>
                </c:pt>
                <c:pt idx="38">
                  <c:v>125.85142979858183</c:v>
                </c:pt>
                <c:pt idx="39" formatCode="0">
                  <c:v>129.14773430035083</c:v>
                </c:pt>
                <c:pt idx="40">
                  <c:v>134.02980429041514</c:v>
                </c:pt>
                <c:pt idx="41">
                  <c:v>133.38697598177598</c:v>
                </c:pt>
                <c:pt idx="42" formatCode="0">
                  <c:v>132.68407153138432</c:v>
                </c:pt>
                <c:pt idx="43">
                  <c:v>105.93374226791514</c:v>
                </c:pt>
                <c:pt idx="44">
                  <c:v>110.68179624945462</c:v>
                </c:pt>
                <c:pt idx="45" formatCode="0">
                  <c:v>129.89610361367508</c:v>
                </c:pt>
                <c:pt idx="46">
                  <c:v>132.16350224877775</c:v>
                </c:pt>
                <c:pt idx="47">
                  <c:v>140.33711958006506</c:v>
                </c:pt>
                <c:pt idx="48" formatCode="0">
                  <c:v>146.08927423399521</c:v>
                </c:pt>
                <c:pt idx="49">
                  <c:v>154.81506198580192</c:v>
                </c:pt>
                <c:pt idx="50">
                  <c:v>157.69898862766792</c:v>
                </c:pt>
                <c:pt idx="51" formatCode="0">
                  <c:v>158.7919122833963</c:v>
                </c:pt>
                <c:pt idx="52">
                  <c:v>160.33737782592326</c:v>
                </c:pt>
                <c:pt idx="53">
                  <c:v>159.44520634523664</c:v>
                </c:pt>
                <c:pt idx="54" formatCode="0">
                  <c:v>154.05187751534862</c:v>
                </c:pt>
                <c:pt idx="55">
                  <c:v>142.36387385097584</c:v>
                </c:pt>
                <c:pt idx="56">
                  <c:v>166.28641096702202</c:v>
                </c:pt>
                <c:pt idx="57" formatCode="0">
                  <c:v>179.03213529908268</c:v>
                </c:pt>
                <c:pt idx="58">
                  <c:v>175.90273917304239</c:v>
                </c:pt>
                <c:pt idx="59">
                  <c:v>175.55736931740182</c:v>
                </c:pt>
                <c:pt idx="60" formatCode="0">
                  <c:v>180.49000112812666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B3-4ECE-B81D-8DB2175BF751}"/>
            </c:ext>
          </c:extLst>
        </c:ser>
        <c:ser>
          <c:idx val="3"/>
          <c:order val="3"/>
          <c:tx>
            <c:strRef>
              <c:f>'Base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Assumptions'!$U$15:$U$75</c:f>
              <c:numCache>
                <c:formatCode>mmm\-yy</c:formatCode>
                <c:ptCount val="61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  <c:pt idx="59">
                  <c:v>46174</c:v>
                </c:pt>
                <c:pt idx="60">
                  <c:v>46204</c:v>
                </c:pt>
              </c:numCache>
            </c:numRef>
          </c:cat>
          <c:val>
            <c:numRef>
              <c:f>'Base Assumptions'!$Y$15:$Y$75</c:f>
              <c:numCache>
                <c:formatCode>0.00</c:formatCode>
                <c:ptCount val="61"/>
                <c:pt idx="0" formatCode="0">
                  <c:v>100</c:v>
                </c:pt>
                <c:pt idx="1">
                  <c:v>97.740267106453047</c:v>
                </c:pt>
                <c:pt idx="2">
                  <c:v>101.58581643321996</c:v>
                </c:pt>
                <c:pt idx="3" formatCode="0">
                  <c:v>99.342996940781433</c:v>
                </c:pt>
                <c:pt idx="4">
                  <c:v>102.36468709638473</c:v>
                </c:pt>
                <c:pt idx="5">
                  <c:v>98.876397775859289</c:v>
                </c:pt>
                <c:pt idx="6" formatCode="0">
                  <c:v>96.977996633265064</c:v>
                </c:pt>
                <c:pt idx="7">
                  <c:v>99.262985733517681</c:v>
                </c:pt>
                <c:pt idx="8">
                  <c:v>96.273698693169266</c:v>
                </c:pt>
                <c:pt idx="9" formatCode="0">
                  <c:v>94.569716242104235</c:v>
                </c:pt>
                <c:pt idx="10">
                  <c:v>88.545527231145243</c:v>
                </c:pt>
                <c:pt idx="11">
                  <c:v>93.522366691647619</c:v>
                </c:pt>
                <c:pt idx="12" formatCode="0">
                  <c:v>89.175309395650572</c:v>
                </c:pt>
                <c:pt idx="13">
                  <c:v>87.762954981879304</c:v>
                </c:pt>
                <c:pt idx="14">
                  <c:v>93.569832414960331</c:v>
                </c:pt>
                <c:pt idx="15" formatCode="0">
                  <c:v>98.034742517670793</c:v>
                </c:pt>
                <c:pt idx="16">
                  <c:v>94.5440044555707</c:v>
                </c:pt>
                <c:pt idx="17">
                  <c:v>95.032499925968267</c:v>
                </c:pt>
                <c:pt idx="18" formatCode="0">
                  <c:v>93.442042273252213</c:v>
                </c:pt>
                <c:pt idx="19">
                  <c:v>94.743947052512411</c:v>
                </c:pt>
                <c:pt idx="20">
                  <c:v>96.26675110079475</c:v>
                </c:pt>
                <c:pt idx="21" formatCode="0">
                  <c:v>94.229113373318043</c:v>
                </c:pt>
                <c:pt idx="22">
                  <c:v>96.034604704772875</c:v>
                </c:pt>
                <c:pt idx="23">
                  <c:v>99.844932016100202</c:v>
                </c:pt>
                <c:pt idx="24" formatCode="0">
                  <c:v>99.195987025086495</c:v>
                </c:pt>
                <c:pt idx="25">
                  <c:v>95.408381757672529</c:v>
                </c:pt>
                <c:pt idx="26">
                  <c:v>96.985314384249691</c:v>
                </c:pt>
                <c:pt idx="27" formatCode="0">
                  <c:v>103.20449156152263</c:v>
                </c:pt>
                <c:pt idx="28">
                  <c:v>107.31621340270294</c:v>
                </c:pt>
                <c:pt idx="29">
                  <c:v>108.51179723964182</c:v>
                </c:pt>
                <c:pt idx="30" formatCode="0">
                  <c:v>111.29638656859551</c:v>
                </c:pt>
                <c:pt idx="31">
                  <c:v>113.34646732012</c:v>
                </c:pt>
                <c:pt idx="32">
                  <c:v>108.16148482577488</c:v>
                </c:pt>
                <c:pt idx="33" formatCode="0">
                  <c:v>110.15441878264514</c:v>
                </c:pt>
                <c:pt idx="34">
                  <c:v>111.4756287571099</c:v>
                </c:pt>
                <c:pt idx="35">
                  <c:v>114.71366238345698</c:v>
                </c:pt>
                <c:pt idx="36" formatCode="0">
                  <c:v>117.24084910968311</c:v>
                </c:pt>
                <c:pt idx="37">
                  <c:v>120.48093284525547</c:v>
                </c:pt>
                <c:pt idx="38">
                  <c:v>119.73830925214293</c:v>
                </c:pt>
                <c:pt idx="39" formatCode="0">
                  <c:v>126.12872749720387</c:v>
                </c:pt>
                <c:pt idx="40">
                  <c:v>121.9822392204118</c:v>
                </c:pt>
                <c:pt idx="41">
                  <c:v>126.49245104225275</c:v>
                </c:pt>
                <c:pt idx="42" formatCode="0">
                  <c:v>124.83146393743978</c:v>
                </c:pt>
                <c:pt idx="43">
                  <c:v>109.0967332648445</c:v>
                </c:pt>
                <c:pt idx="44">
                  <c:v>111.45256502832568</c:v>
                </c:pt>
                <c:pt idx="45" formatCode="0">
                  <c:v>118.4594966754062</c:v>
                </c:pt>
                <c:pt idx="46">
                  <c:v>120.17859868200756</c:v>
                </c:pt>
                <c:pt idx="47">
                  <c:v>127.85255614451903</c:v>
                </c:pt>
                <c:pt idx="48" formatCode="0">
                  <c:v>129.68330368267954</c:v>
                </c:pt>
                <c:pt idx="49">
                  <c:v>133.1383072020337</c:v>
                </c:pt>
                <c:pt idx="50">
                  <c:v>134.41632251407171</c:v>
                </c:pt>
                <c:pt idx="51" formatCode="0">
                  <c:v>131.67797453764342</c:v>
                </c:pt>
                <c:pt idx="52">
                  <c:v>137.05803061952022</c:v>
                </c:pt>
                <c:pt idx="53">
                  <c:v>139.80238655492812</c:v>
                </c:pt>
                <c:pt idx="54" formatCode="0">
                  <c:v>139.45845225865088</c:v>
                </c:pt>
                <c:pt idx="55">
                  <c:v>129.77609959886195</c:v>
                </c:pt>
                <c:pt idx="56">
                  <c:v>140.79532278969751</c:v>
                </c:pt>
                <c:pt idx="57" formatCode="0">
                  <c:v>144.01931886259939</c:v>
                </c:pt>
                <c:pt idx="58">
                  <c:v>145.78597201373117</c:v>
                </c:pt>
                <c:pt idx="59">
                  <c:v>150.62627989457883</c:v>
                </c:pt>
                <c:pt idx="60" formatCode="0">
                  <c:v>153.10406468322395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2A-454E-843D-8BF897FE4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2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'Bear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'Bear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'Bear Assumptions'!$Q$7:$Q$12</c:f>
              <c:numCache>
                <c:formatCode>_(* #,##0_);_(* \(#,##0\);_(* "-"??_);_(@_)</c:formatCode>
                <c:ptCount val="6"/>
                <c:pt idx="0">
                  <c:v>12624150000</c:v>
                </c:pt>
                <c:pt idx="1">
                  <c:v>14517772500</c:v>
                </c:pt>
                <c:pt idx="2">
                  <c:v>16405082924.999996</c:v>
                </c:pt>
                <c:pt idx="3">
                  <c:v>18045591217.499996</c:v>
                </c:pt>
                <c:pt idx="4">
                  <c:v>20030606251.424999</c:v>
                </c:pt>
                <c:pt idx="5">
                  <c:v>21633054751.538998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85-4F28-9F99-B0E1F2AC1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#,##0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7DB-49C9-96A3-C5009D5B79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'Bear Assumptions'!$S$7:$S$9</c:f>
              <c:strCache>
                <c:ptCount val="3"/>
                <c:pt idx="0">
                  <c:v>Intrinsic Value</c:v>
                </c:pt>
                <c:pt idx="1">
                  <c:v>Downside</c:v>
                </c:pt>
                <c:pt idx="2">
                  <c:v>Current Price</c:v>
                </c:pt>
              </c:strCache>
            </c:strRef>
          </c:cat>
          <c:val>
            <c:numRef>
              <c:f>'Bear Assumptions'!$T$7:$T$9</c:f>
              <c:numCache>
                <c:formatCode>"$"#,##0.00</c:formatCode>
                <c:ptCount val="3"/>
                <c:pt idx="0">
                  <c:v>304.22334315443578</c:v>
                </c:pt>
                <c:pt idx="1">
                  <c:v>255.78</c:v>
                </c:pt>
                <c:pt idx="2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DB-49C9-96A3-C5009D5B7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MA vs Major Indices 5 Year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'Bear Assumptions'!$V$14</c:f>
              <c:strCache>
                <c:ptCount val="1"/>
                <c:pt idx="0">
                  <c:v>Mastercard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Assumptions'!$U$15:$U$75</c:f>
              <c:numCache>
                <c:formatCode>mmm\-yy</c:formatCode>
                <c:ptCount val="61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  <c:pt idx="59">
                  <c:v>46174</c:v>
                </c:pt>
                <c:pt idx="60">
                  <c:v>46204</c:v>
                </c:pt>
              </c:numCache>
            </c:numRef>
          </c:cat>
          <c:val>
            <c:numRef>
              <c:f>'Bear Assumptions'!$V$15:$V$75</c:f>
              <c:numCache>
                <c:formatCode>0.00</c:formatCode>
                <c:ptCount val="61"/>
                <c:pt idx="0" formatCode="0">
                  <c:v>100</c:v>
                </c:pt>
                <c:pt idx="1">
                  <c:v>100.89298290092678</c:v>
                </c:pt>
                <c:pt idx="2">
                  <c:v>94.515338460238311</c:v>
                </c:pt>
                <c:pt idx="3" formatCode="0">
                  <c:v>91.318065297614012</c:v>
                </c:pt>
                <c:pt idx="4">
                  <c:v>101.57469224485196</c:v>
                </c:pt>
                <c:pt idx="5">
                  <c:v>100.02535282684018</c:v>
                </c:pt>
                <c:pt idx="6" formatCode="0">
                  <c:v>103.97194287163019</c:v>
                </c:pt>
                <c:pt idx="7">
                  <c:v>98.318262486267216</c:v>
                </c:pt>
                <c:pt idx="8">
                  <c:v>98.926730330431838</c:v>
                </c:pt>
                <c:pt idx="9" formatCode="0">
                  <c:v>100.78593763204596</c:v>
                </c:pt>
                <c:pt idx="10">
                  <c:v>89.647595706921322</c:v>
                </c:pt>
                <c:pt idx="11">
                  <c:v>99.661962308797442</c:v>
                </c:pt>
                <c:pt idx="12" formatCode="0">
                  <c:v>93.512493309670688</c:v>
                </c:pt>
                <c:pt idx="13">
                  <c:v>82.700921152708517</c:v>
                </c:pt>
                <c:pt idx="14">
                  <c:v>85.177047240767351</c:v>
                </c:pt>
                <c:pt idx="15" formatCode="0">
                  <c:v>98.957717118792075</c:v>
                </c:pt>
                <c:pt idx="16">
                  <c:v>97.422462604580403</c:v>
                </c:pt>
                <c:pt idx="17">
                  <c:v>105.36353136708074</c:v>
                </c:pt>
                <c:pt idx="18" formatCode="0">
                  <c:v>99.473224597875998</c:v>
                </c:pt>
                <c:pt idx="19">
                  <c:v>99.053494464632806</c:v>
                </c:pt>
                <c:pt idx="20">
                  <c:v>105.70438603904336</c:v>
                </c:pt>
                <c:pt idx="21" formatCode="0">
                  <c:v>105.27902194428012</c:v>
                </c:pt>
                <c:pt idx="22">
                  <c:v>106.99174624637313</c:v>
                </c:pt>
                <c:pt idx="23">
                  <c:v>110.24254204343784</c:v>
                </c:pt>
                <c:pt idx="24" formatCode="0">
                  <c:v>113.49333784050255</c:v>
                </c:pt>
                <c:pt idx="25">
                  <c:v>113.30460012958112</c:v>
                </c:pt>
                <c:pt idx="26">
                  <c:v>108.28755739598299</c:v>
                </c:pt>
                <c:pt idx="27" formatCode="0">
                  <c:v>116.72441477224712</c:v>
                </c:pt>
                <c:pt idx="28">
                  <c:v>120.1470463956731</c:v>
                </c:pt>
                <c:pt idx="29">
                  <c:v>123.0400856362151</c:v>
                </c:pt>
                <c:pt idx="30" formatCode="0">
                  <c:v>131.87132031888223</c:v>
                </c:pt>
                <c:pt idx="31">
                  <c:v>135.657342460351</c:v>
                </c:pt>
                <c:pt idx="32">
                  <c:v>130.26282430491</c:v>
                </c:pt>
                <c:pt idx="33" formatCode="0">
                  <c:v>129.65717344150539</c:v>
                </c:pt>
                <c:pt idx="34">
                  <c:v>128.1303698695738</c:v>
                </c:pt>
                <c:pt idx="35">
                  <c:v>124.98661934138991</c:v>
                </c:pt>
                <c:pt idx="36" formatCode="0">
                  <c:v>136.15594805487476</c:v>
                </c:pt>
                <c:pt idx="37">
                  <c:v>139.05743823769683</c:v>
                </c:pt>
                <c:pt idx="38">
                  <c:v>143.12515845516774</c:v>
                </c:pt>
                <c:pt idx="39" formatCode="0">
                  <c:v>146.72525986647511</c:v>
                </c:pt>
                <c:pt idx="40">
                  <c:v>149.91971604833941</c:v>
                </c:pt>
                <c:pt idx="41">
                  <c:v>156.46356235386912</c:v>
                </c:pt>
                <c:pt idx="42" formatCode="0">
                  <c:v>157.04949435195357</c:v>
                </c:pt>
                <c:pt idx="43">
                  <c:v>137.96726668356854</c:v>
                </c:pt>
                <c:pt idx="44">
                  <c:v>157.5790867348376</c:v>
                </c:pt>
                <c:pt idx="45" formatCode="0">
                  <c:v>164.96239330685373</c:v>
                </c:pt>
                <c:pt idx="46">
                  <c:v>150.13662356686103</c:v>
                </c:pt>
                <c:pt idx="47">
                  <c:v>160.0664807459365</c:v>
                </c:pt>
                <c:pt idx="48" formatCode="0">
                  <c:v>168.72587960224232</c:v>
                </c:pt>
                <c:pt idx="49">
                  <c:v>159.19603369108987</c:v>
                </c:pt>
                <c:pt idx="50">
                  <c:v>158.024169694921</c:v>
                </c:pt>
                <c:pt idx="51" formatCode="0">
                  <c:v>153.73109101664835</c:v>
                </c:pt>
                <c:pt idx="52">
                  <c:v>163.27220485084086</c:v>
                </c:pt>
                <c:pt idx="53">
                  <c:v>151.77610636919349</c:v>
                </c:pt>
                <c:pt idx="54" formatCode="0">
                  <c:v>145.6970618890673</c:v>
                </c:pt>
                <c:pt idx="55">
                  <c:v>139.81238908138255</c:v>
                </c:pt>
                <c:pt idx="56">
                  <c:v>139.57012873602073</c:v>
                </c:pt>
                <c:pt idx="57" formatCode="0">
                  <c:v>140.43775881010734</c:v>
                </c:pt>
                <c:pt idx="58">
                  <c:v>151.94512521479479</c:v>
                </c:pt>
                <c:pt idx="59">
                  <c:v>161.44116735682695</c:v>
                </c:pt>
                <c:pt idx="60" formatCode="0">
                  <c:v>157.67486408067833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79-4B13-A5DE-CE09E7350F73}"/>
            </c:ext>
          </c:extLst>
        </c:ser>
        <c:ser>
          <c:idx val="1"/>
          <c:order val="1"/>
          <c:tx>
            <c:strRef>
              <c:f>'Bear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Assumptions'!$U$15:$U$75</c:f>
              <c:numCache>
                <c:formatCode>mmm\-yy</c:formatCode>
                <c:ptCount val="61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  <c:pt idx="59">
                  <c:v>46174</c:v>
                </c:pt>
                <c:pt idx="60">
                  <c:v>46204</c:v>
                </c:pt>
              </c:numCache>
            </c:numRef>
          </c:cat>
          <c:val>
            <c:numRef>
              <c:f>'Bear Assumptions'!$W$15:$W$75</c:f>
              <c:numCache>
                <c:formatCode>0.00</c:formatCode>
                <c:ptCount val="61"/>
                <c:pt idx="0" formatCode="0">
                  <c:v>100</c:v>
                </c:pt>
                <c:pt idx="1">
                  <c:v>98.804932839842365</c:v>
                </c:pt>
                <c:pt idx="2">
                  <c:v>100.78791494155502</c:v>
                </c:pt>
                <c:pt idx="3" formatCode="0">
                  <c:v>101.89050798670326</c:v>
                </c:pt>
                <c:pt idx="4">
                  <c:v>105.69503056968048</c:v>
                </c:pt>
                <c:pt idx="5">
                  <c:v>99.80396374659874</c:v>
                </c:pt>
                <c:pt idx="6" formatCode="0">
                  <c:v>97.234203447488227</c:v>
                </c:pt>
                <c:pt idx="7">
                  <c:v>100.74711101550773</c:v>
                </c:pt>
                <c:pt idx="8">
                  <c:v>94.73119304913989</c:v>
                </c:pt>
                <c:pt idx="9" formatCode="0">
                  <c:v>92.213324699459122</c:v>
                </c:pt>
                <c:pt idx="10">
                  <c:v>86.746929171924236</c:v>
                </c:pt>
                <c:pt idx="11">
                  <c:v>91.593504192381644</c:v>
                </c:pt>
                <c:pt idx="12" formatCode="0">
                  <c:v>87.024573277420131</c:v>
                </c:pt>
                <c:pt idx="13">
                  <c:v>79.514876800972203</c:v>
                </c:pt>
                <c:pt idx="14">
                  <c:v>86.510088992475659</c:v>
                </c:pt>
                <c:pt idx="15" formatCode="0">
                  <c:v>89.283425400887481</c:v>
                </c:pt>
                <c:pt idx="16">
                  <c:v>85.144931553631665</c:v>
                </c:pt>
                <c:pt idx="17">
                  <c:v>90.268928919117315</c:v>
                </c:pt>
                <c:pt idx="18" formatCode="0">
                  <c:v>89.716301833737305</c:v>
                </c:pt>
                <c:pt idx="19">
                  <c:v>88.060859942741445</c:v>
                </c:pt>
                <c:pt idx="20">
                  <c:v>91.665132823432103</c:v>
                </c:pt>
                <c:pt idx="21" formatCode="0">
                  <c:v>94.966037384379632</c:v>
                </c:pt>
                <c:pt idx="22">
                  <c:v>98.691835001341659</c:v>
                </c:pt>
                <c:pt idx="23">
                  <c:v>101.61574676728678</c:v>
                </c:pt>
                <c:pt idx="24" formatCode="0">
                  <c:v>100.14192669929503</c:v>
                </c:pt>
                <c:pt idx="25">
                  <c:v>95.801852586946751</c:v>
                </c:pt>
                <c:pt idx="26">
                  <c:v>91.30698966817981</c:v>
                </c:pt>
                <c:pt idx="27" formatCode="0">
                  <c:v>101.10813705683942</c:v>
                </c:pt>
                <c:pt idx="28">
                  <c:v>105.77597314037217</c:v>
                </c:pt>
                <c:pt idx="29">
                  <c:v>109.96236724864006</c:v>
                </c:pt>
                <c:pt idx="30" formatCode="0">
                  <c:v>113.92012631476238</c:v>
                </c:pt>
                <c:pt idx="31">
                  <c:v>116.07342045562908</c:v>
                </c:pt>
                <c:pt idx="32">
                  <c:v>110.15352477175304</c:v>
                </c:pt>
                <c:pt idx="33" formatCode="0">
                  <c:v>117.0343085619499</c:v>
                </c:pt>
                <c:pt idx="34">
                  <c:v>121.18366867212049</c:v>
                </c:pt>
                <c:pt idx="35">
                  <c:v>121.06125689397855</c:v>
                </c:pt>
                <c:pt idx="36" formatCode="0">
                  <c:v>125.25918254656415</c:v>
                </c:pt>
                <c:pt idx="37">
                  <c:v>127.53599726791103</c:v>
                </c:pt>
                <c:pt idx="38">
                  <c:v>127.0421367064579</c:v>
                </c:pt>
                <c:pt idx="39" formatCode="0">
                  <c:v>132.37636299527429</c:v>
                </c:pt>
                <c:pt idx="40">
                  <c:v>131.78049261870285</c:v>
                </c:pt>
                <c:pt idx="41">
                  <c:v>133.95507576446377</c:v>
                </c:pt>
                <c:pt idx="42" formatCode="0">
                  <c:v>132.04727046128394</c:v>
                </c:pt>
                <c:pt idx="43">
                  <c:v>112.523035368577</c:v>
                </c:pt>
                <c:pt idx="44">
                  <c:v>117.14940224465946</c:v>
                </c:pt>
                <c:pt idx="45" formatCode="0">
                  <c:v>128.68360768799189</c:v>
                </c:pt>
                <c:pt idx="46">
                  <c:v>139.25115925284464</c:v>
                </c:pt>
                <c:pt idx="47">
                  <c:v>138.33440147958584</c:v>
                </c:pt>
                <c:pt idx="48" formatCode="0">
                  <c:v>143.26302787307318</c:v>
                </c:pt>
                <c:pt idx="49">
                  <c:v>148.92967310289464</c:v>
                </c:pt>
                <c:pt idx="50">
                  <c:v>151.68859508090929</c:v>
                </c:pt>
                <c:pt idx="51" formatCode="0">
                  <c:v>151.88574013664882</c:v>
                </c:pt>
                <c:pt idx="52">
                  <c:v>153.6786735175867</c:v>
                </c:pt>
                <c:pt idx="53">
                  <c:v>153.88025378267918</c:v>
                </c:pt>
                <c:pt idx="54" formatCode="0">
                  <c:v>153.22561688218087</c:v>
                </c:pt>
                <c:pt idx="55">
                  <c:v>141.23591543829849</c:v>
                </c:pt>
                <c:pt idx="56">
                  <c:v>157.96131166881406</c:v>
                </c:pt>
                <c:pt idx="57" formatCode="0">
                  <c:v>165.73202021568426</c:v>
                </c:pt>
                <c:pt idx="58">
                  <c:v>164.66357828255389</c:v>
                </c:pt>
                <c:pt idx="59">
                  <c:v>165.94868019257677</c:v>
                </c:pt>
                <c:pt idx="60" formatCode="0">
                  <c:v>171.83109835742022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79-4B13-A5DE-CE09E7350F73}"/>
            </c:ext>
          </c:extLst>
        </c:ser>
        <c:ser>
          <c:idx val="2"/>
          <c:order val="2"/>
          <c:tx>
            <c:strRef>
              <c:f>'Bear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Assumptions'!$U$15:$U$75</c:f>
              <c:numCache>
                <c:formatCode>mmm\-yy</c:formatCode>
                <c:ptCount val="61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  <c:pt idx="59">
                  <c:v>46174</c:v>
                </c:pt>
                <c:pt idx="60">
                  <c:v>46204</c:v>
                </c:pt>
              </c:numCache>
            </c:numRef>
          </c:cat>
          <c:val>
            <c:numRef>
              <c:f>'Bear Assumptions'!$X$15:$X$75</c:f>
              <c:numCache>
                <c:formatCode>0.00</c:formatCode>
                <c:ptCount val="61"/>
                <c:pt idx="0" formatCode="0">
                  <c:v>100</c:v>
                </c:pt>
                <c:pt idx="1">
                  <c:v>102.2633210689204</c:v>
                </c:pt>
                <c:pt idx="2">
                  <c:v>105.32618490675286</c:v>
                </c:pt>
                <c:pt idx="3" formatCode="0">
                  <c:v>102.52000386009598</c:v>
                </c:pt>
                <c:pt idx="4">
                  <c:v>106.3794202516402</c:v>
                </c:pt>
                <c:pt idx="5">
                  <c:v>93.584017571591872</c:v>
                </c:pt>
                <c:pt idx="6" formatCode="0">
                  <c:v>90.477387856736087</c:v>
                </c:pt>
                <c:pt idx="7">
                  <c:v>96.293764178037407</c:v>
                </c:pt>
                <c:pt idx="8">
                  <c:v>87.255091181175786</c:v>
                </c:pt>
                <c:pt idx="9" formatCode="0">
                  <c:v>77.165357541390705</c:v>
                </c:pt>
                <c:pt idx="10">
                  <c:v>75.624241402791498</c:v>
                </c:pt>
                <c:pt idx="11">
                  <c:v>84.206430865544974</c:v>
                </c:pt>
                <c:pt idx="12" formatCode="0">
                  <c:v>82.514376818764418</c:v>
                </c:pt>
                <c:pt idx="13">
                  <c:v>73.857839732620405</c:v>
                </c:pt>
                <c:pt idx="14">
                  <c:v>75.451624434407591</c:v>
                </c:pt>
                <c:pt idx="15" formatCode="0">
                  <c:v>76.293709810488323</c:v>
                </c:pt>
                <c:pt idx="16">
                  <c:v>71.129608159481762</c:v>
                </c:pt>
                <c:pt idx="17">
                  <c:v>75.709734373746997</c:v>
                </c:pt>
                <c:pt idx="18" formatCode="0">
                  <c:v>79.437853134221243</c:v>
                </c:pt>
                <c:pt idx="19">
                  <c:v>80.354965728056243</c:v>
                </c:pt>
                <c:pt idx="20">
                  <c:v>82.043757721890955</c:v>
                </c:pt>
                <c:pt idx="21" formatCode="0">
                  <c:v>89.983526632623523</c:v>
                </c:pt>
                <c:pt idx="22">
                  <c:v>91.69440544327901</c:v>
                </c:pt>
                <c:pt idx="23">
                  <c:v>95.366185831001189</c:v>
                </c:pt>
                <c:pt idx="24" formatCode="0">
                  <c:v>92.36129139239371</c:v>
                </c:pt>
                <c:pt idx="25">
                  <c:v>89.786716104891312</c:v>
                </c:pt>
                <c:pt idx="26">
                  <c:v>85.921183364073656</c:v>
                </c:pt>
                <c:pt idx="27" formatCode="0">
                  <c:v>96.847973381647961</c:v>
                </c:pt>
                <c:pt idx="28">
                  <c:v>101.8913790736585</c:v>
                </c:pt>
                <c:pt idx="29">
                  <c:v>106.21346330802071</c:v>
                </c:pt>
                <c:pt idx="30" formatCode="0">
                  <c:v>110.6035749381909</c:v>
                </c:pt>
                <c:pt idx="31">
                  <c:v>111.64933474507737</c:v>
                </c:pt>
                <c:pt idx="32">
                  <c:v>103.85567862254376</c:v>
                </c:pt>
                <c:pt idx="33" formatCode="0">
                  <c:v>113.73025268677632</c:v>
                </c:pt>
                <c:pt idx="34">
                  <c:v>120.21589353746536</c:v>
                </c:pt>
                <c:pt idx="35">
                  <c:v>117.96317414061896</c:v>
                </c:pt>
                <c:pt idx="36" formatCode="0">
                  <c:v>121.49645319701577</c:v>
                </c:pt>
                <c:pt idx="37">
                  <c:v>123.26380629929608</c:v>
                </c:pt>
                <c:pt idx="38">
                  <c:v>125.85142979858183</c:v>
                </c:pt>
                <c:pt idx="39" formatCode="0">
                  <c:v>129.14773430035083</c:v>
                </c:pt>
                <c:pt idx="40">
                  <c:v>134.02980429041514</c:v>
                </c:pt>
                <c:pt idx="41">
                  <c:v>133.38697598177598</c:v>
                </c:pt>
                <c:pt idx="42" formatCode="0">
                  <c:v>132.68407153138432</c:v>
                </c:pt>
                <c:pt idx="43">
                  <c:v>105.93374226791514</c:v>
                </c:pt>
                <c:pt idx="44">
                  <c:v>110.68179624945462</c:v>
                </c:pt>
                <c:pt idx="45" formatCode="0">
                  <c:v>129.89610361367508</c:v>
                </c:pt>
                <c:pt idx="46">
                  <c:v>132.16350224877775</c:v>
                </c:pt>
                <c:pt idx="47">
                  <c:v>140.33711958006506</c:v>
                </c:pt>
                <c:pt idx="48" formatCode="0">
                  <c:v>146.08927423399521</c:v>
                </c:pt>
                <c:pt idx="49">
                  <c:v>154.81506198580192</c:v>
                </c:pt>
                <c:pt idx="50">
                  <c:v>157.69898862766792</c:v>
                </c:pt>
                <c:pt idx="51" formatCode="0">
                  <c:v>158.7919122833963</c:v>
                </c:pt>
                <c:pt idx="52">
                  <c:v>160.33737782592326</c:v>
                </c:pt>
                <c:pt idx="53">
                  <c:v>159.44520634523664</c:v>
                </c:pt>
                <c:pt idx="54" formatCode="0">
                  <c:v>154.05187751534862</c:v>
                </c:pt>
                <c:pt idx="55">
                  <c:v>142.36387385097584</c:v>
                </c:pt>
                <c:pt idx="56">
                  <c:v>166.28641096702202</c:v>
                </c:pt>
                <c:pt idx="57" formatCode="0">
                  <c:v>179.03213529908268</c:v>
                </c:pt>
                <c:pt idx="58">
                  <c:v>175.90273917304239</c:v>
                </c:pt>
                <c:pt idx="59">
                  <c:v>175.55736931740182</c:v>
                </c:pt>
                <c:pt idx="60" formatCode="0">
                  <c:v>180.49000112812666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79-4B13-A5DE-CE09E7350F73}"/>
            </c:ext>
          </c:extLst>
        </c:ser>
        <c:ser>
          <c:idx val="3"/>
          <c:order val="3"/>
          <c:tx>
            <c:strRef>
              <c:f>'Bear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Assumptions'!$U$15:$U$75</c:f>
              <c:numCache>
                <c:formatCode>mmm\-yy</c:formatCode>
                <c:ptCount val="61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  <c:pt idx="59">
                  <c:v>46174</c:v>
                </c:pt>
                <c:pt idx="60">
                  <c:v>46204</c:v>
                </c:pt>
              </c:numCache>
            </c:numRef>
          </c:cat>
          <c:val>
            <c:numRef>
              <c:f>'Bear Assumptions'!$Y$15:$Y$75</c:f>
              <c:numCache>
                <c:formatCode>0.00</c:formatCode>
                <c:ptCount val="61"/>
                <c:pt idx="0" formatCode="0">
                  <c:v>100</c:v>
                </c:pt>
                <c:pt idx="1">
                  <c:v>97.740267106453047</c:v>
                </c:pt>
                <c:pt idx="2">
                  <c:v>101.58581643321996</c:v>
                </c:pt>
                <c:pt idx="3" formatCode="0">
                  <c:v>99.342996940781433</c:v>
                </c:pt>
                <c:pt idx="4">
                  <c:v>102.36468709638473</c:v>
                </c:pt>
                <c:pt idx="5">
                  <c:v>98.876397775859289</c:v>
                </c:pt>
                <c:pt idx="6" formatCode="0">
                  <c:v>96.977996633265064</c:v>
                </c:pt>
                <c:pt idx="7">
                  <c:v>99.262985733517681</c:v>
                </c:pt>
                <c:pt idx="8">
                  <c:v>96.273698693169266</c:v>
                </c:pt>
                <c:pt idx="9" formatCode="0">
                  <c:v>94.569716242104235</c:v>
                </c:pt>
                <c:pt idx="10">
                  <c:v>88.545527231145243</c:v>
                </c:pt>
                <c:pt idx="11">
                  <c:v>93.522366691647619</c:v>
                </c:pt>
                <c:pt idx="12" formatCode="0">
                  <c:v>89.175309395650572</c:v>
                </c:pt>
                <c:pt idx="13">
                  <c:v>87.762954981879304</c:v>
                </c:pt>
                <c:pt idx="14">
                  <c:v>93.569832414960331</c:v>
                </c:pt>
                <c:pt idx="15" formatCode="0">
                  <c:v>98.034742517670793</c:v>
                </c:pt>
                <c:pt idx="16">
                  <c:v>94.5440044555707</c:v>
                </c:pt>
                <c:pt idx="17">
                  <c:v>95.032499925968267</c:v>
                </c:pt>
                <c:pt idx="18" formatCode="0">
                  <c:v>93.442042273252213</c:v>
                </c:pt>
                <c:pt idx="19">
                  <c:v>94.743947052512411</c:v>
                </c:pt>
                <c:pt idx="20">
                  <c:v>96.26675110079475</c:v>
                </c:pt>
                <c:pt idx="21" formatCode="0">
                  <c:v>94.229113373318043</c:v>
                </c:pt>
                <c:pt idx="22">
                  <c:v>96.034604704772875</c:v>
                </c:pt>
                <c:pt idx="23">
                  <c:v>99.844932016100202</c:v>
                </c:pt>
                <c:pt idx="24" formatCode="0">
                  <c:v>99.195987025086495</c:v>
                </c:pt>
                <c:pt idx="25">
                  <c:v>95.408381757672529</c:v>
                </c:pt>
                <c:pt idx="26">
                  <c:v>96.985314384249691</c:v>
                </c:pt>
                <c:pt idx="27" formatCode="0">
                  <c:v>103.20449156152263</c:v>
                </c:pt>
                <c:pt idx="28">
                  <c:v>107.31621340270294</c:v>
                </c:pt>
                <c:pt idx="29">
                  <c:v>108.51179723964182</c:v>
                </c:pt>
                <c:pt idx="30" formatCode="0">
                  <c:v>111.29638656859551</c:v>
                </c:pt>
                <c:pt idx="31">
                  <c:v>113.34646732012</c:v>
                </c:pt>
                <c:pt idx="32">
                  <c:v>108.16148482577488</c:v>
                </c:pt>
                <c:pt idx="33" formatCode="0">
                  <c:v>110.15441878264514</c:v>
                </c:pt>
                <c:pt idx="34">
                  <c:v>111.4756287571099</c:v>
                </c:pt>
                <c:pt idx="35">
                  <c:v>114.71366238345698</c:v>
                </c:pt>
                <c:pt idx="36" formatCode="0">
                  <c:v>117.24084910968311</c:v>
                </c:pt>
                <c:pt idx="37">
                  <c:v>120.48093284525547</c:v>
                </c:pt>
                <c:pt idx="38">
                  <c:v>119.73830925214293</c:v>
                </c:pt>
                <c:pt idx="39" formatCode="0">
                  <c:v>126.12872749720387</c:v>
                </c:pt>
                <c:pt idx="40">
                  <c:v>121.9822392204118</c:v>
                </c:pt>
                <c:pt idx="41">
                  <c:v>126.49245104225275</c:v>
                </c:pt>
                <c:pt idx="42" formatCode="0">
                  <c:v>124.83146393743978</c:v>
                </c:pt>
                <c:pt idx="43">
                  <c:v>109.0967332648445</c:v>
                </c:pt>
                <c:pt idx="44">
                  <c:v>111.45256502832568</c:v>
                </c:pt>
                <c:pt idx="45" formatCode="0">
                  <c:v>118.4594966754062</c:v>
                </c:pt>
                <c:pt idx="46">
                  <c:v>120.17859868200756</c:v>
                </c:pt>
                <c:pt idx="47">
                  <c:v>127.85255614451903</c:v>
                </c:pt>
                <c:pt idx="48" formatCode="0">
                  <c:v>129.68330368267954</c:v>
                </c:pt>
                <c:pt idx="49">
                  <c:v>133.1383072020337</c:v>
                </c:pt>
                <c:pt idx="50">
                  <c:v>134.41632251407171</c:v>
                </c:pt>
                <c:pt idx="51" formatCode="0">
                  <c:v>131.67797453764342</c:v>
                </c:pt>
                <c:pt idx="52">
                  <c:v>137.05803061952022</c:v>
                </c:pt>
                <c:pt idx="53">
                  <c:v>139.80238655492812</c:v>
                </c:pt>
                <c:pt idx="54" formatCode="0">
                  <c:v>139.45845225865088</c:v>
                </c:pt>
                <c:pt idx="55">
                  <c:v>129.77609959886195</c:v>
                </c:pt>
                <c:pt idx="56">
                  <c:v>140.79532278969751</c:v>
                </c:pt>
                <c:pt idx="57" formatCode="0">
                  <c:v>144.01931886259939</c:v>
                </c:pt>
                <c:pt idx="58">
                  <c:v>145.78597201373117</c:v>
                </c:pt>
                <c:pt idx="59">
                  <c:v>150.62627989457883</c:v>
                </c:pt>
                <c:pt idx="60" formatCode="0">
                  <c:v>153.10406468322395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79-4B13-A5DE-CE09E7350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2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'Bull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'Bull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'Bull Assumptions'!$Q$7:$Q$12</c:f>
              <c:numCache>
                <c:formatCode>_(* #,##0_);_(* \(#,##0\);_(* "-"??_);_(@_)</c:formatCode>
                <c:ptCount val="6"/>
                <c:pt idx="0">
                  <c:v>16493369999.999998</c:v>
                </c:pt>
                <c:pt idx="1">
                  <c:v>19792044000</c:v>
                </c:pt>
                <c:pt idx="2">
                  <c:v>23354611920</c:v>
                </c:pt>
                <c:pt idx="3">
                  <c:v>26857803707.999992</c:v>
                </c:pt>
                <c:pt idx="4">
                  <c:v>31423630338.359993</c:v>
                </c:pt>
                <c:pt idx="5">
                  <c:v>36451411192.497589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6-4D25-8E9C-5D9F71AC6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#,##0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F40-4A55-8A89-1D90F87A57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'Bull Assumptions'!$S$7:$S$9</c:f>
              <c:strCache>
                <c:ptCount val="3"/>
                <c:pt idx="0">
                  <c:v>Intrinsic Value</c:v>
                </c:pt>
                <c:pt idx="1">
                  <c:v>Upside</c:v>
                </c:pt>
                <c:pt idx="2">
                  <c:v>Current Price</c:v>
                </c:pt>
              </c:strCache>
            </c:strRef>
          </c:cat>
          <c:val>
            <c:numRef>
              <c:f>'Bull Assumptions'!$T$7:$T$9</c:f>
              <c:numCache>
                <c:formatCode>"$"#,##0.00</c:formatCode>
                <c:ptCount val="3"/>
                <c:pt idx="0">
                  <c:v>616.70042449006417</c:v>
                </c:pt>
                <c:pt idx="1">
                  <c:v>56.7</c:v>
                </c:pt>
                <c:pt idx="2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40-4A55-8A89-1D90F87A5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MA vs Major Indices 5 Year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'Bull Assumptions'!$V$14</c:f>
              <c:strCache>
                <c:ptCount val="1"/>
                <c:pt idx="0">
                  <c:v>Mastercard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Assumptions'!$U$15:$U$75</c:f>
              <c:numCache>
                <c:formatCode>mmm\-yy</c:formatCode>
                <c:ptCount val="61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  <c:pt idx="59">
                  <c:v>46174</c:v>
                </c:pt>
                <c:pt idx="60">
                  <c:v>46204</c:v>
                </c:pt>
              </c:numCache>
            </c:numRef>
          </c:cat>
          <c:val>
            <c:numRef>
              <c:f>'Bull Assumptions'!$V$15:$V$75</c:f>
              <c:numCache>
                <c:formatCode>0.00</c:formatCode>
                <c:ptCount val="61"/>
                <c:pt idx="0" formatCode="0">
                  <c:v>100</c:v>
                </c:pt>
                <c:pt idx="1">
                  <c:v>100.89298290092678</c:v>
                </c:pt>
                <c:pt idx="2">
                  <c:v>94.515338460238311</c:v>
                </c:pt>
                <c:pt idx="3" formatCode="0">
                  <c:v>91.318065297614012</c:v>
                </c:pt>
                <c:pt idx="4">
                  <c:v>101.57469224485196</c:v>
                </c:pt>
                <c:pt idx="5">
                  <c:v>100.02535282684018</c:v>
                </c:pt>
                <c:pt idx="6" formatCode="0">
                  <c:v>103.97194287163019</c:v>
                </c:pt>
                <c:pt idx="7">
                  <c:v>98.318262486267216</c:v>
                </c:pt>
                <c:pt idx="8">
                  <c:v>98.926730330431838</c:v>
                </c:pt>
                <c:pt idx="9" formatCode="0">
                  <c:v>100.78593763204596</c:v>
                </c:pt>
                <c:pt idx="10">
                  <c:v>89.647595706921322</c:v>
                </c:pt>
                <c:pt idx="11">
                  <c:v>99.661962308797442</c:v>
                </c:pt>
                <c:pt idx="12" formatCode="0">
                  <c:v>93.512493309670688</c:v>
                </c:pt>
                <c:pt idx="13">
                  <c:v>82.700921152708517</c:v>
                </c:pt>
                <c:pt idx="14">
                  <c:v>85.177047240767351</c:v>
                </c:pt>
                <c:pt idx="15" formatCode="0">
                  <c:v>98.957717118792075</c:v>
                </c:pt>
                <c:pt idx="16">
                  <c:v>97.422462604580403</c:v>
                </c:pt>
                <c:pt idx="17">
                  <c:v>105.36353136708074</c:v>
                </c:pt>
                <c:pt idx="18" formatCode="0">
                  <c:v>99.473224597875998</c:v>
                </c:pt>
                <c:pt idx="19">
                  <c:v>99.053494464632806</c:v>
                </c:pt>
                <c:pt idx="20">
                  <c:v>105.70438603904336</c:v>
                </c:pt>
                <c:pt idx="21" formatCode="0">
                  <c:v>105.27902194428012</c:v>
                </c:pt>
                <c:pt idx="22">
                  <c:v>106.99174624637313</c:v>
                </c:pt>
                <c:pt idx="23">
                  <c:v>110.24254204343784</c:v>
                </c:pt>
                <c:pt idx="24" formatCode="0">
                  <c:v>113.49333784050255</c:v>
                </c:pt>
                <c:pt idx="25">
                  <c:v>113.30460012958112</c:v>
                </c:pt>
                <c:pt idx="26">
                  <c:v>108.28755739598299</c:v>
                </c:pt>
                <c:pt idx="27" formatCode="0">
                  <c:v>116.72441477224712</c:v>
                </c:pt>
                <c:pt idx="28">
                  <c:v>120.1470463956731</c:v>
                </c:pt>
                <c:pt idx="29">
                  <c:v>123.0400856362151</c:v>
                </c:pt>
                <c:pt idx="30" formatCode="0">
                  <c:v>131.87132031888223</c:v>
                </c:pt>
                <c:pt idx="31">
                  <c:v>135.657342460351</c:v>
                </c:pt>
                <c:pt idx="32">
                  <c:v>130.26282430491</c:v>
                </c:pt>
                <c:pt idx="33" formatCode="0">
                  <c:v>129.65717344150539</c:v>
                </c:pt>
                <c:pt idx="34">
                  <c:v>128.1303698695738</c:v>
                </c:pt>
                <c:pt idx="35">
                  <c:v>124.98661934138991</c:v>
                </c:pt>
                <c:pt idx="36" formatCode="0">
                  <c:v>136.15594805487476</c:v>
                </c:pt>
                <c:pt idx="37">
                  <c:v>139.05743823769683</c:v>
                </c:pt>
                <c:pt idx="38">
                  <c:v>143.12515845516774</c:v>
                </c:pt>
                <c:pt idx="39" formatCode="0">
                  <c:v>146.72525986647511</c:v>
                </c:pt>
                <c:pt idx="40">
                  <c:v>149.91971604833941</c:v>
                </c:pt>
                <c:pt idx="41">
                  <c:v>156.46356235386912</c:v>
                </c:pt>
                <c:pt idx="42" formatCode="0">
                  <c:v>157.04949435195357</c:v>
                </c:pt>
                <c:pt idx="43">
                  <c:v>137.96726668356854</c:v>
                </c:pt>
                <c:pt idx="44">
                  <c:v>157.5790867348376</c:v>
                </c:pt>
                <c:pt idx="45" formatCode="0">
                  <c:v>164.96239330685373</c:v>
                </c:pt>
                <c:pt idx="46">
                  <c:v>150.13662356686103</c:v>
                </c:pt>
                <c:pt idx="47">
                  <c:v>160.0664807459365</c:v>
                </c:pt>
                <c:pt idx="48" formatCode="0">
                  <c:v>168.72587960224232</c:v>
                </c:pt>
                <c:pt idx="49">
                  <c:v>159.19603369108987</c:v>
                </c:pt>
                <c:pt idx="50">
                  <c:v>158.024169694921</c:v>
                </c:pt>
                <c:pt idx="51" formatCode="0">
                  <c:v>153.73109101664835</c:v>
                </c:pt>
                <c:pt idx="52">
                  <c:v>163.27220485084086</c:v>
                </c:pt>
                <c:pt idx="53">
                  <c:v>151.77610636919349</c:v>
                </c:pt>
                <c:pt idx="54" formatCode="0">
                  <c:v>145.6970618890673</c:v>
                </c:pt>
                <c:pt idx="55">
                  <c:v>139.81238908138255</c:v>
                </c:pt>
                <c:pt idx="56">
                  <c:v>139.57012873602073</c:v>
                </c:pt>
                <c:pt idx="57" formatCode="0">
                  <c:v>140.43775881010734</c:v>
                </c:pt>
                <c:pt idx="58">
                  <c:v>151.94512521479479</c:v>
                </c:pt>
                <c:pt idx="59">
                  <c:v>161.44116735682695</c:v>
                </c:pt>
                <c:pt idx="60" formatCode="0">
                  <c:v>157.67486408067833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BF-42E6-B30A-913349AE032E}"/>
            </c:ext>
          </c:extLst>
        </c:ser>
        <c:ser>
          <c:idx val="1"/>
          <c:order val="1"/>
          <c:tx>
            <c:strRef>
              <c:f>'Bull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Assumptions'!$U$15:$U$75</c:f>
              <c:numCache>
                <c:formatCode>mmm\-yy</c:formatCode>
                <c:ptCount val="61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  <c:pt idx="59">
                  <c:v>46174</c:v>
                </c:pt>
                <c:pt idx="60">
                  <c:v>46204</c:v>
                </c:pt>
              </c:numCache>
            </c:numRef>
          </c:cat>
          <c:val>
            <c:numRef>
              <c:f>'Bull Assumptions'!$W$15:$W$75</c:f>
              <c:numCache>
                <c:formatCode>0.00</c:formatCode>
                <c:ptCount val="61"/>
                <c:pt idx="0" formatCode="0">
                  <c:v>100</c:v>
                </c:pt>
                <c:pt idx="1">
                  <c:v>98.804932839842365</c:v>
                </c:pt>
                <c:pt idx="2">
                  <c:v>100.78791494155502</c:v>
                </c:pt>
                <c:pt idx="3" formatCode="0">
                  <c:v>101.89050798670326</c:v>
                </c:pt>
                <c:pt idx="4">
                  <c:v>105.69503056968048</c:v>
                </c:pt>
                <c:pt idx="5">
                  <c:v>99.80396374659874</c:v>
                </c:pt>
                <c:pt idx="6" formatCode="0">
                  <c:v>97.234203447488227</c:v>
                </c:pt>
                <c:pt idx="7">
                  <c:v>100.74711101550773</c:v>
                </c:pt>
                <c:pt idx="8">
                  <c:v>94.73119304913989</c:v>
                </c:pt>
                <c:pt idx="9" formatCode="0">
                  <c:v>92.213324699459122</c:v>
                </c:pt>
                <c:pt idx="10">
                  <c:v>86.746929171924236</c:v>
                </c:pt>
                <c:pt idx="11">
                  <c:v>91.593504192381644</c:v>
                </c:pt>
                <c:pt idx="12" formatCode="0">
                  <c:v>87.024573277420131</c:v>
                </c:pt>
                <c:pt idx="13">
                  <c:v>79.514876800972203</c:v>
                </c:pt>
                <c:pt idx="14">
                  <c:v>86.510088992475659</c:v>
                </c:pt>
                <c:pt idx="15" formatCode="0">
                  <c:v>89.283425400887481</c:v>
                </c:pt>
                <c:pt idx="16">
                  <c:v>85.144931553631665</c:v>
                </c:pt>
                <c:pt idx="17">
                  <c:v>90.268928919117315</c:v>
                </c:pt>
                <c:pt idx="18" formatCode="0">
                  <c:v>89.716301833737305</c:v>
                </c:pt>
                <c:pt idx="19">
                  <c:v>88.060859942741445</c:v>
                </c:pt>
                <c:pt idx="20">
                  <c:v>91.665132823432103</c:v>
                </c:pt>
                <c:pt idx="21" formatCode="0">
                  <c:v>94.966037384379632</c:v>
                </c:pt>
                <c:pt idx="22">
                  <c:v>98.691835001341659</c:v>
                </c:pt>
                <c:pt idx="23">
                  <c:v>101.61574676728678</c:v>
                </c:pt>
                <c:pt idx="24" formatCode="0">
                  <c:v>100.14192669929503</c:v>
                </c:pt>
                <c:pt idx="25">
                  <c:v>95.801852586946751</c:v>
                </c:pt>
                <c:pt idx="26">
                  <c:v>91.30698966817981</c:v>
                </c:pt>
                <c:pt idx="27" formatCode="0">
                  <c:v>101.10813705683942</c:v>
                </c:pt>
                <c:pt idx="28">
                  <c:v>105.77597314037217</c:v>
                </c:pt>
                <c:pt idx="29">
                  <c:v>109.96236724864006</c:v>
                </c:pt>
                <c:pt idx="30" formatCode="0">
                  <c:v>113.92012631476238</c:v>
                </c:pt>
                <c:pt idx="31">
                  <c:v>116.07342045562908</c:v>
                </c:pt>
                <c:pt idx="32">
                  <c:v>110.15352477175304</c:v>
                </c:pt>
                <c:pt idx="33" formatCode="0">
                  <c:v>117.0343085619499</c:v>
                </c:pt>
                <c:pt idx="34">
                  <c:v>121.18366867212049</c:v>
                </c:pt>
                <c:pt idx="35">
                  <c:v>121.06125689397855</c:v>
                </c:pt>
                <c:pt idx="36" formatCode="0">
                  <c:v>125.25918254656415</c:v>
                </c:pt>
                <c:pt idx="37">
                  <c:v>127.53599726791103</c:v>
                </c:pt>
                <c:pt idx="38">
                  <c:v>127.0421367064579</c:v>
                </c:pt>
                <c:pt idx="39" formatCode="0">
                  <c:v>132.37636299527429</c:v>
                </c:pt>
                <c:pt idx="40">
                  <c:v>131.78049261870285</c:v>
                </c:pt>
                <c:pt idx="41">
                  <c:v>133.95507576446377</c:v>
                </c:pt>
                <c:pt idx="42" formatCode="0">
                  <c:v>132.04727046128394</c:v>
                </c:pt>
                <c:pt idx="43">
                  <c:v>112.523035368577</c:v>
                </c:pt>
                <c:pt idx="44">
                  <c:v>117.14940224465946</c:v>
                </c:pt>
                <c:pt idx="45" formatCode="0">
                  <c:v>128.68360768799189</c:v>
                </c:pt>
                <c:pt idx="46">
                  <c:v>139.25115925284464</c:v>
                </c:pt>
                <c:pt idx="47">
                  <c:v>138.33440147958584</c:v>
                </c:pt>
                <c:pt idx="48" formatCode="0">
                  <c:v>143.26302787307318</c:v>
                </c:pt>
                <c:pt idx="49">
                  <c:v>148.92967310289464</c:v>
                </c:pt>
                <c:pt idx="50">
                  <c:v>151.68859508090929</c:v>
                </c:pt>
                <c:pt idx="51" formatCode="0">
                  <c:v>151.88574013664882</c:v>
                </c:pt>
                <c:pt idx="52">
                  <c:v>153.6786735175867</c:v>
                </c:pt>
                <c:pt idx="53">
                  <c:v>153.88025378267918</c:v>
                </c:pt>
                <c:pt idx="54" formatCode="0">
                  <c:v>153.22561688218087</c:v>
                </c:pt>
                <c:pt idx="55">
                  <c:v>141.23591543829849</c:v>
                </c:pt>
                <c:pt idx="56">
                  <c:v>157.96131166881406</c:v>
                </c:pt>
                <c:pt idx="57" formatCode="0">
                  <c:v>165.73202021568426</c:v>
                </c:pt>
                <c:pt idx="58">
                  <c:v>164.66357828255389</c:v>
                </c:pt>
                <c:pt idx="59">
                  <c:v>165.94868019257677</c:v>
                </c:pt>
                <c:pt idx="60" formatCode="0">
                  <c:v>171.83109835742022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BF-42E6-B30A-913349AE032E}"/>
            </c:ext>
          </c:extLst>
        </c:ser>
        <c:ser>
          <c:idx val="2"/>
          <c:order val="2"/>
          <c:tx>
            <c:strRef>
              <c:f>'Bull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Assumptions'!$U$15:$U$75</c:f>
              <c:numCache>
                <c:formatCode>mmm\-yy</c:formatCode>
                <c:ptCount val="61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  <c:pt idx="59">
                  <c:v>46174</c:v>
                </c:pt>
                <c:pt idx="60">
                  <c:v>46204</c:v>
                </c:pt>
              </c:numCache>
            </c:numRef>
          </c:cat>
          <c:val>
            <c:numRef>
              <c:f>'Bull Assumptions'!$X$15:$X$75</c:f>
              <c:numCache>
                <c:formatCode>0.00</c:formatCode>
                <c:ptCount val="61"/>
                <c:pt idx="0" formatCode="0">
                  <c:v>100</c:v>
                </c:pt>
                <c:pt idx="1">
                  <c:v>102.2633210689204</c:v>
                </c:pt>
                <c:pt idx="2">
                  <c:v>105.32618490675286</c:v>
                </c:pt>
                <c:pt idx="3" formatCode="0">
                  <c:v>102.52000386009598</c:v>
                </c:pt>
                <c:pt idx="4">
                  <c:v>106.3794202516402</c:v>
                </c:pt>
                <c:pt idx="5">
                  <c:v>93.584017571591872</c:v>
                </c:pt>
                <c:pt idx="6" formatCode="0">
                  <c:v>90.477387856736087</c:v>
                </c:pt>
                <c:pt idx="7">
                  <c:v>96.293764178037407</c:v>
                </c:pt>
                <c:pt idx="8">
                  <c:v>87.255091181175786</c:v>
                </c:pt>
                <c:pt idx="9" formatCode="0">
                  <c:v>77.165357541390705</c:v>
                </c:pt>
                <c:pt idx="10">
                  <c:v>75.624241402791498</c:v>
                </c:pt>
                <c:pt idx="11">
                  <c:v>84.206430865544974</c:v>
                </c:pt>
                <c:pt idx="12" formatCode="0">
                  <c:v>82.514376818764418</c:v>
                </c:pt>
                <c:pt idx="13">
                  <c:v>73.857839732620405</c:v>
                </c:pt>
                <c:pt idx="14">
                  <c:v>75.451624434407591</c:v>
                </c:pt>
                <c:pt idx="15" formatCode="0">
                  <c:v>76.293709810488323</c:v>
                </c:pt>
                <c:pt idx="16">
                  <c:v>71.129608159481762</c:v>
                </c:pt>
                <c:pt idx="17">
                  <c:v>75.709734373746997</c:v>
                </c:pt>
                <c:pt idx="18" formatCode="0">
                  <c:v>79.437853134221243</c:v>
                </c:pt>
                <c:pt idx="19">
                  <c:v>80.354965728056243</c:v>
                </c:pt>
                <c:pt idx="20">
                  <c:v>82.043757721890955</c:v>
                </c:pt>
                <c:pt idx="21" formatCode="0">
                  <c:v>89.983526632623523</c:v>
                </c:pt>
                <c:pt idx="22">
                  <c:v>91.69440544327901</c:v>
                </c:pt>
                <c:pt idx="23">
                  <c:v>95.366185831001189</c:v>
                </c:pt>
                <c:pt idx="24" formatCode="0">
                  <c:v>92.36129139239371</c:v>
                </c:pt>
                <c:pt idx="25">
                  <c:v>89.786716104891312</c:v>
                </c:pt>
                <c:pt idx="26">
                  <c:v>85.921183364073656</c:v>
                </c:pt>
                <c:pt idx="27" formatCode="0">
                  <c:v>96.847973381647961</c:v>
                </c:pt>
                <c:pt idx="28">
                  <c:v>101.8913790736585</c:v>
                </c:pt>
                <c:pt idx="29">
                  <c:v>106.21346330802071</c:v>
                </c:pt>
                <c:pt idx="30" formatCode="0">
                  <c:v>110.6035749381909</c:v>
                </c:pt>
                <c:pt idx="31">
                  <c:v>111.64933474507737</c:v>
                </c:pt>
                <c:pt idx="32">
                  <c:v>103.85567862254376</c:v>
                </c:pt>
                <c:pt idx="33" formatCode="0">
                  <c:v>113.73025268677632</c:v>
                </c:pt>
                <c:pt idx="34">
                  <c:v>120.21589353746536</c:v>
                </c:pt>
                <c:pt idx="35">
                  <c:v>117.96317414061896</c:v>
                </c:pt>
                <c:pt idx="36" formatCode="0">
                  <c:v>121.49645319701577</c:v>
                </c:pt>
                <c:pt idx="37">
                  <c:v>123.26380629929608</c:v>
                </c:pt>
                <c:pt idx="38">
                  <c:v>125.85142979858183</c:v>
                </c:pt>
                <c:pt idx="39" formatCode="0">
                  <c:v>129.14773430035083</c:v>
                </c:pt>
                <c:pt idx="40">
                  <c:v>134.02980429041514</c:v>
                </c:pt>
                <c:pt idx="41">
                  <c:v>133.38697598177598</c:v>
                </c:pt>
                <c:pt idx="42" formatCode="0">
                  <c:v>132.68407153138432</c:v>
                </c:pt>
                <c:pt idx="43">
                  <c:v>105.93374226791514</c:v>
                </c:pt>
                <c:pt idx="44">
                  <c:v>110.68179624945462</c:v>
                </c:pt>
                <c:pt idx="45" formatCode="0">
                  <c:v>129.89610361367508</c:v>
                </c:pt>
                <c:pt idx="46">
                  <c:v>132.16350224877775</c:v>
                </c:pt>
                <c:pt idx="47">
                  <c:v>140.33711958006506</c:v>
                </c:pt>
                <c:pt idx="48" formatCode="0">
                  <c:v>146.08927423399521</c:v>
                </c:pt>
                <c:pt idx="49">
                  <c:v>154.81506198580192</c:v>
                </c:pt>
                <c:pt idx="50">
                  <c:v>157.69898862766792</c:v>
                </c:pt>
                <c:pt idx="51" formatCode="0">
                  <c:v>158.7919122833963</c:v>
                </c:pt>
                <c:pt idx="52">
                  <c:v>160.33737782592326</c:v>
                </c:pt>
                <c:pt idx="53">
                  <c:v>159.44520634523664</c:v>
                </c:pt>
                <c:pt idx="54" formatCode="0">
                  <c:v>154.05187751534862</c:v>
                </c:pt>
                <c:pt idx="55">
                  <c:v>142.36387385097584</c:v>
                </c:pt>
                <c:pt idx="56">
                  <c:v>166.28641096702202</c:v>
                </c:pt>
                <c:pt idx="57" formatCode="0">
                  <c:v>179.03213529908268</c:v>
                </c:pt>
                <c:pt idx="58">
                  <c:v>175.90273917304239</c:v>
                </c:pt>
                <c:pt idx="59">
                  <c:v>175.55736931740182</c:v>
                </c:pt>
                <c:pt idx="60" formatCode="0">
                  <c:v>180.49000112812666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BF-42E6-B30A-913349AE032E}"/>
            </c:ext>
          </c:extLst>
        </c:ser>
        <c:ser>
          <c:idx val="3"/>
          <c:order val="3"/>
          <c:tx>
            <c:strRef>
              <c:f>'Bull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Assumptions'!$U$15:$U$75</c:f>
              <c:numCache>
                <c:formatCode>mmm\-yy</c:formatCode>
                <c:ptCount val="61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  <c:pt idx="59">
                  <c:v>46174</c:v>
                </c:pt>
                <c:pt idx="60">
                  <c:v>46204</c:v>
                </c:pt>
              </c:numCache>
            </c:numRef>
          </c:cat>
          <c:val>
            <c:numRef>
              <c:f>'Bull Assumptions'!$Y$15:$Y$75</c:f>
              <c:numCache>
                <c:formatCode>0.00</c:formatCode>
                <c:ptCount val="61"/>
                <c:pt idx="0" formatCode="0">
                  <c:v>100</c:v>
                </c:pt>
                <c:pt idx="1">
                  <c:v>97.740267106453047</c:v>
                </c:pt>
                <c:pt idx="2">
                  <c:v>101.58581643321996</c:v>
                </c:pt>
                <c:pt idx="3" formatCode="0">
                  <c:v>99.342996940781433</c:v>
                </c:pt>
                <c:pt idx="4">
                  <c:v>102.36468709638473</c:v>
                </c:pt>
                <c:pt idx="5">
                  <c:v>98.876397775859289</c:v>
                </c:pt>
                <c:pt idx="6" formatCode="0">
                  <c:v>96.977996633265064</c:v>
                </c:pt>
                <c:pt idx="7">
                  <c:v>99.262985733517681</c:v>
                </c:pt>
                <c:pt idx="8">
                  <c:v>96.273698693169266</c:v>
                </c:pt>
                <c:pt idx="9" formatCode="0">
                  <c:v>94.569716242104235</c:v>
                </c:pt>
                <c:pt idx="10">
                  <c:v>88.545527231145243</c:v>
                </c:pt>
                <c:pt idx="11">
                  <c:v>93.522366691647619</c:v>
                </c:pt>
                <c:pt idx="12" formatCode="0">
                  <c:v>89.175309395650572</c:v>
                </c:pt>
                <c:pt idx="13">
                  <c:v>87.762954981879304</c:v>
                </c:pt>
                <c:pt idx="14">
                  <c:v>93.569832414960331</c:v>
                </c:pt>
                <c:pt idx="15" formatCode="0">
                  <c:v>98.034742517670793</c:v>
                </c:pt>
                <c:pt idx="16">
                  <c:v>94.5440044555707</c:v>
                </c:pt>
                <c:pt idx="17">
                  <c:v>95.032499925968267</c:v>
                </c:pt>
                <c:pt idx="18" formatCode="0">
                  <c:v>93.442042273252213</c:v>
                </c:pt>
                <c:pt idx="19">
                  <c:v>94.743947052512411</c:v>
                </c:pt>
                <c:pt idx="20">
                  <c:v>96.26675110079475</c:v>
                </c:pt>
                <c:pt idx="21" formatCode="0">
                  <c:v>94.229113373318043</c:v>
                </c:pt>
                <c:pt idx="22">
                  <c:v>96.034604704772875</c:v>
                </c:pt>
                <c:pt idx="23">
                  <c:v>99.844932016100202</c:v>
                </c:pt>
                <c:pt idx="24" formatCode="0">
                  <c:v>99.195987025086495</c:v>
                </c:pt>
                <c:pt idx="25">
                  <c:v>95.408381757672529</c:v>
                </c:pt>
                <c:pt idx="26">
                  <c:v>96.985314384249691</c:v>
                </c:pt>
                <c:pt idx="27" formatCode="0">
                  <c:v>103.20449156152263</c:v>
                </c:pt>
                <c:pt idx="28">
                  <c:v>107.31621340270294</c:v>
                </c:pt>
                <c:pt idx="29">
                  <c:v>108.51179723964182</c:v>
                </c:pt>
                <c:pt idx="30" formatCode="0">
                  <c:v>111.29638656859551</c:v>
                </c:pt>
                <c:pt idx="31">
                  <c:v>113.34646732012</c:v>
                </c:pt>
                <c:pt idx="32">
                  <c:v>108.16148482577488</c:v>
                </c:pt>
                <c:pt idx="33" formatCode="0">
                  <c:v>110.15441878264514</c:v>
                </c:pt>
                <c:pt idx="34">
                  <c:v>111.4756287571099</c:v>
                </c:pt>
                <c:pt idx="35">
                  <c:v>114.71366238345698</c:v>
                </c:pt>
                <c:pt idx="36" formatCode="0">
                  <c:v>117.24084910968311</c:v>
                </c:pt>
                <c:pt idx="37">
                  <c:v>120.48093284525547</c:v>
                </c:pt>
                <c:pt idx="38">
                  <c:v>119.73830925214293</c:v>
                </c:pt>
                <c:pt idx="39" formatCode="0">
                  <c:v>126.12872749720387</c:v>
                </c:pt>
                <c:pt idx="40">
                  <c:v>121.9822392204118</c:v>
                </c:pt>
                <c:pt idx="41">
                  <c:v>126.49245104225275</c:v>
                </c:pt>
                <c:pt idx="42" formatCode="0">
                  <c:v>124.83146393743978</c:v>
                </c:pt>
                <c:pt idx="43">
                  <c:v>109.0967332648445</c:v>
                </c:pt>
                <c:pt idx="44">
                  <c:v>111.45256502832568</c:v>
                </c:pt>
                <c:pt idx="45" formatCode="0">
                  <c:v>118.4594966754062</c:v>
                </c:pt>
                <c:pt idx="46">
                  <c:v>120.17859868200756</c:v>
                </c:pt>
                <c:pt idx="47">
                  <c:v>127.85255614451903</c:v>
                </c:pt>
                <c:pt idx="48" formatCode="0">
                  <c:v>129.68330368267954</c:v>
                </c:pt>
                <c:pt idx="49">
                  <c:v>133.1383072020337</c:v>
                </c:pt>
                <c:pt idx="50">
                  <c:v>134.41632251407171</c:v>
                </c:pt>
                <c:pt idx="51" formatCode="0">
                  <c:v>131.67797453764342</c:v>
                </c:pt>
                <c:pt idx="52">
                  <c:v>137.05803061952022</c:v>
                </c:pt>
                <c:pt idx="53">
                  <c:v>139.80238655492812</c:v>
                </c:pt>
                <c:pt idx="54" formatCode="0">
                  <c:v>139.45845225865088</c:v>
                </c:pt>
                <c:pt idx="55">
                  <c:v>129.77609959886195</c:v>
                </c:pt>
                <c:pt idx="56">
                  <c:v>140.79532278969751</c:v>
                </c:pt>
                <c:pt idx="57" formatCode="0">
                  <c:v>144.01931886259939</c:v>
                </c:pt>
                <c:pt idx="58">
                  <c:v>145.78597201373117</c:v>
                </c:pt>
                <c:pt idx="59">
                  <c:v>150.62627989457883</c:v>
                </c:pt>
                <c:pt idx="60" formatCode="0">
                  <c:v>153.10406468322395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BF-42E6-B30A-913349AE0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2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F467AF-9725-9CF4-C007-1D70B4422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FE658E-833F-7947-7C40-F6E708349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B5B30A-4157-F3C8-4D90-932080E7B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2E803C-42FF-4DE9-9D4D-2E56CB13F2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0962A2-3905-48C3-893A-7A069C61E5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3E9FA9-BDF5-4BE3-AD73-D476F9BDF1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73C4B8-FC78-4EC1-BE91-E5312707F0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68076A-5029-4AB1-9775-8AED9F73EA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D1A094-DFBD-4058-96E9-9A67397054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B3542-D794-4EDA-BFBB-0AD0B90E61FD}">
  <dimension ref="B2:C28"/>
  <sheetViews>
    <sheetView showGridLines="0" tabSelected="1" workbookViewId="0"/>
  </sheetViews>
  <sheetFormatPr defaultRowHeight="15" x14ac:dyDescent="0.25"/>
  <cols>
    <col min="2" max="2" width="41" bestFit="1" customWidth="1"/>
    <col min="3" max="3" width="20.42578125" bestFit="1" customWidth="1"/>
  </cols>
  <sheetData>
    <row r="2" spans="2:3" x14ac:dyDescent="0.25">
      <c r="B2" s="3" t="s">
        <v>103</v>
      </c>
    </row>
    <row r="3" spans="2:3" x14ac:dyDescent="0.25">
      <c r="B3" s="63" t="s">
        <v>104</v>
      </c>
      <c r="C3" s="64" t="s">
        <v>125</v>
      </c>
    </row>
    <row r="4" spans="2:3" x14ac:dyDescent="0.25">
      <c r="B4" s="65" t="s">
        <v>105</v>
      </c>
      <c r="C4" s="66">
        <v>0.74</v>
      </c>
    </row>
    <row r="5" spans="2:3" x14ac:dyDescent="0.25">
      <c r="B5" s="65" t="s">
        <v>33</v>
      </c>
      <c r="C5" s="67">
        <v>486897600000</v>
      </c>
    </row>
    <row r="6" spans="2:3" x14ac:dyDescent="0.25">
      <c r="B6" s="65" t="s">
        <v>106</v>
      </c>
      <c r="C6" s="67">
        <v>24640000000</v>
      </c>
    </row>
    <row r="7" spans="2:3" x14ac:dyDescent="0.25">
      <c r="B7" s="65" t="s">
        <v>107</v>
      </c>
      <c r="C7" s="67">
        <v>748000000</v>
      </c>
    </row>
    <row r="8" spans="2:3" x14ac:dyDescent="0.25">
      <c r="B8" s="65" t="s">
        <v>108</v>
      </c>
      <c r="C8" s="68">
        <v>0.2</v>
      </c>
    </row>
    <row r="9" spans="2:3" x14ac:dyDescent="0.25">
      <c r="B9" s="42" t="s">
        <v>109</v>
      </c>
      <c r="C9" s="69">
        <v>4.7E-2</v>
      </c>
    </row>
    <row r="11" spans="2:3" x14ac:dyDescent="0.25">
      <c r="B11" s="3" t="s">
        <v>110</v>
      </c>
    </row>
    <row r="12" spans="2:3" x14ac:dyDescent="0.25">
      <c r="B12" t="s">
        <v>111</v>
      </c>
      <c r="C12" s="70">
        <f>C5+C6</f>
        <v>511537600000</v>
      </c>
    </row>
    <row r="13" spans="2:3" x14ac:dyDescent="0.25">
      <c r="B13" t="s">
        <v>112</v>
      </c>
      <c r="C13" s="71">
        <f>C5/C12</f>
        <v>0.95183149782147003</v>
      </c>
    </row>
    <row r="14" spans="2:3" x14ac:dyDescent="0.25">
      <c r="B14" t="s">
        <v>113</v>
      </c>
      <c r="C14" s="71">
        <f>C6/C12</f>
        <v>4.8168502178529984E-2</v>
      </c>
    </row>
    <row r="16" spans="2:3" ht="18" x14ac:dyDescent="0.35">
      <c r="B16" s="3" t="s">
        <v>114</v>
      </c>
    </row>
    <row r="17" spans="2:3" x14ac:dyDescent="0.25">
      <c r="B17" t="s">
        <v>115</v>
      </c>
      <c r="C17" t="s">
        <v>116</v>
      </c>
    </row>
    <row r="18" spans="2:3" x14ac:dyDescent="0.25">
      <c r="B18" t="s">
        <v>117</v>
      </c>
      <c r="C18" s="21">
        <f>9%-C9</f>
        <v>4.2999999999999997E-2</v>
      </c>
    </row>
    <row r="19" spans="2:3" x14ac:dyDescent="0.25">
      <c r="B19" t="s">
        <v>118</v>
      </c>
      <c r="C19" s="21">
        <f>C9+(0.74*C18)</f>
        <v>7.8820000000000001E-2</v>
      </c>
    </row>
    <row r="21" spans="2:3" ht="18" x14ac:dyDescent="0.35">
      <c r="B21" s="3" t="s">
        <v>119</v>
      </c>
    </row>
    <row r="22" spans="2:3" x14ac:dyDescent="0.25">
      <c r="B22" t="s">
        <v>120</v>
      </c>
      <c r="C22" s="71">
        <f>C7/C6</f>
        <v>3.0357142857142857E-2</v>
      </c>
    </row>
    <row r="23" spans="2:3" x14ac:dyDescent="0.25">
      <c r="B23" t="s">
        <v>121</v>
      </c>
      <c r="C23" t="s">
        <v>122</v>
      </c>
    </row>
    <row r="24" spans="2:3" x14ac:dyDescent="0.25">
      <c r="B24" t="s">
        <v>118</v>
      </c>
      <c r="C24" s="71">
        <f>C22*(1-C8)</f>
        <v>2.4285714285714285E-2</v>
      </c>
    </row>
    <row r="26" spans="2:3" x14ac:dyDescent="0.25">
      <c r="B26" s="3" t="s">
        <v>123</v>
      </c>
    </row>
    <row r="27" spans="2:3" ht="18" x14ac:dyDescent="0.35">
      <c r="B27" t="s">
        <v>115</v>
      </c>
      <c r="C27" t="s">
        <v>124</v>
      </c>
    </row>
    <row r="28" spans="2:3" x14ac:dyDescent="0.25">
      <c r="B28" t="s">
        <v>118</v>
      </c>
      <c r="C28" s="21">
        <f>(C13*C19)+(C14*C24)</f>
        <v>7.6193165139766858E-2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5"/>
  <sheetViews>
    <sheetView showGridLines="0" zoomScaleNormal="100" workbookViewId="0"/>
  </sheetViews>
  <sheetFormatPr defaultRowHeight="15" x14ac:dyDescent="0.25"/>
  <cols>
    <col min="1" max="1" width="37.5703125" customWidth="1"/>
    <col min="2" max="2" width="29.85546875" customWidth="1"/>
    <col min="3" max="3" width="20.85546875" bestFit="1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2.5703125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8" customFormat="1" ht="33.75" x14ac:dyDescent="0.5">
      <c r="A1" s="27" t="s">
        <v>0</v>
      </c>
    </row>
    <row r="3" spans="1:26" s="1" customFormat="1" ht="21" x14ac:dyDescent="0.35">
      <c r="A3" s="2" t="s">
        <v>62</v>
      </c>
    </row>
    <row r="5" spans="1:26" x14ac:dyDescent="0.25">
      <c r="A5" s="37" t="s">
        <v>1</v>
      </c>
      <c r="B5" s="38"/>
      <c r="C5" s="39"/>
      <c r="P5" t="s">
        <v>57</v>
      </c>
    </row>
    <row r="6" spans="1:26" x14ac:dyDescent="0.25">
      <c r="A6" s="40" t="s">
        <v>2</v>
      </c>
      <c r="B6" s="31">
        <v>0.19500000000000001</v>
      </c>
      <c r="C6" s="41"/>
      <c r="P6" t="s">
        <v>58</v>
      </c>
      <c r="Q6" t="s">
        <v>59</v>
      </c>
      <c r="S6" t="s">
        <v>60</v>
      </c>
      <c r="T6" t="s">
        <v>61</v>
      </c>
    </row>
    <row r="7" spans="1:26" x14ac:dyDescent="0.25">
      <c r="A7" s="40" t="s">
        <v>3</v>
      </c>
      <c r="B7" s="32">
        <f>'WACC Input'!C28</f>
        <v>7.6193165139766858E-2</v>
      </c>
      <c r="C7" s="41"/>
      <c r="P7">
        <v>2026</v>
      </c>
      <c r="Q7" s="26">
        <f>D28</f>
        <v>14681722499.999998</v>
      </c>
      <c r="R7" s="26"/>
      <c r="S7" t="s">
        <v>41</v>
      </c>
      <c r="T7" s="16">
        <f>B40</f>
        <v>434.0316175505082</v>
      </c>
    </row>
    <row r="8" spans="1:26" x14ac:dyDescent="0.25">
      <c r="A8" s="40" t="s">
        <v>4</v>
      </c>
      <c r="B8" s="32">
        <v>2.5000000000000001E-2</v>
      </c>
      <c r="C8" s="41"/>
      <c r="P8">
        <v>2027</v>
      </c>
      <c r="Q8" s="26">
        <f>E28</f>
        <v>17177615325</v>
      </c>
      <c r="R8" s="26"/>
      <c r="S8" t="s">
        <v>72</v>
      </c>
      <c r="T8" s="16">
        <v>125.97</v>
      </c>
    </row>
    <row r="9" spans="1:26" x14ac:dyDescent="0.25">
      <c r="A9" s="40" t="s">
        <v>5</v>
      </c>
      <c r="B9" s="33" t="s">
        <v>90</v>
      </c>
      <c r="C9" s="41"/>
      <c r="P9">
        <v>2028</v>
      </c>
      <c r="Q9" s="26">
        <f>F28</f>
        <v>19754257623.75</v>
      </c>
      <c r="R9" s="26"/>
      <c r="S9" t="s">
        <v>8</v>
      </c>
      <c r="T9" s="16">
        <f>B12</f>
        <v>560</v>
      </c>
    </row>
    <row r="10" spans="1:26" x14ac:dyDescent="0.25">
      <c r="A10" s="40" t="s">
        <v>6</v>
      </c>
      <c r="B10" s="34">
        <v>46246</v>
      </c>
      <c r="C10" s="41"/>
      <c r="P10">
        <v>2029</v>
      </c>
      <c r="Q10" s="26">
        <f>G28</f>
        <v>22124768538.600006</v>
      </c>
      <c r="R10" s="26"/>
    </row>
    <row r="11" spans="1:26" x14ac:dyDescent="0.25">
      <c r="A11" s="40" t="s">
        <v>7</v>
      </c>
      <c r="B11" s="34">
        <v>46387</v>
      </c>
      <c r="C11" s="41"/>
      <c r="P11">
        <v>2030</v>
      </c>
      <c r="Q11" s="26">
        <f>H28</f>
        <v>25000988448.618</v>
      </c>
      <c r="R11" s="26"/>
    </row>
    <row r="12" spans="1:26" x14ac:dyDescent="0.25">
      <c r="A12" s="40" t="s">
        <v>8</v>
      </c>
      <c r="B12" s="35">
        <v>560</v>
      </c>
      <c r="C12" s="41" t="s">
        <v>88</v>
      </c>
      <c r="P12">
        <v>2031</v>
      </c>
      <c r="Q12" s="26">
        <f>I28</f>
        <v>27501087293.479805</v>
      </c>
      <c r="R12" s="26"/>
    </row>
    <row r="13" spans="1:26" x14ac:dyDescent="0.25">
      <c r="A13" s="40" t="s">
        <v>9</v>
      </c>
      <c r="B13" s="36">
        <v>869460000</v>
      </c>
      <c r="C13" s="41"/>
    </row>
    <row r="14" spans="1:26" x14ac:dyDescent="0.25">
      <c r="A14" s="40" t="s">
        <v>10</v>
      </c>
      <c r="B14" s="35">
        <v>24640000000</v>
      </c>
      <c r="C14" s="41"/>
      <c r="P14" s="6" t="s">
        <v>16</v>
      </c>
      <c r="Q14" s="6" t="s">
        <v>89</v>
      </c>
      <c r="R14" s="6" t="s">
        <v>63</v>
      </c>
      <c r="S14" s="6" t="s">
        <v>69</v>
      </c>
      <c r="T14" s="6" t="s">
        <v>64</v>
      </c>
      <c r="U14" s="6" t="s">
        <v>16</v>
      </c>
      <c r="V14" s="6" t="s">
        <v>95</v>
      </c>
      <c r="W14" s="6" t="s">
        <v>65</v>
      </c>
      <c r="X14" s="6" t="s">
        <v>70</v>
      </c>
      <c r="Y14" s="6" t="s">
        <v>66</v>
      </c>
      <c r="Z14" t="s">
        <v>67</v>
      </c>
    </row>
    <row r="15" spans="1:26" x14ac:dyDescent="0.25">
      <c r="A15" s="40" t="s">
        <v>11</v>
      </c>
      <c r="B15" s="35">
        <v>12100000000</v>
      </c>
      <c r="C15" s="41"/>
      <c r="P15" s="56">
        <v>44409</v>
      </c>
      <c r="Q15" s="6">
        <v>354.99</v>
      </c>
      <c r="R15" s="6">
        <v>4509.37</v>
      </c>
      <c r="S15" s="6">
        <v>14714.66</v>
      </c>
      <c r="T15" s="6">
        <v>35120.080000000002</v>
      </c>
      <c r="U15" s="56">
        <v>44378</v>
      </c>
      <c r="V15" s="57">
        <f>(Q15/$Q$15)*100</f>
        <v>100</v>
      </c>
      <c r="W15" s="57">
        <f>(R15/$R$15)*100</f>
        <v>100</v>
      </c>
      <c r="X15" s="57">
        <f>(S15/$S$15)*100</f>
        <v>100</v>
      </c>
      <c r="Y15" s="57">
        <f>(T15/$T$15)*100</f>
        <v>100</v>
      </c>
      <c r="Z15" t="s">
        <v>68</v>
      </c>
    </row>
    <row r="16" spans="1:26" x14ac:dyDescent="0.25">
      <c r="A16" s="40" t="s">
        <v>12</v>
      </c>
      <c r="B16" s="35" t="s">
        <v>99</v>
      </c>
      <c r="C16" s="41"/>
      <c r="P16" s="56">
        <v>44440</v>
      </c>
      <c r="Q16" s="6">
        <v>358.16</v>
      </c>
      <c r="R16" s="6">
        <v>4455.4799999999996</v>
      </c>
      <c r="S16" s="6">
        <v>15047.7</v>
      </c>
      <c r="T16" s="6">
        <v>34326.46</v>
      </c>
      <c r="U16" s="56">
        <v>44409</v>
      </c>
      <c r="V16" s="58">
        <f>(Q16/$Q$15)*100</f>
        <v>100.89298290092678</v>
      </c>
      <c r="W16" s="58">
        <f>(R16/$R$15)*100</f>
        <v>98.804932839842365</v>
      </c>
      <c r="X16" s="58">
        <f>(S16/$S$15)*100</f>
        <v>102.2633210689204</v>
      </c>
      <c r="Y16" s="58">
        <f>(T16/$T$15)*100</f>
        <v>97.740267106453047</v>
      </c>
      <c r="Z16" t="s">
        <v>73</v>
      </c>
    </row>
    <row r="17" spans="1:25" x14ac:dyDescent="0.25">
      <c r="A17" s="42" t="s">
        <v>77</v>
      </c>
      <c r="B17" s="43"/>
      <c r="C17" s="44"/>
      <c r="P17" s="56">
        <v>44470</v>
      </c>
      <c r="Q17" s="6">
        <v>335.52</v>
      </c>
      <c r="R17" s="6">
        <v>4544.8999999999996</v>
      </c>
      <c r="S17" s="6">
        <v>15498.39</v>
      </c>
      <c r="T17" s="6">
        <v>35677.019999999997</v>
      </c>
      <c r="U17" s="56">
        <v>44440</v>
      </c>
      <c r="V17" s="58">
        <f>(Q17/$Q$15)*100</f>
        <v>94.515338460238311</v>
      </c>
      <c r="W17" s="58">
        <f>(R17/$R$15)*100</f>
        <v>100.78791494155502</v>
      </c>
      <c r="X17" s="58">
        <f>(S17/$S$15)*100</f>
        <v>105.32618490675286</v>
      </c>
      <c r="Y17" s="58">
        <f>(T17/$T$15)*100</f>
        <v>101.58581643321996</v>
      </c>
    </row>
    <row r="18" spans="1:25" x14ac:dyDescent="0.25">
      <c r="P18" s="56">
        <v>44501</v>
      </c>
      <c r="Q18" s="6">
        <v>324.17</v>
      </c>
      <c r="R18" s="6">
        <v>4594.62</v>
      </c>
      <c r="S18" s="6">
        <v>15085.47</v>
      </c>
      <c r="T18" s="6">
        <v>34889.339999999997</v>
      </c>
      <c r="U18" s="56">
        <v>44470</v>
      </c>
      <c r="V18" s="57">
        <f t="shared" ref="V18:V74" si="0">(Q18/$Q$15)*100</f>
        <v>91.318065297614012</v>
      </c>
      <c r="W18" s="57">
        <f t="shared" ref="W18:W74" si="1">(R18/$R$15)*100</f>
        <v>101.89050798670326</v>
      </c>
      <c r="X18" s="57">
        <f t="shared" ref="X18:X74" si="2">(S18/$S$15)*100</f>
        <v>102.52000386009598</v>
      </c>
      <c r="Y18" s="57">
        <f t="shared" ref="Y18:Y74" si="3">(T18/$T$15)*100</f>
        <v>99.342996940781433</v>
      </c>
    </row>
    <row r="19" spans="1:25" x14ac:dyDescent="0.25">
      <c r="A19" s="11" t="s">
        <v>43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56">
        <v>44531</v>
      </c>
      <c r="Q19" s="6">
        <v>360.58</v>
      </c>
      <c r="R19" s="6">
        <v>4766.18</v>
      </c>
      <c r="S19" s="6">
        <v>15653.37</v>
      </c>
      <c r="T19" s="6">
        <v>35950.559999999998</v>
      </c>
      <c r="U19" s="56">
        <v>44501</v>
      </c>
      <c r="V19" s="58">
        <f t="shared" si="0"/>
        <v>101.57469224485196</v>
      </c>
      <c r="W19" s="58">
        <f t="shared" si="1"/>
        <v>105.69503056968048</v>
      </c>
      <c r="X19" s="58">
        <f t="shared" si="2"/>
        <v>106.3794202516402</v>
      </c>
      <c r="Y19" s="58">
        <f t="shared" si="3"/>
        <v>102.36468709638473</v>
      </c>
    </row>
    <row r="20" spans="1:25" x14ac:dyDescent="0.25">
      <c r="A20" t="s">
        <v>16</v>
      </c>
      <c r="C20" s="7">
        <v>46246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3">
        <f>I28*(1+B8)/(B7-B8)</f>
        <v>550632382249.79138</v>
      </c>
      <c r="P20" s="56">
        <v>44562</v>
      </c>
      <c r="Q20" s="58">
        <v>355.08</v>
      </c>
      <c r="R20" s="6">
        <v>4500.53</v>
      </c>
      <c r="S20" s="6">
        <v>13770.57</v>
      </c>
      <c r="T20" s="6">
        <v>34725.47</v>
      </c>
      <c r="U20" s="56">
        <v>44531</v>
      </c>
      <c r="V20" s="58">
        <f t="shared" si="0"/>
        <v>100.02535282684018</v>
      </c>
      <c r="W20" s="58">
        <f t="shared" si="1"/>
        <v>99.80396374659874</v>
      </c>
      <c r="X20" s="58">
        <f t="shared" si="2"/>
        <v>93.584017571591872</v>
      </c>
      <c r="Y20" s="58">
        <f t="shared" si="3"/>
        <v>98.876397775859289</v>
      </c>
    </row>
    <row r="21" spans="1:25" x14ac:dyDescent="0.25">
      <c r="A21" t="s">
        <v>18</v>
      </c>
      <c r="B21" t="s">
        <v>84</v>
      </c>
      <c r="D21" s="5">
        <v>32790000000</v>
      </c>
      <c r="E21" s="5">
        <f>D21*1.17</f>
        <v>38364300000</v>
      </c>
      <c r="F21" s="5">
        <f>E21*1.15</f>
        <v>44118945000</v>
      </c>
      <c r="G21" s="5">
        <f>F21*1.12</f>
        <v>49413218400.000008</v>
      </c>
      <c r="H21" s="5">
        <f>G21*1.13</f>
        <v>55836936792</v>
      </c>
      <c r="I21" s="5">
        <f>H21*1.1</f>
        <v>61420630471.200005</v>
      </c>
      <c r="L21" t="s">
        <v>19</v>
      </c>
      <c r="M21" s="13">
        <f>(I22+I25)*22</f>
        <v>783727244812.51208</v>
      </c>
      <c r="P21" s="56">
        <v>44593</v>
      </c>
      <c r="Q21" s="6">
        <v>369.09</v>
      </c>
      <c r="R21" s="6">
        <v>4384.6499999999996</v>
      </c>
      <c r="S21" s="6">
        <v>13313.44</v>
      </c>
      <c r="T21" s="6">
        <v>34058.75</v>
      </c>
      <c r="U21" s="56">
        <v>44562</v>
      </c>
      <c r="V21" s="57">
        <f t="shared" si="0"/>
        <v>103.97194287163019</v>
      </c>
      <c r="W21" s="57">
        <f t="shared" si="1"/>
        <v>97.234203447488227</v>
      </c>
      <c r="X21" s="57">
        <f t="shared" si="2"/>
        <v>90.477387856736087</v>
      </c>
      <c r="Y21" s="57">
        <f t="shared" si="3"/>
        <v>96.977996633265064</v>
      </c>
    </row>
    <row r="22" spans="1:25" x14ac:dyDescent="0.25">
      <c r="A22" t="s">
        <v>76</v>
      </c>
      <c r="B22" t="s">
        <v>91</v>
      </c>
      <c r="C22" s="25">
        <v>0.55000000000000004</v>
      </c>
      <c r="D22" s="5">
        <f>D21*$C$22</f>
        <v>18034500000</v>
      </c>
      <c r="E22" s="5">
        <f t="shared" ref="E22:I22" si="4">E21*$C$22</f>
        <v>21100365000</v>
      </c>
      <c r="F22" s="5">
        <f t="shared" si="4"/>
        <v>24265419750.000004</v>
      </c>
      <c r="G22" s="5">
        <f t="shared" si="4"/>
        <v>27177270120.000008</v>
      </c>
      <c r="H22" s="5">
        <f t="shared" si="4"/>
        <v>30710315235.600002</v>
      </c>
      <c r="I22" s="5">
        <f t="shared" si="4"/>
        <v>33781346759.160004</v>
      </c>
      <c r="L22" t="s">
        <v>20</v>
      </c>
      <c r="M22" s="13">
        <f>(M20+M21)/2</f>
        <v>667179813531.15173</v>
      </c>
      <c r="P22" s="56">
        <v>44621</v>
      </c>
      <c r="Q22" s="6">
        <v>349.02</v>
      </c>
      <c r="R22" s="6">
        <v>4543.0600000000004</v>
      </c>
      <c r="S22" s="6">
        <v>14169.3</v>
      </c>
      <c r="T22" s="6">
        <v>34861.24</v>
      </c>
      <c r="U22" s="56">
        <v>44593</v>
      </c>
      <c r="V22" s="58">
        <f t="shared" si="0"/>
        <v>98.318262486267216</v>
      </c>
      <c r="W22" s="58">
        <f t="shared" si="1"/>
        <v>100.74711101550773</v>
      </c>
      <c r="X22" s="58">
        <f t="shared" si="2"/>
        <v>96.293764178037407</v>
      </c>
      <c r="Y22" s="58">
        <f t="shared" si="3"/>
        <v>99.262985733517681</v>
      </c>
    </row>
    <row r="23" spans="1:25" x14ac:dyDescent="0.25">
      <c r="A23" t="s">
        <v>21</v>
      </c>
      <c r="B23" t="s">
        <v>22</v>
      </c>
      <c r="C23" s="25"/>
      <c r="D23" s="5">
        <f>D22*$B$6</f>
        <v>3516727500</v>
      </c>
      <c r="E23" s="30">
        <f t="shared" ref="E23:I23" si="5">E22*$B$6</f>
        <v>4114571175</v>
      </c>
      <c r="F23" s="5">
        <f t="shared" si="5"/>
        <v>4731756851.250001</v>
      </c>
      <c r="G23" s="30">
        <f t="shared" si="5"/>
        <v>5299567673.4000015</v>
      </c>
      <c r="H23" s="30">
        <f t="shared" si="5"/>
        <v>5988511470.9420004</v>
      </c>
      <c r="I23" s="5">
        <f t="shared" si="5"/>
        <v>6587362618.0362005</v>
      </c>
      <c r="P23" s="56">
        <v>44652</v>
      </c>
      <c r="Q23" s="6">
        <v>351.18</v>
      </c>
      <c r="R23" s="6">
        <v>4271.78</v>
      </c>
      <c r="S23" s="6">
        <v>12839.29</v>
      </c>
      <c r="T23" s="6">
        <v>33811.4</v>
      </c>
      <c r="U23" s="56">
        <v>44621</v>
      </c>
      <c r="V23" s="58">
        <f t="shared" si="0"/>
        <v>98.926730330431838</v>
      </c>
      <c r="W23" s="58">
        <f t="shared" si="1"/>
        <v>94.73119304913989</v>
      </c>
      <c r="X23" s="58">
        <f t="shared" si="2"/>
        <v>87.255091181175786</v>
      </c>
      <c r="Y23" s="58">
        <f t="shared" si="3"/>
        <v>96.273698693169266</v>
      </c>
    </row>
    <row r="24" spans="1:25" x14ac:dyDescent="0.25">
      <c r="A24" t="s">
        <v>23</v>
      </c>
      <c r="B24" t="s">
        <v>24</v>
      </c>
      <c r="C24" s="25"/>
      <c r="D24" s="5">
        <f>D22*(1-$B$6)</f>
        <v>14517772499.999998</v>
      </c>
      <c r="E24" s="5">
        <f t="shared" ref="E24:I24" si="6">E22*(1-$B$6)</f>
        <v>16985793824.999998</v>
      </c>
      <c r="F24" s="5">
        <f t="shared" si="6"/>
        <v>19533662898.75</v>
      </c>
      <c r="G24" s="5">
        <f t="shared" si="6"/>
        <v>21877702446.600006</v>
      </c>
      <c r="H24" s="5">
        <f t="shared" si="6"/>
        <v>24721803764.658001</v>
      </c>
      <c r="I24" s="5">
        <f t="shared" si="6"/>
        <v>27193984141.123802</v>
      </c>
      <c r="P24" s="56">
        <v>44682</v>
      </c>
      <c r="Q24" s="6">
        <v>357.78</v>
      </c>
      <c r="R24" s="6">
        <v>4158.24</v>
      </c>
      <c r="S24" s="6">
        <v>11354.62</v>
      </c>
      <c r="T24" s="6">
        <v>33212.959999999999</v>
      </c>
      <c r="U24" s="56">
        <v>44652</v>
      </c>
      <c r="V24" s="57">
        <f t="shared" si="0"/>
        <v>100.78593763204596</v>
      </c>
      <c r="W24" s="57">
        <f t="shared" si="1"/>
        <v>92.213324699459122</v>
      </c>
      <c r="X24" s="57">
        <f t="shared" si="2"/>
        <v>77.165357541390705</v>
      </c>
      <c r="Y24" s="57">
        <f t="shared" si="3"/>
        <v>94.569716242104235</v>
      </c>
    </row>
    <row r="25" spans="1:25" x14ac:dyDescent="0.25">
      <c r="A25" s="4" t="s">
        <v>25</v>
      </c>
      <c r="B25" s="8" t="s">
        <v>87</v>
      </c>
      <c r="C25" s="25">
        <v>0.03</v>
      </c>
      <c r="D25" s="12">
        <f>D21*$C$25</f>
        <v>983700000</v>
      </c>
      <c r="E25" s="12">
        <f t="shared" ref="E25:I25" si="7">E21*$C$25</f>
        <v>1150929000</v>
      </c>
      <c r="F25" s="12">
        <f t="shared" si="7"/>
        <v>1323568350</v>
      </c>
      <c r="G25" s="12">
        <f t="shared" si="7"/>
        <v>1482396552.0000002</v>
      </c>
      <c r="H25" s="12">
        <f t="shared" si="7"/>
        <v>1675108103.76</v>
      </c>
      <c r="I25" s="12">
        <f t="shared" si="7"/>
        <v>1842618914.1360002</v>
      </c>
      <c r="P25" s="56">
        <v>44713</v>
      </c>
      <c r="Q25" s="6">
        <v>318.24</v>
      </c>
      <c r="R25" s="6">
        <v>3911.74</v>
      </c>
      <c r="S25" s="6">
        <v>11127.85</v>
      </c>
      <c r="T25" s="6">
        <v>31097.26</v>
      </c>
      <c r="U25" s="56">
        <v>44682</v>
      </c>
      <c r="V25" s="58">
        <f t="shared" si="0"/>
        <v>89.647595706921322</v>
      </c>
      <c r="W25" s="58">
        <f t="shared" si="1"/>
        <v>86.746929171924236</v>
      </c>
      <c r="X25" s="58">
        <f t="shared" si="2"/>
        <v>75.624241402791498</v>
      </c>
      <c r="Y25" s="58">
        <f t="shared" si="3"/>
        <v>88.545527231145243</v>
      </c>
    </row>
    <row r="26" spans="1:25" x14ac:dyDescent="0.25">
      <c r="A26" t="s">
        <v>26</v>
      </c>
      <c r="B26" t="s">
        <v>85</v>
      </c>
      <c r="C26" s="25">
        <v>0.02</v>
      </c>
      <c r="D26" s="10">
        <f>D21*$C$26</f>
        <v>655800000</v>
      </c>
      <c r="E26" s="10">
        <f t="shared" ref="E26:I26" si="8">E21*$C$26</f>
        <v>767286000</v>
      </c>
      <c r="F26" s="10">
        <f t="shared" si="8"/>
        <v>882378900</v>
      </c>
      <c r="G26" s="10">
        <f t="shared" si="8"/>
        <v>988264368.00000012</v>
      </c>
      <c r="H26" s="10">
        <f t="shared" si="8"/>
        <v>1116738735.8399999</v>
      </c>
      <c r="I26" s="10">
        <f t="shared" si="8"/>
        <v>1228412609.424</v>
      </c>
      <c r="P26" s="56">
        <v>44743</v>
      </c>
      <c r="Q26" s="6">
        <v>353.79</v>
      </c>
      <c r="R26" s="6">
        <v>4130.29</v>
      </c>
      <c r="S26" s="6">
        <v>12390.69</v>
      </c>
      <c r="T26" s="6">
        <v>32845.129999999997</v>
      </c>
      <c r="U26" s="56">
        <v>44713</v>
      </c>
      <c r="V26" s="58">
        <f t="shared" si="0"/>
        <v>99.661962308797442</v>
      </c>
      <c r="W26" s="58">
        <f t="shared" si="1"/>
        <v>91.593504192381644</v>
      </c>
      <c r="X26" s="58">
        <f t="shared" si="2"/>
        <v>84.206430865544974</v>
      </c>
      <c r="Y26" s="58">
        <f t="shared" si="3"/>
        <v>93.522366691647619</v>
      </c>
    </row>
    <row r="27" spans="1:25" x14ac:dyDescent="0.25">
      <c r="A27" t="s">
        <v>27</v>
      </c>
      <c r="B27" t="s">
        <v>94</v>
      </c>
      <c r="C27" s="61">
        <v>5.0000000000000001E-3</v>
      </c>
      <c r="D27" s="10">
        <f>D21*$C$27</f>
        <v>163950000</v>
      </c>
      <c r="E27" s="10">
        <f t="shared" ref="E27:I27" si="9">E21*$C$27</f>
        <v>191821500</v>
      </c>
      <c r="F27" s="10">
        <f t="shared" si="9"/>
        <v>220594725</v>
      </c>
      <c r="G27" s="10">
        <f t="shared" si="9"/>
        <v>247066092.00000003</v>
      </c>
      <c r="H27" s="10">
        <f t="shared" si="9"/>
        <v>279184683.95999998</v>
      </c>
      <c r="I27" s="10">
        <f t="shared" si="9"/>
        <v>307103152.35600001</v>
      </c>
      <c r="P27" s="56">
        <v>44774</v>
      </c>
      <c r="Q27" s="6">
        <v>331.96</v>
      </c>
      <c r="R27" s="6">
        <v>3924.26</v>
      </c>
      <c r="S27" s="6">
        <v>12141.71</v>
      </c>
      <c r="T27" s="6">
        <v>31318.44</v>
      </c>
      <c r="U27" s="56">
        <v>44743</v>
      </c>
      <c r="V27" s="57">
        <f t="shared" si="0"/>
        <v>93.512493309670688</v>
      </c>
      <c r="W27" s="57">
        <f t="shared" si="1"/>
        <v>87.024573277420131</v>
      </c>
      <c r="X27" s="57">
        <f t="shared" si="2"/>
        <v>82.514376818764418</v>
      </c>
      <c r="Y27" s="57">
        <f t="shared" si="3"/>
        <v>89.175309395650572</v>
      </c>
    </row>
    <row r="28" spans="1:25" ht="30" x14ac:dyDescent="0.25">
      <c r="A28" s="8" t="s">
        <v>28</v>
      </c>
      <c r="B28" s="9" t="s">
        <v>29</v>
      </c>
      <c r="C28" s="18"/>
      <c r="D28" s="12">
        <f>D24+D25-D26-D27</f>
        <v>14681722499.999998</v>
      </c>
      <c r="E28" s="12">
        <f t="shared" ref="E28:I28" si="10">E24+E25-E26-E27</f>
        <v>17177615325</v>
      </c>
      <c r="F28" s="12">
        <f t="shared" si="10"/>
        <v>19754257623.75</v>
      </c>
      <c r="G28" s="12">
        <f t="shared" si="10"/>
        <v>22124768538.600006</v>
      </c>
      <c r="H28" s="12">
        <f t="shared" si="10"/>
        <v>25000988448.618</v>
      </c>
      <c r="I28" s="12">
        <f t="shared" si="10"/>
        <v>27501087293.479805</v>
      </c>
      <c r="P28" s="56">
        <v>44805</v>
      </c>
      <c r="Q28" s="6">
        <v>293.58</v>
      </c>
      <c r="R28" s="6">
        <v>3585.62</v>
      </c>
      <c r="S28" s="6">
        <v>10867.93</v>
      </c>
      <c r="T28" s="6">
        <v>30822.42</v>
      </c>
      <c r="U28" s="56">
        <v>44774</v>
      </c>
      <c r="V28" s="58">
        <f t="shared" si="0"/>
        <v>82.700921152708517</v>
      </c>
      <c r="W28" s="58">
        <f t="shared" si="1"/>
        <v>79.514876800972203</v>
      </c>
      <c r="X28" s="58">
        <f t="shared" si="2"/>
        <v>73.857839732620405</v>
      </c>
      <c r="Y28" s="58">
        <f t="shared" si="3"/>
        <v>87.762954981879304</v>
      </c>
    </row>
    <row r="29" spans="1:25" x14ac:dyDescent="0.25">
      <c r="A29" t="s">
        <v>35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56">
        <v>44835</v>
      </c>
      <c r="Q29" s="6">
        <v>302.37</v>
      </c>
      <c r="R29" s="6">
        <v>3901.06</v>
      </c>
      <c r="S29" s="6">
        <v>11102.45</v>
      </c>
      <c r="T29" s="6">
        <v>32861.800000000003</v>
      </c>
      <c r="U29" s="56">
        <v>44805</v>
      </c>
      <c r="V29" s="58">
        <f t="shared" si="0"/>
        <v>85.177047240767351</v>
      </c>
      <c r="W29" s="58">
        <f t="shared" si="1"/>
        <v>86.510088992475659</v>
      </c>
      <c r="X29" s="58">
        <f t="shared" si="2"/>
        <v>75.451624434407591</v>
      </c>
      <c r="Y29" s="58">
        <f t="shared" si="3"/>
        <v>93.569832414960331</v>
      </c>
    </row>
    <row r="30" spans="1:25" x14ac:dyDescent="0.25">
      <c r="A30" t="s">
        <v>36</v>
      </c>
      <c r="C30" s="13">
        <f>-G39</f>
        <v>-499437600000</v>
      </c>
      <c r="D30" s="5">
        <f>D28</f>
        <v>14681722499.999998</v>
      </c>
      <c r="E30" s="5">
        <f t="shared" ref="E30:I30" si="11">E28</f>
        <v>17177615325</v>
      </c>
      <c r="F30" s="5">
        <f t="shared" si="11"/>
        <v>19754257623.75</v>
      </c>
      <c r="G30" s="5">
        <f t="shared" si="11"/>
        <v>22124768538.600006</v>
      </c>
      <c r="H30" s="5">
        <f t="shared" si="11"/>
        <v>25000988448.618</v>
      </c>
      <c r="I30" s="5">
        <f t="shared" si="11"/>
        <v>27501087293.479805</v>
      </c>
      <c r="J30" s="13">
        <f>I28+M22</f>
        <v>694680900824.63159</v>
      </c>
      <c r="K30" t="s">
        <v>38</v>
      </c>
      <c r="P30" s="56">
        <v>44866</v>
      </c>
      <c r="Q30" s="6">
        <v>351.29</v>
      </c>
      <c r="R30" s="6">
        <v>4026.12</v>
      </c>
      <c r="S30" s="6">
        <v>11226.36</v>
      </c>
      <c r="T30" s="6">
        <v>34429.879999999997</v>
      </c>
      <c r="U30" s="56">
        <v>44835</v>
      </c>
      <c r="V30" s="57">
        <f t="shared" si="0"/>
        <v>98.957717118792075</v>
      </c>
      <c r="W30" s="57">
        <f t="shared" si="1"/>
        <v>89.283425400887481</v>
      </c>
      <c r="X30" s="57">
        <f t="shared" si="2"/>
        <v>76.293709810488323</v>
      </c>
      <c r="Y30" s="57">
        <f t="shared" si="3"/>
        <v>98.034742517670793</v>
      </c>
    </row>
    <row r="31" spans="1:25" x14ac:dyDescent="0.25">
      <c r="A31" t="s">
        <v>37</v>
      </c>
      <c r="D31" s="6">
        <f>1/(1+$B$7)^D29</f>
        <v>0.96395083802977977</v>
      </c>
      <c r="E31" s="6">
        <f t="shared" ref="E31:I31" si="12">1/(1+$B$7)^E29</f>
        <v>0.8957042929227208</v>
      </c>
      <c r="F31" s="6">
        <f t="shared" si="12"/>
        <v>0.83228952007551005</v>
      </c>
      <c r="G31" s="6">
        <f t="shared" si="12"/>
        <v>0.77336443589791737</v>
      </c>
      <c r="H31" s="6">
        <f t="shared" si="12"/>
        <v>0.7186111759011955</v>
      </c>
      <c r="I31" s="6">
        <f t="shared" si="12"/>
        <v>0.69270584522752288</v>
      </c>
      <c r="J31" t="s">
        <v>39</v>
      </c>
      <c r="P31" s="56">
        <v>44896</v>
      </c>
      <c r="Q31" s="6">
        <v>345.84</v>
      </c>
      <c r="R31" s="6">
        <v>3839.5</v>
      </c>
      <c r="S31" s="6">
        <v>10466.48</v>
      </c>
      <c r="T31" s="6">
        <v>33203.93</v>
      </c>
      <c r="U31" s="56">
        <v>44866</v>
      </c>
      <c r="V31" s="58">
        <f t="shared" si="0"/>
        <v>97.422462604580403</v>
      </c>
      <c r="W31" s="58">
        <f t="shared" si="1"/>
        <v>85.144931553631665</v>
      </c>
      <c r="X31" s="58">
        <f t="shared" si="2"/>
        <v>71.129608159481762</v>
      </c>
      <c r="Y31" s="58">
        <f t="shared" si="3"/>
        <v>94.5440044555707</v>
      </c>
    </row>
    <row r="32" spans="1:25" x14ac:dyDescent="0.25">
      <c r="A32" t="s">
        <v>40</v>
      </c>
      <c r="C32" s="13">
        <f>-G39</f>
        <v>-499437600000</v>
      </c>
      <c r="D32" s="5">
        <f>D30*D31</f>
        <v>14152458707.595671</v>
      </c>
      <c r="E32" s="5">
        <f t="shared" ref="E32:I32" si="13">E30*E31</f>
        <v>15386063788.777618</v>
      </c>
      <c r="F32" s="5">
        <f t="shared" si="13"/>
        <v>16441261597.118874</v>
      </c>
      <c r="G32" s="5">
        <f t="shared" si="13"/>
        <v>17110509140.226383</v>
      </c>
      <c r="H32" s="5">
        <f t="shared" si="13"/>
        <v>17965989707.753586</v>
      </c>
      <c r="I32" s="5">
        <f t="shared" si="13"/>
        <v>19050163918.305817</v>
      </c>
      <c r="J32" s="14">
        <f>M22</f>
        <v>667179813531.15173</v>
      </c>
      <c r="P32" s="56">
        <v>44927</v>
      </c>
      <c r="Q32" s="6">
        <v>374.03</v>
      </c>
      <c r="R32" s="6">
        <v>4070.56</v>
      </c>
      <c r="S32" s="6">
        <v>11140.43</v>
      </c>
      <c r="T32" s="6">
        <v>33375.49</v>
      </c>
      <c r="U32" s="56">
        <v>44896</v>
      </c>
      <c r="V32" s="58">
        <f t="shared" si="0"/>
        <v>105.36353136708074</v>
      </c>
      <c r="W32" s="58">
        <f t="shared" si="1"/>
        <v>90.268928919117315</v>
      </c>
      <c r="X32" s="58">
        <f t="shared" si="2"/>
        <v>75.709734373746997</v>
      </c>
      <c r="Y32" s="58">
        <f t="shared" si="3"/>
        <v>95.032499925968267</v>
      </c>
    </row>
    <row r="33" spans="1:25" x14ac:dyDescent="0.25">
      <c r="A33" t="s">
        <v>55</v>
      </c>
      <c r="C33" s="29">
        <v>-499438</v>
      </c>
      <c r="D33" s="45">
        <v>14142</v>
      </c>
      <c r="E33" s="24">
        <v>15386</v>
      </c>
      <c r="F33" s="24">
        <v>16441</v>
      </c>
      <c r="G33" s="24">
        <v>17111</v>
      </c>
      <c r="H33" s="24">
        <v>17966</v>
      </c>
      <c r="I33" s="24">
        <v>19050</v>
      </c>
      <c r="J33" s="24">
        <v>667180</v>
      </c>
      <c r="P33" s="56">
        <v>44958</v>
      </c>
      <c r="Q33" s="6">
        <v>353.12</v>
      </c>
      <c r="R33" s="6">
        <v>4045.64</v>
      </c>
      <c r="S33" s="6">
        <v>11689.01</v>
      </c>
      <c r="T33" s="6">
        <v>32816.92</v>
      </c>
      <c r="U33" s="56">
        <v>44927</v>
      </c>
      <c r="V33" s="57">
        <f t="shared" si="0"/>
        <v>99.473224597875998</v>
      </c>
      <c r="W33" s="57">
        <f t="shared" si="1"/>
        <v>89.716301833737305</v>
      </c>
      <c r="X33" s="57">
        <f t="shared" si="2"/>
        <v>79.437853134221243</v>
      </c>
      <c r="Y33" s="57">
        <f t="shared" si="3"/>
        <v>93.442042273252213</v>
      </c>
    </row>
    <row r="34" spans="1:25" x14ac:dyDescent="0.25">
      <c r="P34" s="56">
        <v>44986</v>
      </c>
      <c r="Q34" s="6">
        <v>351.63</v>
      </c>
      <c r="R34" s="6">
        <v>3970.99</v>
      </c>
      <c r="S34" s="6">
        <v>11823.96</v>
      </c>
      <c r="T34" s="6">
        <v>33274.15</v>
      </c>
      <c r="U34" s="56">
        <v>44958</v>
      </c>
      <c r="V34" s="58">
        <f t="shared" si="0"/>
        <v>99.053494464632806</v>
      </c>
      <c r="W34" s="58">
        <f t="shared" si="1"/>
        <v>88.060859942741445</v>
      </c>
      <c r="X34" s="58">
        <f t="shared" si="2"/>
        <v>80.354965728056243</v>
      </c>
      <c r="Y34" s="58">
        <f t="shared" si="3"/>
        <v>94.743947052512411</v>
      </c>
    </row>
    <row r="35" spans="1:25" x14ac:dyDescent="0.25">
      <c r="A35" s="3" t="s">
        <v>41</v>
      </c>
      <c r="F35" s="3" t="s">
        <v>31</v>
      </c>
      <c r="P35" s="56">
        <v>45017</v>
      </c>
      <c r="Q35" s="6">
        <v>375.24</v>
      </c>
      <c r="R35" s="6">
        <v>4133.5200000000004</v>
      </c>
      <c r="S35" s="6">
        <v>12072.46</v>
      </c>
      <c r="T35" s="6">
        <v>33808.959999999999</v>
      </c>
      <c r="U35" s="56">
        <v>44986</v>
      </c>
      <c r="V35" s="58">
        <f t="shared" si="0"/>
        <v>105.70438603904336</v>
      </c>
      <c r="W35" s="58">
        <f t="shared" si="1"/>
        <v>91.665132823432103</v>
      </c>
      <c r="X35" s="58">
        <f t="shared" si="2"/>
        <v>82.043757721890955</v>
      </c>
      <c r="Y35" s="58">
        <f t="shared" si="3"/>
        <v>96.26675110079475</v>
      </c>
    </row>
    <row r="36" spans="1:25" x14ac:dyDescent="0.25">
      <c r="A36" s="13" t="s">
        <v>42</v>
      </c>
      <c r="B36" s="17">
        <f>SUM(D32:I32)</f>
        <v>100106446859.77795</v>
      </c>
      <c r="C36" t="s">
        <v>45</v>
      </c>
      <c r="F36" t="s">
        <v>33</v>
      </c>
      <c r="G36" s="15">
        <f>B13*B12</f>
        <v>486897600000</v>
      </c>
      <c r="H36" t="s">
        <v>34</v>
      </c>
      <c r="L36" s="3" t="s">
        <v>51</v>
      </c>
      <c r="P36" s="56">
        <v>45047</v>
      </c>
      <c r="Q36" s="6">
        <v>373.73</v>
      </c>
      <c r="R36" s="6">
        <v>4282.37</v>
      </c>
      <c r="S36" s="6">
        <v>13240.77</v>
      </c>
      <c r="T36" s="6">
        <v>33093.339999999997</v>
      </c>
      <c r="U36" s="56">
        <v>45017</v>
      </c>
      <c r="V36" s="57">
        <f t="shared" si="0"/>
        <v>105.27902194428012</v>
      </c>
      <c r="W36" s="57">
        <f t="shared" si="1"/>
        <v>94.966037384379632</v>
      </c>
      <c r="X36" s="57">
        <f t="shared" si="2"/>
        <v>89.983526632623523</v>
      </c>
      <c r="Y36" s="57">
        <f t="shared" si="3"/>
        <v>94.229113373318043</v>
      </c>
    </row>
    <row r="37" spans="1:25" x14ac:dyDescent="0.25">
      <c r="A37" t="s">
        <v>11</v>
      </c>
      <c r="B37" s="19">
        <f>B15</f>
        <v>12100000000</v>
      </c>
      <c r="F37" t="s">
        <v>10</v>
      </c>
      <c r="G37" s="14">
        <f>B14</f>
        <v>24640000000</v>
      </c>
      <c r="L37" t="s">
        <v>52</v>
      </c>
      <c r="M37" s="21">
        <f>(B40/B12)-1</f>
        <v>-0.22494354008837825</v>
      </c>
      <c r="P37" s="56">
        <v>45078</v>
      </c>
      <c r="Q37" s="6">
        <v>379.81</v>
      </c>
      <c r="R37" s="6">
        <v>4450.38</v>
      </c>
      <c r="S37" s="6">
        <v>13492.52</v>
      </c>
      <c r="T37" s="6">
        <v>33727.43</v>
      </c>
      <c r="U37" s="56">
        <v>45047</v>
      </c>
      <c r="V37" s="58">
        <f t="shared" si="0"/>
        <v>106.99174624637313</v>
      </c>
      <c r="W37" s="58">
        <f t="shared" si="1"/>
        <v>98.691835001341659</v>
      </c>
      <c r="X37" s="58">
        <f t="shared" si="2"/>
        <v>91.69440544327901</v>
      </c>
      <c r="Y37" s="58">
        <f t="shared" si="3"/>
        <v>96.034604704772875</v>
      </c>
    </row>
    <row r="38" spans="1:25" x14ac:dyDescent="0.25">
      <c r="A38" t="s">
        <v>10</v>
      </c>
      <c r="B38" s="19">
        <f>B14</f>
        <v>24640000000</v>
      </c>
      <c r="C38" s="3"/>
      <c r="F38" t="s">
        <v>11</v>
      </c>
      <c r="G38" s="14">
        <f>B15</f>
        <v>12100000000</v>
      </c>
      <c r="L38" t="s">
        <v>53</v>
      </c>
      <c r="M38" s="23">
        <f>IRR(C33:J33)</f>
        <v>6.8222701906566652E-2</v>
      </c>
      <c r="N38" t="s">
        <v>56</v>
      </c>
      <c r="P38" s="56">
        <v>45108</v>
      </c>
      <c r="Q38" s="6">
        <v>391.35</v>
      </c>
      <c r="R38" s="6">
        <v>4582.2299999999996</v>
      </c>
      <c r="S38" s="6">
        <v>14032.81</v>
      </c>
      <c r="T38" s="6">
        <v>35065.620000000003</v>
      </c>
      <c r="U38" s="56">
        <v>45078</v>
      </c>
      <c r="V38" s="58">
        <f t="shared" si="0"/>
        <v>110.24254204343784</v>
      </c>
      <c r="W38" s="58">
        <f t="shared" si="1"/>
        <v>101.61574676728678</v>
      </c>
      <c r="X38" s="58">
        <f t="shared" si="2"/>
        <v>95.366185831001189</v>
      </c>
      <c r="Y38" s="58">
        <f t="shared" si="3"/>
        <v>99.844932016100202</v>
      </c>
    </row>
    <row r="39" spans="1:25" x14ac:dyDescent="0.25">
      <c r="A39" t="s">
        <v>44</v>
      </c>
      <c r="B39" s="17">
        <f>(((B36+B37)-B38)+(M22))/2</f>
        <v>377373130195.46484</v>
      </c>
      <c r="C39" t="s">
        <v>74</v>
      </c>
      <c r="F39" t="s">
        <v>30</v>
      </c>
      <c r="G39" s="13">
        <f>G36+G37-G38</f>
        <v>499437600000</v>
      </c>
      <c r="H39" t="s">
        <v>32</v>
      </c>
      <c r="P39" s="56">
        <v>45139</v>
      </c>
      <c r="Q39" s="6">
        <v>402.89</v>
      </c>
      <c r="R39" s="6">
        <v>4515.7700000000004</v>
      </c>
      <c r="S39" s="6">
        <v>13590.65</v>
      </c>
      <c r="T39" s="6">
        <v>34837.71</v>
      </c>
      <c r="U39" s="56">
        <v>45108</v>
      </c>
      <c r="V39" s="57">
        <f t="shared" si="0"/>
        <v>113.49333784050255</v>
      </c>
      <c r="W39" s="57">
        <f t="shared" si="1"/>
        <v>100.14192669929503</v>
      </c>
      <c r="X39" s="57">
        <f t="shared" si="2"/>
        <v>92.36129139239371</v>
      </c>
      <c r="Y39" s="57">
        <f t="shared" si="3"/>
        <v>99.195987025086495</v>
      </c>
    </row>
    <row r="40" spans="1:25" x14ac:dyDescent="0.25">
      <c r="A40" t="s">
        <v>71</v>
      </c>
      <c r="B40" s="20">
        <f>B39/B13</f>
        <v>434.0316175505082</v>
      </c>
      <c r="C40" t="s">
        <v>75</v>
      </c>
      <c r="F40" t="s">
        <v>48</v>
      </c>
      <c r="G40" s="16">
        <f>G39/B13</f>
        <v>574.42274515216343</v>
      </c>
      <c r="H40" t="s">
        <v>49</v>
      </c>
      <c r="L40" s="46" t="s">
        <v>80</v>
      </c>
      <c r="M40" s="47"/>
      <c r="P40" s="56">
        <v>45170</v>
      </c>
      <c r="Q40" s="6">
        <v>402.22</v>
      </c>
      <c r="R40" s="6">
        <v>4320.0600000000004</v>
      </c>
      <c r="S40" s="6">
        <v>13211.81</v>
      </c>
      <c r="T40" s="6">
        <v>33507.5</v>
      </c>
      <c r="U40" s="56">
        <v>45139</v>
      </c>
      <c r="V40" s="58">
        <f t="shared" si="0"/>
        <v>113.30460012958112</v>
      </c>
      <c r="W40" s="58">
        <f t="shared" si="1"/>
        <v>95.801852586946751</v>
      </c>
      <c r="X40" s="58">
        <f t="shared" si="2"/>
        <v>89.786716104891312</v>
      </c>
      <c r="Y40" s="58">
        <f t="shared" si="3"/>
        <v>95.408381757672529</v>
      </c>
    </row>
    <row r="41" spans="1:25" x14ac:dyDescent="0.25">
      <c r="A41" t="s">
        <v>46</v>
      </c>
      <c r="B41" s="22">
        <f>(B40/B12)-1</f>
        <v>-0.22494354008837825</v>
      </c>
      <c r="C41" t="s">
        <v>47</v>
      </c>
      <c r="F41" t="s">
        <v>46</v>
      </c>
      <c r="G41" s="21">
        <f>(G40/B12)-1</f>
        <v>2.5754902057434803E-2</v>
      </c>
      <c r="H41" t="s">
        <v>50</v>
      </c>
      <c r="L41" s="48" t="s">
        <v>41</v>
      </c>
      <c r="M41" s="49">
        <f>B40</f>
        <v>434.0316175505082</v>
      </c>
      <c r="P41" s="56">
        <v>45200</v>
      </c>
      <c r="Q41" s="6">
        <v>384.41</v>
      </c>
      <c r="R41" s="6">
        <v>4117.37</v>
      </c>
      <c r="S41" s="6">
        <v>12643.01</v>
      </c>
      <c r="T41" s="6">
        <v>34061.32</v>
      </c>
      <c r="U41" s="56">
        <v>45170</v>
      </c>
      <c r="V41" s="58">
        <f t="shared" si="0"/>
        <v>108.28755739598299</v>
      </c>
      <c r="W41" s="58">
        <f t="shared" si="1"/>
        <v>91.30698966817981</v>
      </c>
      <c r="X41" s="58">
        <f t="shared" si="2"/>
        <v>85.921183364073656</v>
      </c>
      <c r="Y41" s="58">
        <f t="shared" si="3"/>
        <v>96.985314384249691</v>
      </c>
    </row>
    <row r="42" spans="1:25" x14ac:dyDescent="0.25">
      <c r="L42" s="48" t="s">
        <v>8</v>
      </c>
      <c r="M42" s="53">
        <f>B12</f>
        <v>560</v>
      </c>
      <c r="P42" s="56">
        <v>45231</v>
      </c>
      <c r="Q42" s="6">
        <v>414.36</v>
      </c>
      <c r="R42" s="6">
        <v>4559.34</v>
      </c>
      <c r="S42" s="6">
        <v>14250.85</v>
      </c>
      <c r="T42" s="6">
        <v>36245.5</v>
      </c>
      <c r="U42" s="56">
        <v>45200</v>
      </c>
      <c r="V42" s="57">
        <f t="shared" si="0"/>
        <v>116.72441477224712</v>
      </c>
      <c r="W42" s="57">
        <f t="shared" si="1"/>
        <v>101.10813705683942</v>
      </c>
      <c r="X42" s="57">
        <f t="shared" si="2"/>
        <v>96.847973381647961</v>
      </c>
      <c r="Y42" s="57">
        <f t="shared" si="3"/>
        <v>103.20449156152263</v>
      </c>
    </row>
    <row r="43" spans="1:25" x14ac:dyDescent="0.25">
      <c r="L43" s="48" t="s">
        <v>83</v>
      </c>
      <c r="M43" s="49">
        <f>(B40-B12)</f>
        <v>-125.9683824494918</v>
      </c>
      <c r="P43" s="56">
        <v>45261</v>
      </c>
      <c r="Q43" s="6">
        <v>426.51</v>
      </c>
      <c r="R43" s="6">
        <v>4769.83</v>
      </c>
      <c r="S43" s="6">
        <v>14992.97</v>
      </c>
      <c r="T43" s="6">
        <v>37689.54</v>
      </c>
      <c r="U43" s="56">
        <v>45231</v>
      </c>
      <c r="V43" s="58">
        <f t="shared" si="0"/>
        <v>120.1470463956731</v>
      </c>
      <c r="W43" s="58">
        <f t="shared" si="1"/>
        <v>105.77597314037217</v>
      </c>
      <c r="X43" s="58">
        <f t="shared" si="2"/>
        <v>101.8913790736585</v>
      </c>
      <c r="Y43" s="58">
        <f t="shared" si="3"/>
        <v>107.31621340270294</v>
      </c>
    </row>
    <row r="44" spans="1:25" x14ac:dyDescent="0.25">
      <c r="L44" s="48" t="s">
        <v>82</v>
      </c>
      <c r="M44" s="54">
        <f>((B40-B12)/(B12))</f>
        <v>-0.22494354008837822</v>
      </c>
      <c r="P44" s="56">
        <v>45292</v>
      </c>
      <c r="Q44" s="6">
        <v>436.78</v>
      </c>
      <c r="R44" s="6">
        <v>4958.6099999999997</v>
      </c>
      <c r="S44" s="6">
        <v>15628.95</v>
      </c>
      <c r="T44" s="6">
        <v>38109.43</v>
      </c>
      <c r="U44" s="56">
        <v>45261</v>
      </c>
      <c r="V44" s="58">
        <f t="shared" si="0"/>
        <v>123.0400856362151</v>
      </c>
      <c r="W44" s="58">
        <f t="shared" si="1"/>
        <v>109.96236724864006</v>
      </c>
      <c r="X44" s="58">
        <f t="shared" si="2"/>
        <v>106.21346330802071</v>
      </c>
      <c r="Y44" s="58">
        <f t="shared" si="3"/>
        <v>108.51179723964182</v>
      </c>
    </row>
    <row r="45" spans="1:25" x14ac:dyDescent="0.25">
      <c r="L45" s="48"/>
      <c r="M45" s="50"/>
      <c r="P45" s="56">
        <v>45323</v>
      </c>
      <c r="Q45" s="6">
        <v>468.13</v>
      </c>
      <c r="R45" s="6">
        <v>5137.08</v>
      </c>
      <c r="S45" s="6">
        <v>16274.94</v>
      </c>
      <c r="T45" s="6">
        <v>39087.379999999997</v>
      </c>
      <c r="U45" s="56">
        <v>45292</v>
      </c>
      <c r="V45" s="57">
        <f t="shared" si="0"/>
        <v>131.87132031888223</v>
      </c>
      <c r="W45" s="57">
        <f t="shared" si="1"/>
        <v>113.92012631476238</v>
      </c>
      <c r="X45" s="57">
        <f t="shared" si="2"/>
        <v>110.6035749381909</v>
      </c>
      <c r="Y45" s="57">
        <f t="shared" si="3"/>
        <v>111.29638656859551</v>
      </c>
    </row>
    <row r="46" spans="1:25" x14ac:dyDescent="0.25">
      <c r="L46" s="51" t="s">
        <v>54</v>
      </c>
      <c r="M46" s="50"/>
      <c r="P46" s="56">
        <v>45352</v>
      </c>
      <c r="Q46" s="6">
        <v>481.57</v>
      </c>
      <c r="R46" s="6">
        <v>5234.18</v>
      </c>
      <c r="S46" s="6">
        <v>16428.82</v>
      </c>
      <c r="T46" s="6">
        <v>39807.370000000003</v>
      </c>
      <c r="U46" s="56">
        <v>45323</v>
      </c>
      <c r="V46" s="58">
        <f t="shared" si="0"/>
        <v>135.657342460351</v>
      </c>
      <c r="W46" s="58">
        <f t="shared" si="1"/>
        <v>116.07342045562908</v>
      </c>
      <c r="X46" s="58">
        <f t="shared" si="2"/>
        <v>111.64933474507737</v>
      </c>
      <c r="Y46" s="58">
        <f t="shared" si="3"/>
        <v>113.34646732012</v>
      </c>
    </row>
    <row r="47" spans="1:25" x14ac:dyDescent="0.25">
      <c r="L47" s="48" t="s">
        <v>41</v>
      </c>
      <c r="M47" s="49">
        <f>B40</f>
        <v>434.0316175505082</v>
      </c>
      <c r="P47" s="56">
        <v>45383</v>
      </c>
      <c r="Q47" s="6">
        <v>462.42</v>
      </c>
      <c r="R47" s="6">
        <v>4967.2299999999996</v>
      </c>
      <c r="S47" s="6">
        <v>15282.01</v>
      </c>
      <c r="T47" s="6">
        <v>37986.400000000001</v>
      </c>
      <c r="U47" s="56">
        <v>45352</v>
      </c>
      <c r="V47" s="58">
        <f t="shared" si="0"/>
        <v>130.26282430491</v>
      </c>
      <c r="W47" s="58">
        <f t="shared" si="1"/>
        <v>110.15352477175304</v>
      </c>
      <c r="X47" s="58">
        <f t="shared" si="2"/>
        <v>103.85567862254376</v>
      </c>
      <c r="Y47" s="58">
        <f t="shared" si="3"/>
        <v>108.16148482577488</v>
      </c>
    </row>
    <row r="48" spans="1:25" x14ac:dyDescent="0.25">
      <c r="L48" s="48" t="s">
        <v>31</v>
      </c>
      <c r="M48" s="49">
        <f>G40</f>
        <v>574.42274515216343</v>
      </c>
      <c r="P48" s="56">
        <v>45413</v>
      </c>
      <c r="Q48" s="6">
        <v>460.27</v>
      </c>
      <c r="R48" s="6">
        <v>5277.51</v>
      </c>
      <c r="S48" s="6">
        <v>16735.02</v>
      </c>
      <c r="T48" s="6">
        <v>38686.32</v>
      </c>
      <c r="U48" s="56">
        <v>45383</v>
      </c>
      <c r="V48" s="57">
        <f t="shared" si="0"/>
        <v>129.65717344150539</v>
      </c>
      <c r="W48" s="57">
        <f t="shared" si="1"/>
        <v>117.0343085619499</v>
      </c>
      <c r="X48" s="57">
        <f t="shared" si="2"/>
        <v>113.73025268677632</v>
      </c>
      <c r="Y48" s="57">
        <f t="shared" si="3"/>
        <v>110.15441878264514</v>
      </c>
    </row>
    <row r="49" spans="12:25" x14ac:dyDescent="0.25">
      <c r="L49" s="48" t="s">
        <v>83</v>
      </c>
      <c r="M49" s="49">
        <f>-(G40-B40)</f>
        <v>-140.39112760165523</v>
      </c>
      <c r="P49" s="56">
        <v>45444</v>
      </c>
      <c r="Q49" s="6">
        <v>454.85</v>
      </c>
      <c r="R49" s="6">
        <v>5464.62</v>
      </c>
      <c r="S49" s="6">
        <v>17689.36</v>
      </c>
      <c r="T49" s="6">
        <v>39150.33</v>
      </c>
      <c r="U49" s="56">
        <v>45413</v>
      </c>
      <c r="V49" s="58">
        <f t="shared" si="0"/>
        <v>128.1303698695738</v>
      </c>
      <c r="W49" s="58">
        <f t="shared" si="1"/>
        <v>121.18366867212049</v>
      </c>
      <c r="X49" s="58">
        <f t="shared" si="2"/>
        <v>120.21589353746536</v>
      </c>
      <c r="Y49" s="58">
        <f t="shared" si="3"/>
        <v>111.4756287571099</v>
      </c>
    </row>
    <row r="50" spans="12:25" x14ac:dyDescent="0.25">
      <c r="L50" s="52" t="s">
        <v>82</v>
      </c>
      <c r="M50" s="55">
        <f>((B40-G40)/(G40))</f>
        <v>-0.24440384505398702</v>
      </c>
      <c r="P50" s="56">
        <v>45474</v>
      </c>
      <c r="Q50" s="6">
        <v>443.69</v>
      </c>
      <c r="R50" s="6">
        <v>5459.1</v>
      </c>
      <c r="S50" s="6">
        <v>17357.88</v>
      </c>
      <c r="T50" s="6">
        <v>40287.53</v>
      </c>
      <c r="U50" s="56">
        <v>45444</v>
      </c>
      <c r="V50" s="58">
        <f t="shared" si="0"/>
        <v>124.98661934138991</v>
      </c>
      <c r="W50" s="58">
        <f t="shared" si="1"/>
        <v>121.06125689397855</v>
      </c>
      <c r="X50" s="58">
        <f t="shared" si="2"/>
        <v>117.96317414061896</v>
      </c>
      <c r="Y50" s="58">
        <f t="shared" si="3"/>
        <v>114.71366238345698</v>
      </c>
    </row>
    <row r="51" spans="12:25" x14ac:dyDescent="0.25">
      <c r="P51" s="56">
        <v>45505</v>
      </c>
      <c r="Q51" s="6">
        <v>483.34</v>
      </c>
      <c r="R51" s="6">
        <v>5648.4</v>
      </c>
      <c r="S51" s="6">
        <v>17877.79</v>
      </c>
      <c r="T51" s="6">
        <v>41175.08</v>
      </c>
      <c r="U51" s="56">
        <v>45474</v>
      </c>
      <c r="V51" s="57">
        <f t="shared" si="0"/>
        <v>136.15594805487476</v>
      </c>
      <c r="W51" s="57">
        <f t="shared" si="1"/>
        <v>125.25918254656415</v>
      </c>
      <c r="X51" s="57">
        <f t="shared" si="2"/>
        <v>121.49645319701577</v>
      </c>
      <c r="Y51" s="57">
        <f t="shared" si="3"/>
        <v>117.24084910968311</v>
      </c>
    </row>
    <row r="52" spans="12:25" x14ac:dyDescent="0.25">
      <c r="P52" s="56">
        <v>45536</v>
      </c>
      <c r="Q52" s="6">
        <v>493.64</v>
      </c>
      <c r="R52" s="6">
        <v>5751.07</v>
      </c>
      <c r="S52" s="6">
        <v>18137.849999999999</v>
      </c>
      <c r="T52" s="6">
        <v>42313</v>
      </c>
      <c r="U52" s="56">
        <v>45505</v>
      </c>
      <c r="V52" s="58">
        <f t="shared" si="0"/>
        <v>139.05743823769683</v>
      </c>
      <c r="W52" s="58">
        <f t="shared" si="1"/>
        <v>127.53599726791103</v>
      </c>
      <c r="X52" s="58">
        <f t="shared" si="2"/>
        <v>123.26380629929608</v>
      </c>
      <c r="Y52" s="58">
        <f t="shared" si="3"/>
        <v>120.48093284525547</v>
      </c>
    </row>
    <row r="53" spans="12:25" x14ac:dyDescent="0.25">
      <c r="P53" s="56">
        <v>45566</v>
      </c>
      <c r="Q53" s="6">
        <v>508.08</v>
      </c>
      <c r="R53" s="6">
        <v>5728.8</v>
      </c>
      <c r="S53" s="6">
        <v>18518.61</v>
      </c>
      <c r="T53" s="6">
        <v>42052.19</v>
      </c>
      <c r="U53" s="56">
        <v>45536</v>
      </c>
      <c r="V53" s="58">
        <f t="shared" si="0"/>
        <v>143.12515845516774</v>
      </c>
      <c r="W53" s="58">
        <f t="shared" si="1"/>
        <v>127.0421367064579</v>
      </c>
      <c r="X53" s="58">
        <f t="shared" si="2"/>
        <v>125.85142979858183</v>
      </c>
      <c r="Y53" s="58">
        <f t="shared" si="3"/>
        <v>119.73830925214293</v>
      </c>
    </row>
    <row r="54" spans="12:25" x14ac:dyDescent="0.25">
      <c r="P54" s="56">
        <v>45597</v>
      </c>
      <c r="Q54" s="6">
        <v>520.86</v>
      </c>
      <c r="R54" s="6">
        <v>5969.34</v>
      </c>
      <c r="S54" s="6">
        <v>19003.650000000001</v>
      </c>
      <c r="T54" s="6">
        <v>44296.51</v>
      </c>
      <c r="U54" s="56">
        <v>45566</v>
      </c>
      <c r="V54" s="57">
        <f t="shared" si="0"/>
        <v>146.72525986647511</v>
      </c>
      <c r="W54" s="57">
        <f t="shared" si="1"/>
        <v>132.37636299527429</v>
      </c>
      <c r="X54" s="57">
        <f t="shared" si="2"/>
        <v>129.14773430035083</v>
      </c>
      <c r="Y54" s="57">
        <f t="shared" si="3"/>
        <v>126.12872749720387</v>
      </c>
    </row>
    <row r="55" spans="12:25" x14ac:dyDescent="0.25">
      <c r="P55" s="56">
        <v>45627</v>
      </c>
      <c r="Q55" s="6">
        <v>532.20000000000005</v>
      </c>
      <c r="R55" s="6">
        <v>5942.47</v>
      </c>
      <c r="S55" s="6">
        <v>19722.03</v>
      </c>
      <c r="T55" s="6">
        <v>42840.26</v>
      </c>
      <c r="U55" s="56">
        <v>45597</v>
      </c>
      <c r="V55" s="58">
        <f t="shared" si="0"/>
        <v>149.91971604833941</v>
      </c>
      <c r="W55" s="58">
        <f t="shared" si="1"/>
        <v>131.78049261870285</v>
      </c>
      <c r="X55" s="58">
        <f t="shared" si="2"/>
        <v>134.02980429041514</v>
      </c>
      <c r="Y55" s="58">
        <f t="shared" si="3"/>
        <v>121.9822392204118</v>
      </c>
    </row>
    <row r="56" spans="12:25" x14ac:dyDescent="0.25">
      <c r="P56" s="56">
        <v>45658</v>
      </c>
      <c r="Q56" s="6">
        <v>555.42999999999995</v>
      </c>
      <c r="R56" s="6">
        <v>6040.53</v>
      </c>
      <c r="S56" s="6">
        <v>19627.439999999999</v>
      </c>
      <c r="T56" s="6">
        <v>44424.25</v>
      </c>
      <c r="U56" s="56">
        <v>45627</v>
      </c>
      <c r="V56" s="58">
        <f t="shared" si="0"/>
        <v>156.46356235386912</v>
      </c>
      <c r="W56" s="58">
        <f t="shared" si="1"/>
        <v>133.95507576446377</v>
      </c>
      <c r="X56" s="58">
        <f t="shared" si="2"/>
        <v>133.38697598177598</v>
      </c>
      <c r="Y56" s="58">
        <f t="shared" si="3"/>
        <v>126.49245104225275</v>
      </c>
    </row>
    <row r="57" spans="12:25" x14ac:dyDescent="0.25">
      <c r="P57" s="56">
        <v>45689</v>
      </c>
      <c r="Q57" s="6">
        <v>557.51</v>
      </c>
      <c r="R57" s="6">
        <v>5954.5</v>
      </c>
      <c r="S57" s="6">
        <v>19524.009999999998</v>
      </c>
      <c r="T57" s="6">
        <v>43840.91</v>
      </c>
      <c r="U57" s="56">
        <v>45658</v>
      </c>
      <c r="V57" s="57">
        <f t="shared" si="0"/>
        <v>157.04949435195357</v>
      </c>
      <c r="W57" s="57">
        <f t="shared" si="1"/>
        <v>132.04727046128394</v>
      </c>
      <c r="X57" s="57">
        <f t="shared" si="2"/>
        <v>132.68407153138432</v>
      </c>
      <c r="Y57" s="57">
        <f t="shared" si="3"/>
        <v>124.83146393743978</v>
      </c>
    </row>
    <row r="58" spans="12:25" x14ac:dyDescent="0.25">
      <c r="P58" s="56">
        <v>45717</v>
      </c>
      <c r="Q58" s="6">
        <v>489.77</v>
      </c>
      <c r="R58" s="6">
        <v>5074.08</v>
      </c>
      <c r="S58" s="6">
        <v>15587.79</v>
      </c>
      <c r="T58" s="6">
        <v>38314.86</v>
      </c>
      <c r="U58" s="56">
        <v>45689</v>
      </c>
      <c r="V58" s="58">
        <f t="shared" si="0"/>
        <v>137.96726668356854</v>
      </c>
      <c r="W58" s="58">
        <f t="shared" si="1"/>
        <v>112.523035368577</v>
      </c>
      <c r="X58" s="58">
        <f t="shared" si="2"/>
        <v>105.93374226791514</v>
      </c>
      <c r="Y58" s="58">
        <f t="shared" si="3"/>
        <v>109.0967332648445</v>
      </c>
    </row>
    <row r="59" spans="12:25" x14ac:dyDescent="0.25">
      <c r="P59" s="56">
        <v>45748</v>
      </c>
      <c r="Q59" s="6">
        <v>559.39</v>
      </c>
      <c r="R59" s="6">
        <v>5282.7</v>
      </c>
      <c r="S59" s="6">
        <v>16286.45</v>
      </c>
      <c r="T59" s="6">
        <v>39142.230000000003</v>
      </c>
      <c r="U59" s="56">
        <v>45717</v>
      </c>
      <c r="V59" s="58">
        <f t="shared" si="0"/>
        <v>157.5790867348376</v>
      </c>
      <c r="W59" s="58">
        <f t="shared" si="1"/>
        <v>117.14940224465946</v>
      </c>
      <c r="X59" s="58">
        <f t="shared" si="2"/>
        <v>110.68179624945462</v>
      </c>
      <c r="Y59" s="58">
        <f t="shared" si="3"/>
        <v>111.45256502832568</v>
      </c>
    </row>
    <row r="60" spans="12:25" x14ac:dyDescent="0.25">
      <c r="P60" s="56">
        <v>45778</v>
      </c>
      <c r="Q60" s="6">
        <v>585.6</v>
      </c>
      <c r="R60" s="6">
        <v>5802.82</v>
      </c>
      <c r="S60" s="6">
        <v>19113.77</v>
      </c>
      <c r="T60" s="6">
        <v>41603.07</v>
      </c>
      <c r="U60" s="56">
        <v>45748</v>
      </c>
      <c r="V60" s="57">
        <f t="shared" si="0"/>
        <v>164.96239330685373</v>
      </c>
      <c r="W60" s="57">
        <f t="shared" si="1"/>
        <v>128.68360768799189</v>
      </c>
      <c r="X60" s="57">
        <f t="shared" si="2"/>
        <v>129.89610361367508</v>
      </c>
      <c r="Y60" s="57">
        <f t="shared" si="3"/>
        <v>118.4594966754062</v>
      </c>
    </row>
    <row r="61" spans="12:25" x14ac:dyDescent="0.25">
      <c r="P61" s="56">
        <v>45809</v>
      </c>
      <c r="Q61" s="6">
        <v>532.97</v>
      </c>
      <c r="R61" s="6">
        <v>6279.35</v>
      </c>
      <c r="S61" s="6">
        <v>19447.41</v>
      </c>
      <c r="T61" s="6">
        <v>42206.82</v>
      </c>
      <c r="U61" s="56">
        <v>45778</v>
      </c>
      <c r="V61" s="58">
        <f t="shared" si="0"/>
        <v>150.13662356686103</v>
      </c>
      <c r="W61" s="58">
        <f t="shared" si="1"/>
        <v>139.25115925284464</v>
      </c>
      <c r="X61" s="58">
        <f t="shared" si="2"/>
        <v>132.16350224877775</v>
      </c>
      <c r="Y61" s="58">
        <f t="shared" si="3"/>
        <v>120.17859868200756</v>
      </c>
    </row>
    <row r="62" spans="12:25" x14ac:dyDescent="0.25">
      <c r="P62" s="56">
        <v>45839</v>
      </c>
      <c r="Q62" s="6">
        <v>568.22</v>
      </c>
      <c r="R62" s="6">
        <v>6238.01</v>
      </c>
      <c r="S62" s="6">
        <v>20650.13</v>
      </c>
      <c r="T62" s="6">
        <v>44901.919999999998</v>
      </c>
      <c r="U62" s="56">
        <v>45809</v>
      </c>
      <c r="V62" s="58">
        <f t="shared" si="0"/>
        <v>160.0664807459365</v>
      </c>
      <c r="W62" s="58">
        <f t="shared" si="1"/>
        <v>138.33440147958584</v>
      </c>
      <c r="X62" s="58">
        <f t="shared" si="2"/>
        <v>140.33711958006506</v>
      </c>
      <c r="Y62" s="58">
        <f t="shared" si="3"/>
        <v>127.85255614451903</v>
      </c>
    </row>
    <row r="63" spans="12:25" x14ac:dyDescent="0.25">
      <c r="P63" s="56">
        <v>45870</v>
      </c>
      <c r="Q63" s="6">
        <v>598.96</v>
      </c>
      <c r="R63" s="6">
        <v>6460.26</v>
      </c>
      <c r="S63" s="6">
        <v>21496.54</v>
      </c>
      <c r="T63" s="6">
        <v>45544.88</v>
      </c>
      <c r="U63" s="56">
        <v>45839</v>
      </c>
      <c r="V63" s="57">
        <f t="shared" si="0"/>
        <v>168.72587960224232</v>
      </c>
      <c r="W63" s="57">
        <f t="shared" si="1"/>
        <v>143.26302787307318</v>
      </c>
      <c r="X63" s="57">
        <f t="shared" si="2"/>
        <v>146.08927423399521</v>
      </c>
      <c r="Y63" s="57">
        <f t="shared" si="3"/>
        <v>129.68330368267954</v>
      </c>
    </row>
    <row r="64" spans="12:25" x14ac:dyDescent="0.25">
      <c r="P64" s="56">
        <v>45901</v>
      </c>
      <c r="Q64" s="6">
        <v>565.13</v>
      </c>
      <c r="R64" s="6">
        <v>6715.79</v>
      </c>
      <c r="S64" s="6">
        <v>22780.51</v>
      </c>
      <c r="T64" s="6">
        <v>46758.28</v>
      </c>
      <c r="U64" s="56">
        <v>45870</v>
      </c>
      <c r="V64" s="58">
        <f t="shared" si="0"/>
        <v>159.19603369108987</v>
      </c>
      <c r="W64" s="58">
        <f t="shared" si="1"/>
        <v>148.92967310289464</v>
      </c>
      <c r="X64" s="58">
        <f t="shared" si="2"/>
        <v>154.81506198580192</v>
      </c>
      <c r="Y64" s="58">
        <f t="shared" si="3"/>
        <v>133.1383072020337</v>
      </c>
    </row>
    <row r="65" spans="16:25" x14ac:dyDescent="0.25">
      <c r="P65" s="56">
        <v>45931</v>
      </c>
      <c r="Q65" s="6">
        <v>560.97</v>
      </c>
      <c r="R65" s="6">
        <v>6840.2</v>
      </c>
      <c r="S65" s="6">
        <v>23204.87</v>
      </c>
      <c r="T65" s="6">
        <v>47207.12</v>
      </c>
      <c r="U65" s="56">
        <v>45901</v>
      </c>
      <c r="V65" s="58">
        <f t="shared" si="0"/>
        <v>158.024169694921</v>
      </c>
      <c r="W65" s="58">
        <f t="shared" si="1"/>
        <v>151.68859508090929</v>
      </c>
      <c r="X65" s="58">
        <f t="shared" si="2"/>
        <v>157.69898862766792</v>
      </c>
      <c r="Y65" s="58">
        <f t="shared" si="3"/>
        <v>134.41632251407171</v>
      </c>
    </row>
    <row r="66" spans="16:25" x14ac:dyDescent="0.25">
      <c r="P66" s="56">
        <v>45962</v>
      </c>
      <c r="Q66" s="6">
        <v>545.73</v>
      </c>
      <c r="R66" s="6">
        <v>6849.09</v>
      </c>
      <c r="S66" s="6">
        <v>23365.69</v>
      </c>
      <c r="T66" s="6">
        <v>46245.41</v>
      </c>
      <c r="U66" s="56">
        <v>45931</v>
      </c>
      <c r="V66" s="57">
        <f t="shared" si="0"/>
        <v>153.73109101664835</v>
      </c>
      <c r="W66" s="57">
        <f t="shared" si="1"/>
        <v>151.88574013664882</v>
      </c>
      <c r="X66" s="57">
        <f t="shared" si="2"/>
        <v>158.7919122833963</v>
      </c>
      <c r="Y66" s="57">
        <f t="shared" si="3"/>
        <v>131.67797453764342</v>
      </c>
    </row>
    <row r="67" spans="16:25" x14ac:dyDescent="0.25">
      <c r="P67" s="56">
        <v>45992</v>
      </c>
      <c r="Q67" s="6">
        <v>579.6</v>
      </c>
      <c r="R67" s="6">
        <v>6929.94</v>
      </c>
      <c r="S67" s="6">
        <v>23593.1</v>
      </c>
      <c r="T67" s="6">
        <v>48134.89</v>
      </c>
      <c r="U67" s="56">
        <v>45962</v>
      </c>
      <c r="V67" s="58">
        <f t="shared" si="0"/>
        <v>163.27220485084086</v>
      </c>
      <c r="W67" s="58">
        <f t="shared" si="1"/>
        <v>153.6786735175867</v>
      </c>
      <c r="X67" s="58">
        <f t="shared" si="2"/>
        <v>160.33737782592326</v>
      </c>
      <c r="Y67" s="58">
        <f t="shared" si="3"/>
        <v>137.05803061952022</v>
      </c>
    </row>
    <row r="68" spans="16:25" x14ac:dyDescent="0.25">
      <c r="P68" s="56">
        <v>46023</v>
      </c>
      <c r="Q68" s="59">
        <v>538.79</v>
      </c>
      <c r="R68" s="6">
        <v>6939.03</v>
      </c>
      <c r="S68" s="6">
        <v>23461.82</v>
      </c>
      <c r="T68" s="6">
        <v>49098.71</v>
      </c>
      <c r="U68" s="56">
        <v>45992</v>
      </c>
      <c r="V68" s="58">
        <f t="shared" si="0"/>
        <v>151.77610636919349</v>
      </c>
      <c r="W68" s="58">
        <f t="shared" si="1"/>
        <v>153.88025378267918</v>
      </c>
      <c r="X68" s="58">
        <f t="shared" si="2"/>
        <v>159.44520634523664</v>
      </c>
      <c r="Y68" s="58">
        <f t="shared" si="3"/>
        <v>139.80238655492812</v>
      </c>
    </row>
    <row r="69" spans="16:25" x14ac:dyDescent="0.25">
      <c r="P69" s="56">
        <v>46054</v>
      </c>
      <c r="Q69" s="6">
        <v>517.21</v>
      </c>
      <c r="R69" s="6">
        <v>6909.51</v>
      </c>
      <c r="S69" s="6">
        <v>22668.21</v>
      </c>
      <c r="T69" s="6">
        <v>48977.919999999998</v>
      </c>
      <c r="U69" s="56">
        <v>46023</v>
      </c>
      <c r="V69" s="57">
        <f t="shared" si="0"/>
        <v>145.6970618890673</v>
      </c>
      <c r="W69" s="57">
        <f t="shared" si="1"/>
        <v>153.22561688218087</v>
      </c>
      <c r="X69" s="57">
        <f t="shared" si="2"/>
        <v>154.05187751534862</v>
      </c>
      <c r="Y69" s="57">
        <f t="shared" si="3"/>
        <v>139.45845225865088</v>
      </c>
    </row>
    <row r="70" spans="16:25" x14ac:dyDescent="0.25">
      <c r="P70" s="56">
        <v>46082</v>
      </c>
      <c r="Q70" s="6">
        <v>496.32</v>
      </c>
      <c r="R70" s="6">
        <v>6368.85</v>
      </c>
      <c r="S70" s="6">
        <v>20948.36</v>
      </c>
      <c r="T70" s="6">
        <v>45577.47</v>
      </c>
      <c r="U70" s="56">
        <v>46054</v>
      </c>
      <c r="V70" s="58">
        <f t="shared" si="0"/>
        <v>139.81238908138255</v>
      </c>
      <c r="W70" s="58">
        <f t="shared" si="1"/>
        <v>141.23591543829849</v>
      </c>
      <c r="X70" s="58">
        <f t="shared" si="2"/>
        <v>142.36387385097584</v>
      </c>
      <c r="Y70" s="58">
        <f t="shared" si="3"/>
        <v>129.77609959886195</v>
      </c>
    </row>
    <row r="71" spans="16:25" x14ac:dyDescent="0.25">
      <c r="P71" s="56">
        <v>46113</v>
      </c>
      <c r="Q71" s="6">
        <v>495.46</v>
      </c>
      <c r="R71" s="6">
        <v>7123.06</v>
      </c>
      <c r="S71" s="6">
        <v>24468.48</v>
      </c>
      <c r="T71" s="6">
        <v>49447.43</v>
      </c>
      <c r="U71" s="56">
        <v>46082</v>
      </c>
      <c r="V71" s="58">
        <f t="shared" si="0"/>
        <v>139.57012873602073</v>
      </c>
      <c r="W71" s="58">
        <f t="shared" si="1"/>
        <v>157.96131166881406</v>
      </c>
      <c r="X71" s="58">
        <f t="shared" si="2"/>
        <v>166.28641096702202</v>
      </c>
      <c r="Y71" s="58">
        <f t="shared" si="3"/>
        <v>140.79532278969751</v>
      </c>
    </row>
    <row r="72" spans="16:25" x14ac:dyDescent="0.25">
      <c r="P72" s="56">
        <v>46143</v>
      </c>
      <c r="Q72" s="6">
        <v>498.54</v>
      </c>
      <c r="R72" s="6">
        <v>7473.47</v>
      </c>
      <c r="S72" s="6">
        <v>26343.97</v>
      </c>
      <c r="T72" s="6">
        <v>50579.7</v>
      </c>
      <c r="U72" s="56">
        <v>46113</v>
      </c>
      <c r="V72" s="57">
        <f t="shared" si="0"/>
        <v>140.43775881010734</v>
      </c>
      <c r="W72" s="57">
        <f t="shared" si="1"/>
        <v>165.73202021568426</v>
      </c>
      <c r="X72" s="57">
        <f t="shared" si="2"/>
        <v>179.03213529908268</v>
      </c>
      <c r="Y72" s="57">
        <f t="shared" si="3"/>
        <v>144.01931886259939</v>
      </c>
    </row>
    <row r="73" spans="16:25" x14ac:dyDescent="0.25">
      <c r="P73" s="56">
        <v>46174</v>
      </c>
      <c r="Q73" s="6">
        <v>539.39</v>
      </c>
      <c r="R73" s="6">
        <v>7425.29</v>
      </c>
      <c r="S73" s="6">
        <v>25883.49</v>
      </c>
      <c r="T73" s="6">
        <v>51200.15</v>
      </c>
      <c r="U73" s="56">
        <v>46143</v>
      </c>
      <c r="V73" s="58">
        <f t="shared" si="0"/>
        <v>151.94512521479479</v>
      </c>
      <c r="W73" s="58">
        <f t="shared" si="1"/>
        <v>164.66357828255389</v>
      </c>
      <c r="X73" s="58">
        <f t="shared" si="2"/>
        <v>175.90273917304239</v>
      </c>
      <c r="Y73" s="58">
        <f t="shared" si="3"/>
        <v>145.78597201373117</v>
      </c>
    </row>
    <row r="74" spans="16:25" x14ac:dyDescent="0.25">
      <c r="P74" s="56">
        <v>46204</v>
      </c>
      <c r="Q74" s="6">
        <v>573.1</v>
      </c>
      <c r="R74" s="6">
        <v>7483.24</v>
      </c>
      <c r="S74" s="6">
        <v>25832.67</v>
      </c>
      <c r="T74" s="6">
        <v>52900.07</v>
      </c>
      <c r="U74" s="56">
        <v>46174</v>
      </c>
      <c r="V74" s="58">
        <f t="shared" si="0"/>
        <v>161.44116735682695</v>
      </c>
      <c r="W74" s="58">
        <f t="shared" si="1"/>
        <v>165.94868019257677</v>
      </c>
      <c r="X74" s="58">
        <f t="shared" si="2"/>
        <v>175.55736931740182</v>
      </c>
      <c r="Y74" s="58">
        <f t="shared" si="3"/>
        <v>150.62627989457883</v>
      </c>
    </row>
    <row r="75" spans="16:25" x14ac:dyDescent="0.25">
      <c r="P75" s="56">
        <v>46235</v>
      </c>
      <c r="Q75" s="6">
        <v>559.73</v>
      </c>
      <c r="R75" s="6">
        <v>7748.5</v>
      </c>
      <c r="S75" s="6">
        <v>26558.49</v>
      </c>
      <c r="T75" s="6">
        <v>53770.27</v>
      </c>
      <c r="U75" s="56">
        <v>46204</v>
      </c>
      <c r="V75" s="57">
        <f t="shared" ref="V75" si="14">(Q75/$Q$15)*100</f>
        <v>157.67486408067833</v>
      </c>
      <c r="W75" s="57">
        <f t="shared" ref="W75" si="15">(R75/$R$15)*100</f>
        <v>171.83109835742022</v>
      </c>
      <c r="X75" s="57">
        <f t="shared" ref="X75" si="16">(S75/$S$15)*100</f>
        <v>180.49000112812666</v>
      </c>
      <c r="Y75" s="57">
        <f t="shared" ref="Y75" si="17">(T75/$T$15)*100</f>
        <v>153.10406468322395</v>
      </c>
    </row>
  </sheetData>
  <pageMargins left="0.7" right="0.7" top="0.75" bottom="0.75" header="0.3" footer="0.3"/>
  <pageSetup orientation="portrait" r:id="rId1"/>
  <ignoredErrors>
    <ignoredError sqref="G21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A804C-FC79-41E4-9D62-DEB443BCFAF2}">
  <dimension ref="A1:Z75"/>
  <sheetViews>
    <sheetView showGridLines="0" topLeftCell="A13" zoomScaleNormal="100" workbookViewId="0"/>
  </sheetViews>
  <sheetFormatPr defaultRowHeight="15" x14ac:dyDescent="0.25"/>
  <cols>
    <col min="1" max="1" width="37.5703125" customWidth="1"/>
    <col min="2" max="2" width="29.85546875" customWidth="1"/>
    <col min="3" max="3" width="20.85546875" bestFit="1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2.5703125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8" customFormat="1" ht="33.75" x14ac:dyDescent="0.5">
      <c r="A1" s="27" t="s">
        <v>0</v>
      </c>
    </row>
    <row r="3" spans="1:26" s="1" customFormat="1" ht="21" x14ac:dyDescent="0.35">
      <c r="A3" s="2" t="s">
        <v>62</v>
      </c>
    </row>
    <row r="5" spans="1:26" x14ac:dyDescent="0.25">
      <c r="A5" s="37" t="s">
        <v>1</v>
      </c>
      <c r="B5" s="38"/>
      <c r="C5" s="39"/>
      <c r="P5" t="s">
        <v>57</v>
      </c>
    </row>
    <row r="6" spans="1:26" x14ac:dyDescent="0.25">
      <c r="A6" s="40" t="s">
        <v>2</v>
      </c>
      <c r="B6" s="31">
        <v>0.21</v>
      </c>
      <c r="C6" s="41"/>
      <c r="P6" t="s">
        <v>58</v>
      </c>
      <c r="Q6" t="s">
        <v>59</v>
      </c>
      <c r="S6" t="s">
        <v>60</v>
      </c>
      <c r="T6" t="s">
        <v>61</v>
      </c>
    </row>
    <row r="7" spans="1:26" x14ac:dyDescent="0.25">
      <c r="A7" s="40" t="s">
        <v>3</v>
      </c>
      <c r="B7" s="32">
        <v>8.6199999999999999E-2</v>
      </c>
      <c r="C7" s="41"/>
      <c r="P7">
        <v>2026</v>
      </c>
      <c r="Q7" s="26">
        <f>D28</f>
        <v>12624150000</v>
      </c>
      <c r="R7" s="26"/>
      <c r="S7" t="s">
        <v>41</v>
      </c>
      <c r="T7" s="16">
        <f>B40</f>
        <v>304.22334315443578</v>
      </c>
    </row>
    <row r="8" spans="1:26" x14ac:dyDescent="0.25">
      <c r="A8" s="40" t="s">
        <v>4</v>
      </c>
      <c r="B8" s="32">
        <v>0.02</v>
      </c>
      <c r="C8" s="41"/>
      <c r="P8">
        <v>2027</v>
      </c>
      <c r="Q8" s="26">
        <f>E28</f>
        <v>14517772500</v>
      </c>
      <c r="R8" s="26"/>
      <c r="S8" t="s">
        <v>72</v>
      </c>
      <c r="T8" s="16">
        <v>255.78</v>
      </c>
    </row>
    <row r="9" spans="1:26" x14ac:dyDescent="0.25">
      <c r="A9" s="40" t="s">
        <v>5</v>
      </c>
      <c r="B9" s="33" t="s">
        <v>96</v>
      </c>
      <c r="C9" s="41"/>
      <c r="P9">
        <v>2028</v>
      </c>
      <c r="Q9" s="26">
        <f>F28</f>
        <v>16405082924.999996</v>
      </c>
      <c r="R9" s="26"/>
      <c r="S9" t="s">
        <v>8</v>
      </c>
      <c r="T9" s="16">
        <f>B12</f>
        <v>560</v>
      </c>
    </row>
    <row r="10" spans="1:26" x14ac:dyDescent="0.25">
      <c r="A10" s="40" t="s">
        <v>6</v>
      </c>
      <c r="B10" s="34">
        <v>46246</v>
      </c>
      <c r="C10" s="41"/>
      <c r="P10">
        <v>2029</v>
      </c>
      <c r="Q10" s="26">
        <f>G28</f>
        <v>18045591217.499996</v>
      </c>
      <c r="R10" s="26"/>
    </row>
    <row r="11" spans="1:26" x14ac:dyDescent="0.25">
      <c r="A11" s="40" t="s">
        <v>7</v>
      </c>
      <c r="B11" s="34">
        <v>46387</v>
      </c>
      <c r="C11" s="41"/>
      <c r="P11">
        <v>2030</v>
      </c>
      <c r="Q11" s="26">
        <f>H28</f>
        <v>20030606251.424999</v>
      </c>
      <c r="R11" s="26"/>
    </row>
    <row r="12" spans="1:26" x14ac:dyDescent="0.25">
      <c r="A12" s="40" t="s">
        <v>8</v>
      </c>
      <c r="B12" s="35">
        <v>560</v>
      </c>
      <c r="C12" s="41" t="s">
        <v>88</v>
      </c>
      <c r="P12">
        <v>2031</v>
      </c>
      <c r="Q12" s="26">
        <f>I28</f>
        <v>21633054751.538998</v>
      </c>
      <c r="R12" s="26"/>
    </row>
    <row r="13" spans="1:26" x14ac:dyDescent="0.25">
      <c r="A13" s="40" t="s">
        <v>9</v>
      </c>
      <c r="B13" s="36">
        <v>869460000</v>
      </c>
      <c r="C13" s="41"/>
    </row>
    <row r="14" spans="1:26" x14ac:dyDescent="0.25">
      <c r="A14" s="40" t="s">
        <v>10</v>
      </c>
      <c r="B14" s="35">
        <v>24640000000</v>
      </c>
      <c r="C14" s="41"/>
      <c r="P14" s="6" t="s">
        <v>16</v>
      </c>
      <c r="Q14" s="6" t="s">
        <v>89</v>
      </c>
      <c r="R14" s="6" t="s">
        <v>63</v>
      </c>
      <c r="S14" s="6" t="s">
        <v>69</v>
      </c>
      <c r="T14" s="6" t="s">
        <v>64</v>
      </c>
      <c r="U14" s="6" t="s">
        <v>16</v>
      </c>
      <c r="V14" s="6" t="s">
        <v>95</v>
      </c>
      <c r="W14" s="6" t="s">
        <v>65</v>
      </c>
      <c r="X14" s="6" t="s">
        <v>70</v>
      </c>
      <c r="Y14" s="6" t="s">
        <v>66</v>
      </c>
      <c r="Z14" t="s">
        <v>67</v>
      </c>
    </row>
    <row r="15" spans="1:26" x14ac:dyDescent="0.25">
      <c r="A15" s="40" t="s">
        <v>11</v>
      </c>
      <c r="B15" s="35">
        <v>12100000000</v>
      </c>
      <c r="C15" s="41"/>
      <c r="P15" s="56">
        <v>44409</v>
      </c>
      <c r="Q15" s="6">
        <v>354.99</v>
      </c>
      <c r="R15" s="6">
        <v>4509.37</v>
      </c>
      <c r="S15" s="6">
        <v>14714.66</v>
      </c>
      <c r="T15" s="6">
        <v>35120.080000000002</v>
      </c>
      <c r="U15" s="56">
        <v>44378</v>
      </c>
      <c r="V15" s="57">
        <f>(Q15/$Q$15)*100</f>
        <v>100</v>
      </c>
      <c r="W15" s="57">
        <f>(R15/$R$15)*100</f>
        <v>100</v>
      </c>
      <c r="X15" s="57">
        <f>(S15/$S$15)*100</f>
        <v>100</v>
      </c>
      <c r="Y15" s="57">
        <f>(T15/$T$15)*100</f>
        <v>100</v>
      </c>
      <c r="Z15" t="s">
        <v>68</v>
      </c>
    </row>
    <row r="16" spans="1:26" x14ac:dyDescent="0.25">
      <c r="A16" s="40" t="s">
        <v>12</v>
      </c>
      <c r="B16" s="35" t="s">
        <v>93</v>
      </c>
      <c r="C16" s="41"/>
      <c r="P16" s="56">
        <v>44440</v>
      </c>
      <c r="Q16" s="6">
        <v>358.16</v>
      </c>
      <c r="R16" s="6">
        <v>4455.4799999999996</v>
      </c>
      <c r="S16" s="6">
        <v>15047.7</v>
      </c>
      <c r="T16" s="6">
        <v>34326.46</v>
      </c>
      <c r="U16" s="56">
        <v>44409</v>
      </c>
      <c r="V16" s="58">
        <f>(Q16/$Q$15)*100</f>
        <v>100.89298290092678</v>
      </c>
      <c r="W16" s="58">
        <f>(R16/$R$15)*100</f>
        <v>98.804932839842365</v>
      </c>
      <c r="X16" s="58">
        <f>(S16/$S$15)*100</f>
        <v>102.2633210689204</v>
      </c>
      <c r="Y16" s="58">
        <f>(T16/$T$15)*100</f>
        <v>97.740267106453047</v>
      </c>
      <c r="Z16" t="s">
        <v>73</v>
      </c>
    </row>
    <row r="17" spans="1:25" x14ac:dyDescent="0.25">
      <c r="A17" s="42" t="s">
        <v>78</v>
      </c>
      <c r="B17" s="43"/>
      <c r="C17" s="44"/>
      <c r="P17" s="56">
        <v>44470</v>
      </c>
      <c r="Q17" s="6">
        <v>335.52</v>
      </c>
      <c r="R17" s="6">
        <v>4544.8999999999996</v>
      </c>
      <c r="S17" s="6">
        <v>15498.39</v>
      </c>
      <c r="T17" s="6">
        <v>35677.019999999997</v>
      </c>
      <c r="U17" s="56">
        <v>44440</v>
      </c>
      <c r="V17" s="58">
        <f>(Q17/$Q$15)*100</f>
        <v>94.515338460238311</v>
      </c>
      <c r="W17" s="58">
        <f>(R17/$R$15)*100</f>
        <v>100.78791494155502</v>
      </c>
      <c r="X17" s="58">
        <f>(S17/$S$15)*100</f>
        <v>105.32618490675286</v>
      </c>
      <c r="Y17" s="58">
        <f>(T17/$T$15)*100</f>
        <v>101.58581643321996</v>
      </c>
    </row>
    <row r="18" spans="1:25" x14ac:dyDescent="0.25">
      <c r="P18" s="56">
        <v>44501</v>
      </c>
      <c r="Q18" s="6">
        <v>324.17</v>
      </c>
      <c r="R18" s="6">
        <v>4594.62</v>
      </c>
      <c r="S18" s="6">
        <v>15085.47</v>
      </c>
      <c r="T18" s="6">
        <v>34889.339999999997</v>
      </c>
      <c r="U18" s="56">
        <v>44470</v>
      </c>
      <c r="V18" s="57">
        <f t="shared" ref="V18:V75" si="0">(Q18/$Q$15)*100</f>
        <v>91.318065297614012</v>
      </c>
      <c r="W18" s="57">
        <f t="shared" ref="W18:W75" si="1">(R18/$R$15)*100</f>
        <v>101.89050798670326</v>
      </c>
      <c r="X18" s="57">
        <f t="shared" ref="X18:X75" si="2">(S18/$S$15)*100</f>
        <v>102.52000386009598</v>
      </c>
      <c r="Y18" s="57">
        <f t="shared" ref="Y18:Y75" si="3">(T18/$T$15)*100</f>
        <v>99.342996940781433</v>
      </c>
    </row>
    <row r="19" spans="1:25" x14ac:dyDescent="0.25">
      <c r="A19" s="11" t="s">
        <v>43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56">
        <v>44531</v>
      </c>
      <c r="Q19" s="6">
        <v>360.58</v>
      </c>
      <c r="R19" s="6">
        <v>4766.18</v>
      </c>
      <c r="S19" s="6">
        <v>15653.37</v>
      </c>
      <c r="T19" s="6">
        <v>35950.559999999998</v>
      </c>
      <c r="U19" s="56">
        <v>44501</v>
      </c>
      <c r="V19" s="58">
        <f t="shared" si="0"/>
        <v>101.57469224485196</v>
      </c>
      <c r="W19" s="58">
        <f t="shared" si="1"/>
        <v>105.69503056968048</v>
      </c>
      <c r="X19" s="58">
        <f t="shared" si="2"/>
        <v>106.3794202516402</v>
      </c>
      <c r="Y19" s="58">
        <f t="shared" si="3"/>
        <v>102.36468709638473</v>
      </c>
    </row>
    <row r="20" spans="1:25" x14ac:dyDescent="0.25">
      <c r="A20" t="s">
        <v>16</v>
      </c>
      <c r="C20" s="7">
        <v>46246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3">
        <f>I28*(1+B8)/(B7-B8)</f>
        <v>333318970491.99066</v>
      </c>
      <c r="P20" s="56">
        <v>44562</v>
      </c>
      <c r="Q20" s="58">
        <v>355.08</v>
      </c>
      <c r="R20" s="6">
        <v>4500.53</v>
      </c>
      <c r="S20" s="6">
        <v>13770.57</v>
      </c>
      <c r="T20" s="6">
        <v>34725.47</v>
      </c>
      <c r="U20" s="56">
        <v>44531</v>
      </c>
      <c r="V20" s="58">
        <f t="shared" si="0"/>
        <v>100.02535282684018</v>
      </c>
      <c r="W20" s="58">
        <f t="shared" si="1"/>
        <v>99.80396374659874</v>
      </c>
      <c r="X20" s="58">
        <f t="shared" si="2"/>
        <v>93.584017571591872</v>
      </c>
      <c r="Y20" s="58">
        <f t="shared" si="3"/>
        <v>98.876397775859289</v>
      </c>
    </row>
    <row r="21" spans="1:25" x14ac:dyDescent="0.25">
      <c r="A21" t="s">
        <v>18</v>
      </c>
      <c r="B21" t="s">
        <v>84</v>
      </c>
      <c r="D21" s="5">
        <v>32790000000</v>
      </c>
      <c r="E21" s="5">
        <f>D21*1.15</f>
        <v>37708500000</v>
      </c>
      <c r="F21" s="5">
        <f>E21*1.13</f>
        <v>42610604999.999992</v>
      </c>
      <c r="G21" s="5">
        <f>F21*1.1</f>
        <v>46871665499.999992</v>
      </c>
      <c r="H21" s="5">
        <f>G21*1.11</f>
        <v>52027548704.999992</v>
      </c>
      <c r="I21" s="5">
        <f>H21*1.08</f>
        <v>56189752601.399994</v>
      </c>
      <c r="L21" t="s">
        <v>19</v>
      </c>
      <c r="M21" s="13">
        <f>(I22+I25)*20</f>
        <v>589992402314.69995</v>
      </c>
      <c r="P21" s="56">
        <v>44593</v>
      </c>
      <c r="Q21" s="6">
        <v>369.09</v>
      </c>
      <c r="R21" s="6">
        <v>4384.6499999999996</v>
      </c>
      <c r="S21" s="6">
        <v>13313.44</v>
      </c>
      <c r="T21" s="6">
        <v>34058.75</v>
      </c>
      <c r="U21" s="56">
        <v>44562</v>
      </c>
      <c r="V21" s="57">
        <f t="shared" si="0"/>
        <v>103.97194287163019</v>
      </c>
      <c r="W21" s="57">
        <f t="shared" si="1"/>
        <v>97.234203447488227</v>
      </c>
      <c r="X21" s="57">
        <f t="shared" si="2"/>
        <v>90.477387856736087</v>
      </c>
      <c r="Y21" s="57">
        <f t="shared" si="3"/>
        <v>96.977996633265064</v>
      </c>
    </row>
    <row r="22" spans="1:25" x14ac:dyDescent="0.25">
      <c r="A22" t="s">
        <v>76</v>
      </c>
      <c r="B22" t="s">
        <v>97</v>
      </c>
      <c r="C22" s="60">
        <v>0.5</v>
      </c>
      <c r="D22" s="5">
        <f>D21*$C$22</f>
        <v>16395000000</v>
      </c>
      <c r="E22" s="5">
        <f t="shared" ref="E22:I22" si="4">E21*$C$22</f>
        <v>18854250000</v>
      </c>
      <c r="F22" s="5">
        <f t="shared" si="4"/>
        <v>21305302499.999996</v>
      </c>
      <c r="G22" s="5">
        <f t="shared" si="4"/>
        <v>23435832749.999996</v>
      </c>
      <c r="H22" s="5">
        <f t="shared" si="4"/>
        <v>26013774352.499996</v>
      </c>
      <c r="I22" s="5">
        <f t="shared" si="4"/>
        <v>28094876300.699997</v>
      </c>
      <c r="L22" t="s">
        <v>20</v>
      </c>
      <c r="M22" s="13">
        <f>(M20+M21)/2</f>
        <v>461655686403.34534</v>
      </c>
      <c r="P22" s="56">
        <v>44621</v>
      </c>
      <c r="Q22" s="6">
        <v>349.02</v>
      </c>
      <c r="R22" s="6">
        <v>4543.0600000000004</v>
      </c>
      <c r="S22" s="6">
        <v>14169.3</v>
      </c>
      <c r="T22" s="6">
        <v>34861.24</v>
      </c>
      <c r="U22" s="56">
        <v>44593</v>
      </c>
      <c r="V22" s="58">
        <f t="shared" si="0"/>
        <v>98.318262486267216</v>
      </c>
      <c r="W22" s="58">
        <f t="shared" si="1"/>
        <v>100.74711101550773</v>
      </c>
      <c r="X22" s="58">
        <f t="shared" si="2"/>
        <v>96.293764178037407</v>
      </c>
      <c r="Y22" s="58">
        <f t="shared" si="3"/>
        <v>99.262985733517681</v>
      </c>
    </row>
    <row r="23" spans="1:25" x14ac:dyDescent="0.25">
      <c r="A23" t="s">
        <v>21</v>
      </c>
      <c r="B23" t="s">
        <v>22</v>
      </c>
      <c r="C23" s="25"/>
      <c r="D23" s="5">
        <f>D22*$B$6</f>
        <v>3442950000</v>
      </c>
      <c r="E23" s="30">
        <f t="shared" ref="E23:I23" si="5">E22*$B$6</f>
        <v>3959392500</v>
      </c>
      <c r="F23" s="5">
        <f t="shared" si="5"/>
        <v>4474113524.999999</v>
      </c>
      <c r="G23" s="30">
        <f t="shared" si="5"/>
        <v>4921524877.499999</v>
      </c>
      <c r="H23" s="30">
        <f t="shared" si="5"/>
        <v>5462892614.0249987</v>
      </c>
      <c r="I23" s="5">
        <f t="shared" si="5"/>
        <v>5899924023.1469994</v>
      </c>
      <c r="P23" s="56">
        <v>44652</v>
      </c>
      <c r="Q23" s="6">
        <v>351.18</v>
      </c>
      <c r="R23" s="6">
        <v>4271.78</v>
      </c>
      <c r="S23" s="6">
        <v>12839.29</v>
      </c>
      <c r="T23" s="6">
        <v>33811.4</v>
      </c>
      <c r="U23" s="56">
        <v>44621</v>
      </c>
      <c r="V23" s="58">
        <f t="shared" si="0"/>
        <v>98.926730330431838</v>
      </c>
      <c r="W23" s="58">
        <f t="shared" si="1"/>
        <v>94.73119304913989</v>
      </c>
      <c r="X23" s="58">
        <f t="shared" si="2"/>
        <v>87.255091181175786</v>
      </c>
      <c r="Y23" s="58">
        <f t="shared" si="3"/>
        <v>96.273698693169266</v>
      </c>
    </row>
    <row r="24" spans="1:25" x14ac:dyDescent="0.25">
      <c r="A24" t="s">
        <v>23</v>
      </c>
      <c r="B24" t="s">
        <v>24</v>
      </c>
      <c r="C24" s="25"/>
      <c r="D24" s="5">
        <f>D22*(1-$B$6)</f>
        <v>12952050000</v>
      </c>
      <c r="E24" s="5">
        <f t="shared" ref="E24:I24" si="6">E22*(1-$B$6)</f>
        <v>14894857500</v>
      </c>
      <c r="F24" s="5">
        <f t="shared" si="6"/>
        <v>16831188974.999998</v>
      </c>
      <c r="G24" s="5">
        <f t="shared" si="6"/>
        <v>18514307872.499996</v>
      </c>
      <c r="H24" s="5">
        <f t="shared" si="6"/>
        <v>20550881738.474998</v>
      </c>
      <c r="I24" s="5">
        <f t="shared" si="6"/>
        <v>22194952277.552998</v>
      </c>
      <c r="P24" s="56">
        <v>44682</v>
      </c>
      <c r="Q24" s="6">
        <v>357.78</v>
      </c>
      <c r="R24" s="6">
        <v>4158.24</v>
      </c>
      <c r="S24" s="6">
        <v>11354.62</v>
      </c>
      <c r="T24" s="6">
        <v>33212.959999999999</v>
      </c>
      <c r="U24" s="56">
        <v>44652</v>
      </c>
      <c r="V24" s="57">
        <f t="shared" si="0"/>
        <v>100.78593763204596</v>
      </c>
      <c r="W24" s="57">
        <f t="shared" si="1"/>
        <v>92.213324699459122</v>
      </c>
      <c r="X24" s="57">
        <f t="shared" si="2"/>
        <v>77.165357541390705</v>
      </c>
      <c r="Y24" s="57">
        <f t="shared" si="3"/>
        <v>94.569716242104235</v>
      </c>
    </row>
    <row r="25" spans="1:25" x14ac:dyDescent="0.25">
      <c r="A25" s="4" t="s">
        <v>25</v>
      </c>
      <c r="B25" s="8" t="s">
        <v>92</v>
      </c>
      <c r="C25" s="61">
        <v>2.5000000000000001E-2</v>
      </c>
      <c r="D25" s="12">
        <f>D21*$C$25</f>
        <v>819750000</v>
      </c>
      <c r="E25" s="12">
        <f t="shared" ref="E25:I25" si="7">E21*$C$25</f>
        <v>942712500</v>
      </c>
      <c r="F25" s="12">
        <f t="shared" si="7"/>
        <v>1065265124.9999999</v>
      </c>
      <c r="G25" s="12">
        <f t="shared" si="7"/>
        <v>1171791637.4999998</v>
      </c>
      <c r="H25" s="12">
        <f t="shared" si="7"/>
        <v>1300688717.625</v>
      </c>
      <c r="I25" s="12">
        <f t="shared" si="7"/>
        <v>1404743815.0349998</v>
      </c>
      <c r="P25" s="56">
        <v>44713</v>
      </c>
      <c r="Q25" s="6">
        <v>318.24</v>
      </c>
      <c r="R25" s="6">
        <v>3911.74</v>
      </c>
      <c r="S25" s="6">
        <v>11127.85</v>
      </c>
      <c r="T25" s="6">
        <v>31097.26</v>
      </c>
      <c r="U25" s="56">
        <v>44682</v>
      </c>
      <c r="V25" s="58">
        <f t="shared" si="0"/>
        <v>89.647595706921322</v>
      </c>
      <c r="W25" s="58">
        <f t="shared" si="1"/>
        <v>86.746929171924236</v>
      </c>
      <c r="X25" s="58">
        <f t="shared" si="2"/>
        <v>75.624241402791498</v>
      </c>
      <c r="Y25" s="58">
        <f t="shared" si="3"/>
        <v>88.545527231145243</v>
      </c>
    </row>
    <row r="26" spans="1:25" x14ac:dyDescent="0.25">
      <c r="A26" t="s">
        <v>26</v>
      </c>
      <c r="B26" t="s">
        <v>92</v>
      </c>
      <c r="C26" s="61">
        <v>2.5000000000000001E-2</v>
      </c>
      <c r="D26" s="10">
        <f>D21*$C$26</f>
        <v>819750000</v>
      </c>
      <c r="E26" s="10">
        <f t="shared" ref="E26:I26" si="8">E21*$C$26</f>
        <v>942712500</v>
      </c>
      <c r="F26" s="10">
        <f t="shared" si="8"/>
        <v>1065265124.9999999</v>
      </c>
      <c r="G26" s="10">
        <f t="shared" si="8"/>
        <v>1171791637.4999998</v>
      </c>
      <c r="H26" s="10">
        <f t="shared" si="8"/>
        <v>1300688717.625</v>
      </c>
      <c r="I26" s="10">
        <f t="shared" si="8"/>
        <v>1404743815.0349998</v>
      </c>
      <c r="P26" s="56">
        <v>44743</v>
      </c>
      <c r="Q26" s="6">
        <v>353.79</v>
      </c>
      <c r="R26" s="6">
        <v>4130.29</v>
      </c>
      <c r="S26" s="6">
        <v>12390.69</v>
      </c>
      <c r="T26" s="6">
        <v>32845.129999999997</v>
      </c>
      <c r="U26" s="56">
        <v>44713</v>
      </c>
      <c r="V26" s="58">
        <f t="shared" si="0"/>
        <v>99.661962308797442</v>
      </c>
      <c r="W26" s="58">
        <f t="shared" si="1"/>
        <v>91.593504192381644</v>
      </c>
      <c r="X26" s="58">
        <f t="shared" si="2"/>
        <v>84.206430865544974</v>
      </c>
      <c r="Y26" s="58">
        <f t="shared" si="3"/>
        <v>93.522366691647619</v>
      </c>
    </row>
    <row r="27" spans="1:25" x14ac:dyDescent="0.25">
      <c r="A27" t="s">
        <v>27</v>
      </c>
      <c r="B27" t="s">
        <v>81</v>
      </c>
      <c r="C27" s="25">
        <v>0.01</v>
      </c>
      <c r="D27" s="10">
        <f>D21*$C$27</f>
        <v>327900000</v>
      </c>
      <c r="E27" s="10">
        <f t="shared" ref="E27:I27" si="9">E21*$C$27</f>
        <v>377085000</v>
      </c>
      <c r="F27" s="10">
        <f t="shared" si="9"/>
        <v>426106049.99999994</v>
      </c>
      <c r="G27" s="10">
        <f t="shared" si="9"/>
        <v>468716654.99999994</v>
      </c>
      <c r="H27" s="10">
        <f t="shared" si="9"/>
        <v>520275487.04999995</v>
      </c>
      <c r="I27" s="10">
        <f t="shared" si="9"/>
        <v>561897526.01399994</v>
      </c>
      <c r="P27" s="56">
        <v>44774</v>
      </c>
      <c r="Q27" s="6">
        <v>331.96</v>
      </c>
      <c r="R27" s="6">
        <v>3924.26</v>
      </c>
      <c r="S27" s="6">
        <v>12141.71</v>
      </c>
      <c r="T27" s="6">
        <v>31318.44</v>
      </c>
      <c r="U27" s="56">
        <v>44743</v>
      </c>
      <c r="V27" s="57">
        <f t="shared" si="0"/>
        <v>93.512493309670688</v>
      </c>
      <c r="W27" s="57">
        <f t="shared" si="1"/>
        <v>87.024573277420131</v>
      </c>
      <c r="X27" s="57">
        <f t="shared" si="2"/>
        <v>82.514376818764418</v>
      </c>
      <c r="Y27" s="57">
        <f t="shared" si="3"/>
        <v>89.175309395650572</v>
      </c>
    </row>
    <row r="28" spans="1:25" ht="30" x14ac:dyDescent="0.25">
      <c r="A28" s="8" t="s">
        <v>28</v>
      </c>
      <c r="B28" s="9" t="s">
        <v>29</v>
      </c>
      <c r="C28" s="18"/>
      <c r="D28" s="12">
        <f>D24+D25-D26-D27</f>
        <v>12624150000</v>
      </c>
      <c r="E28" s="12">
        <f t="shared" ref="E28:I28" si="10">E24+E25-E26-E27</f>
        <v>14517772500</v>
      </c>
      <c r="F28" s="12">
        <f t="shared" si="10"/>
        <v>16405082924.999996</v>
      </c>
      <c r="G28" s="12">
        <f t="shared" si="10"/>
        <v>18045591217.499996</v>
      </c>
      <c r="H28" s="12">
        <f t="shared" si="10"/>
        <v>20030606251.424999</v>
      </c>
      <c r="I28" s="12">
        <f t="shared" si="10"/>
        <v>21633054751.538998</v>
      </c>
      <c r="P28" s="56">
        <v>44805</v>
      </c>
      <c r="Q28" s="6">
        <v>293.58</v>
      </c>
      <c r="R28" s="6">
        <v>3585.62</v>
      </c>
      <c r="S28" s="6">
        <v>10867.93</v>
      </c>
      <c r="T28" s="6">
        <v>30822.42</v>
      </c>
      <c r="U28" s="56">
        <v>44774</v>
      </c>
      <c r="V28" s="58">
        <f t="shared" si="0"/>
        <v>82.700921152708517</v>
      </c>
      <c r="W28" s="58">
        <f t="shared" si="1"/>
        <v>79.514876800972203</v>
      </c>
      <c r="X28" s="58">
        <f t="shared" si="2"/>
        <v>73.857839732620405</v>
      </c>
      <c r="Y28" s="58">
        <f t="shared" si="3"/>
        <v>87.762954981879304</v>
      </c>
    </row>
    <row r="29" spans="1:25" x14ac:dyDescent="0.25">
      <c r="A29" t="s">
        <v>35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56">
        <v>44835</v>
      </c>
      <c r="Q29" s="6">
        <v>302.37</v>
      </c>
      <c r="R29" s="6">
        <v>3901.06</v>
      </c>
      <c r="S29" s="6">
        <v>11102.45</v>
      </c>
      <c r="T29" s="6">
        <v>32861.800000000003</v>
      </c>
      <c r="U29" s="56">
        <v>44805</v>
      </c>
      <c r="V29" s="58">
        <f t="shared" si="0"/>
        <v>85.177047240767351</v>
      </c>
      <c r="W29" s="58">
        <f t="shared" si="1"/>
        <v>86.510088992475659</v>
      </c>
      <c r="X29" s="58">
        <f t="shared" si="2"/>
        <v>75.451624434407591</v>
      </c>
      <c r="Y29" s="58">
        <f t="shared" si="3"/>
        <v>93.569832414960331</v>
      </c>
    </row>
    <row r="30" spans="1:25" x14ac:dyDescent="0.25">
      <c r="A30" t="s">
        <v>36</v>
      </c>
      <c r="C30" s="13">
        <f>-G39</f>
        <v>-499437600000</v>
      </c>
      <c r="D30" s="5">
        <f>D28</f>
        <v>12624150000</v>
      </c>
      <c r="E30" s="5">
        <f t="shared" ref="E30:I30" si="11">E28</f>
        <v>14517772500</v>
      </c>
      <c r="F30" s="5">
        <f t="shared" si="11"/>
        <v>16405082924.999996</v>
      </c>
      <c r="G30" s="5">
        <f t="shared" si="11"/>
        <v>18045591217.499996</v>
      </c>
      <c r="H30" s="5">
        <f t="shared" si="11"/>
        <v>20030606251.424999</v>
      </c>
      <c r="I30" s="5">
        <f t="shared" si="11"/>
        <v>21633054751.538998</v>
      </c>
      <c r="J30" s="13">
        <f>I28+M22</f>
        <v>483288741154.88434</v>
      </c>
      <c r="K30" t="s">
        <v>38</v>
      </c>
      <c r="P30" s="56">
        <v>44866</v>
      </c>
      <c r="Q30" s="6">
        <v>351.29</v>
      </c>
      <c r="R30" s="6">
        <v>4026.12</v>
      </c>
      <c r="S30" s="6">
        <v>11226.36</v>
      </c>
      <c r="T30" s="6">
        <v>34429.879999999997</v>
      </c>
      <c r="U30" s="56">
        <v>44835</v>
      </c>
      <c r="V30" s="57">
        <f t="shared" si="0"/>
        <v>98.957717118792075</v>
      </c>
      <c r="W30" s="57">
        <f t="shared" si="1"/>
        <v>89.283425400887481</v>
      </c>
      <c r="X30" s="57">
        <f t="shared" si="2"/>
        <v>76.293709810488323</v>
      </c>
      <c r="Y30" s="57">
        <f t="shared" si="3"/>
        <v>98.034742517670793</v>
      </c>
    </row>
    <row r="31" spans="1:25" x14ac:dyDescent="0.25">
      <c r="A31" t="s">
        <v>37</v>
      </c>
      <c r="D31" s="6">
        <f>1/(1+$B$7)^D29</f>
        <v>0.95950026887600048</v>
      </c>
      <c r="E31" s="6">
        <f t="shared" ref="E31:I31" si="12">1/(1+$B$7)^E29</f>
        <v>0.88335506248941298</v>
      </c>
      <c r="F31" s="6">
        <f t="shared" si="12"/>
        <v>0.8132526813564841</v>
      </c>
      <c r="G31" s="6">
        <f t="shared" si="12"/>
        <v>0.74871357149372497</v>
      </c>
      <c r="H31" s="6">
        <f t="shared" si="12"/>
        <v>0.68929623595445122</v>
      </c>
      <c r="I31" s="6">
        <f t="shared" si="12"/>
        <v>0.66137992373351095</v>
      </c>
      <c r="J31" t="s">
        <v>39</v>
      </c>
      <c r="P31" s="56">
        <v>44896</v>
      </c>
      <c r="Q31" s="6">
        <v>345.84</v>
      </c>
      <c r="R31" s="6">
        <v>3839.5</v>
      </c>
      <c r="S31" s="6">
        <v>10466.48</v>
      </c>
      <c r="T31" s="6">
        <v>33203.93</v>
      </c>
      <c r="U31" s="56">
        <v>44866</v>
      </c>
      <c r="V31" s="58">
        <f t="shared" si="0"/>
        <v>97.422462604580403</v>
      </c>
      <c r="W31" s="58">
        <f t="shared" si="1"/>
        <v>85.144931553631665</v>
      </c>
      <c r="X31" s="58">
        <f t="shared" si="2"/>
        <v>71.129608159481762</v>
      </c>
      <c r="Y31" s="58">
        <f t="shared" si="3"/>
        <v>94.5440044555707</v>
      </c>
    </row>
    <row r="32" spans="1:25" x14ac:dyDescent="0.25">
      <c r="A32" t="s">
        <v>40</v>
      </c>
      <c r="C32" s="13">
        <f>-G39</f>
        <v>-499437600000</v>
      </c>
      <c r="D32" s="5">
        <f>D30*D31</f>
        <v>12112875319.330961</v>
      </c>
      <c r="E32" s="5">
        <f t="shared" ref="E32:I32" si="13">E30*E31</f>
        <v>12824347833.944582</v>
      </c>
      <c r="F32" s="5">
        <f t="shared" si="13"/>
        <v>13341477676.63172</v>
      </c>
      <c r="G32" s="5">
        <f t="shared" si="13"/>
        <v>13510979050.170219</v>
      </c>
      <c r="H32" s="5">
        <f t="shared" si="13"/>
        <v>13807021492.992952</v>
      </c>
      <c r="I32" s="5">
        <f t="shared" si="13"/>
        <v>14307668101.695728</v>
      </c>
      <c r="J32" s="14">
        <f>M22</f>
        <v>461655686403.34534</v>
      </c>
      <c r="P32" s="56">
        <v>44927</v>
      </c>
      <c r="Q32" s="6">
        <v>374.03</v>
      </c>
      <c r="R32" s="6">
        <v>4070.56</v>
      </c>
      <c r="S32" s="6">
        <v>11140.43</v>
      </c>
      <c r="T32" s="6">
        <v>33375.49</v>
      </c>
      <c r="U32" s="56">
        <v>44896</v>
      </c>
      <c r="V32" s="58">
        <f t="shared" si="0"/>
        <v>105.36353136708074</v>
      </c>
      <c r="W32" s="58">
        <f t="shared" si="1"/>
        <v>90.268928919117315</v>
      </c>
      <c r="X32" s="58">
        <f t="shared" si="2"/>
        <v>75.709734373746997</v>
      </c>
      <c r="Y32" s="58">
        <f t="shared" si="3"/>
        <v>95.032499925968267</v>
      </c>
    </row>
    <row r="33" spans="1:25" x14ac:dyDescent="0.25">
      <c r="A33" t="s">
        <v>55</v>
      </c>
      <c r="C33" s="29">
        <v>-499438</v>
      </c>
      <c r="D33" s="45">
        <v>12113</v>
      </c>
      <c r="E33" s="24">
        <v>12824</v>
      </c>
      <c r="F33" s="24">
        <v>13341</v>
      </c>
      <c r="G33" s="24">
        <v>13511</v>
      </c>
      <c r="H33" s="24">
        <v>13807</v>
      </c>
      <c r="I33" s="24">
        <v>14308</v>
      </c>
      <c r="J33" s="24">
        <v>461656</v>
      </c>
      <c r="P33" s="56">
        <v>44958</v>
      </c>
      <c r="Q33" s="6">
        <v>353.12</v>
      </c>
      <c r="R33" s="6">
        <v>4045.64</v>
      </c>
      <c r="S33" s="6">
        <v>11689.01</v>
      </c>
      <c r="T33" s="6">
        <v>32816.92</v>
      </c>
      <c r="U33" s="56">
        <v>44927</v>
      </c>
      <c r="V33" s="57">
        <f t="shared" si="0"/>
        <v>99.473224597875998</v>
      </c>
      <c r="W33" s="57">
        <f t="shared" si="1"/>
        <v>89.716301833737305</v>
      </c>
      <c r="X33" s="57">
        <f t="shared" si="2"/>
        <v>79.437853134221243</v>
      </c>
      <c r="Y33" s="57">
        <f t="shared" si="3"/>
        <v>93.442042273252213</v>
      </c>
    </row>
    <row r="34" spans="1:25" x14ac:dyDescent="0.25">
      <c r="P34" s="56">
        <v>44986</v>
      </c>
      <c r="Q34" s="6">
        <v>351.63</v>
      </c>
      <c r="R34" s="6">
        <v>3970.99</v>
      </c>
      <c r="S34" s="6">
        <v>11823.96</v>
      </c>
      <c r="T34" s="6">
        <v>33274.15</v>
      </c>
      <c r="U34" s="56">
        <v>44958</v>
      </c>
      <c r="V34" s="58">
        <f t="shared" si="0"/>
        <v>99.053494464632806</v>
      </c>
      <c r="W34" s="58">
        <f t="shared" si="1"/>
        <v>88.060859942741445</v>
      </c>
      <c r="X34" s="58">
        <f t="shared" si="2"/>
        <v>80.354965728056243</v>
      </c>
      <c r="Y34" s="58">
        <f t="shared" si="3"/>
        <v>94.743947052512411</v>
      </c>
    </row>
    <row r="35" spans="1:25" x14ac:dyDescent="0.25">
      <c r="A35" s="3" t="s">
        <v>41</v>
      </c>
      <c r="F35" s="3" t="s">
        <v>31</v>
      </c>
      <c r="P35" s="56">
        <v>45017</v>
      </c>
      <c r="Q35" s="6">
        <v>375.24</v>
      </c>
      <c r="R35" s="6">
        <v>4133.5200000000004</v>
      </c>
      <c r="S35" s="6">
        <v>12072.46</v>
      </c>
      <c r="T35" s="6">
        <v>33808.959999999999</v>
      </c>
      <c r="U35" s="56">
        <v>44986</v>
      </c>
      <c r="V35" s="58">
        <f t="shared" si="0"/>
        <v>105.70438603904336</v>
      </c>
      <c r="W35" s="58">
        <f t="shared" si="1"/>
        <v>91.665132823432103</v>
      </c>
      <c r="X35" s="58">
        <f t="shared" si="2"/>
        <v>82.043757721890955</v>
      </c>
      <c r="Y35" s="58">
        <f t="shared" si="3"/>
        <v>96.26675110079475</v>
      </c>
    </row>
    <row r="36" spans="1:25" x14ac:dyDescent="0.25">
      <c r="A36" s="13" t="s">
        <v>42</v>
      </c>
      <c r="B36" s="17">
        <f>SUM(D32:I32)</f>
        <v>79904369474.766159</v>
      </c>
      <c r="C36" t="s">
        <v>45</v>
      </c>
      <c r="F36" t="s">
        <v>33</v>
      </c>
      <c r="G36" s="15">
        <f>B13*B12</f>
        <v>486897600000</v>
      </c>
      <c r="H36" t="s">
        <v>34</v>
      </c>
      <c r="L36" s="3" t="s">
        <v>51</v>
      </c>
      <c r="P36" s="56">
        <v>45047</v>
      </c>
      <c r="Q36" s="6">
        <v>373.73</v>
      </c>
      <c r="R36" s="6">
        <v>4282.37</v>
      </c>
      <c r="S36" s="6">
        <v>13240.77</v>
      </c>
      <c r="T36" s="6">
        <v>33093.339999999997</v>
      </c>
      <c r="U36" s="56">
        <v>45017</v>
      </c>
      <c r="V36" s="57">
        <f t="shared" si="0"/>
        <v>105.27902194428012</v>
      </c>
      <c r="W36" s="57">
        <f t="shared" si="1"/>
        <v>94.966037384379632</v>
      </c>
      <c r="X36" s="57">
        <f t="shared" si="2"/>
        <v>89.983526632623523</v>
      </c>
      <c r="Y36" s="57">
        <f t="shared" si="3"/>
        <v>94.229113373318043</v>
      </c>
    </row>
    <row r="37" spans="1:25" x14ac:dyDescent="0.25">
      <c r="A37" t="s">
        <v>11</v>
      </c>
      <c r="B37" s="19">
        <f>B15</f>
        <v>12100000000</v>
      </c>
      <c r="F37" t="s">
        <v>10</v>
      </c>
      <c r="G37" s="14">
        <f>B14</f>
        <v>24640000000</v>
      </c>
      <c r="L37" t="s">
        <v>52</v>
      </c>
      <c r="M37" s="21">
        <f>(B40/B12)-1</f>
        <v>-0.45674403008136466</v>
      </c>
      <c r="P37" s="56">
        <v>45078</v>
      </c>
      <c r="Q37" s="6">
        <v>379.81</v>
      </c>
      <c r="R37" s="6">
        <v>4450.38</v>
      </c>
      <c r="S37" s="6">
        <v>13492.52</v>
      </c>
      <c r="T37" s="6">
        <v>33727.43</v>
      </c>
      <c r="U37" s="56">
        <v>45047</v>
      </c>
      <c r="V37" s="58">
        <f t="shared" si="0"/>
        <v>106.99174624637313</v>
      </c>
      <c r="W37" s="58">
        <f t="shared" si="1"/>
        <v>98.691835001341659</v>
      </c>
      <c r="X37" s="58">
        <f t="shared" si="2"/>
        <v>91.69440544327901</v>
      </c>
      <c r="Y37" s="58">
        <f t="shared" si="3"/>
        <v>96.034604704772875</v>
      </c>
    </row>
    <row r="38" spans="1:25" x14ac:dyDescent="0.25">
      <c r="A38" t="s">
        <v>10</v>
      </c>
      <c r="B38" s="19">
        <f>B14</f>
        <v>24640000000</v>
      </c>
      <c r="C38" s="3"/>
      <c r="F38" t="s">
        <v>11</v>
      </c>
      <c r="G38" s="14">
        <f>B15</f>
        <v>12100000000</v>
      </c>
      <c r="L38" t="s">
        <v>53</v>
      </c>
      <c r="M38" s="23">
        <f>IRR(C33:J33)</f>
        <v>1.2564828438691E-2</v>
      </c>
      <c r="N38" t="s">
        <v>56</v>
      </c>
      <c r="P38" s="56">
        <v>45108</v>
      </c>
      <c r="Q38" s="6">
        <v>391.35</v>
      </c>
      <c r="R38" s="6">
        <v>4582.2299999999996</v>
      </c>
      <c r="S38" s="6">
        <v>14032.81</v>
      </c>
      <c r="T38" s="6">
        <v>35065.620000000003</v>
      </c>
      <c r="U38" s="56">
        <v>45078</v>
      </c>
      <c r="V38" s="58">
        <f t="shared" si="0"/>
        <v>110.24254204343784</v>
      </c>
      <c r="W38" s="58">
        <f t="shared" si="1"/>
        <v>101.61574676728678</v>
      </c>
      <c r="X38" s="58">
        <f t="shared" si="2"/>
        <v>95.366185831001189</v>
      </c>
      <c r="Y38" s="58">
        <f t="shared" si="3"/>
        <v>99.844932016100202</v>
      </c>
    </row>
    <row r="39" spans="1:25" x14ac:dyDescent="0.25">
      <c r="A39" t="s">
        <v>44</v>
      </c>
      <c r="B39" s="17">
        <f>(((B36+B37)-B38)+(M22))/2</f>
        <v>264510027939.05576</v>
      </c>
      <c r="C39" t="s">
        <v>74</v>
      </c>
      <c r="F39" t="s">
        <v>30</v>
      </c>
      <c r="G39" s="13">
        <f>G36+G37-G38</f>
        <v>499437600000</v>
      </c>
      <c r="H39" t="s">
        <v>32</v>
      </c>
      <c r="P39" s="56">
        <v>45139</v>
      </c>
      <c r="Q39" s="6">
        <v>402.89</v>
      </c>
      <c r="R39" s="6">
        <v>4515.7700000000004</v>
      </c>
      <c r="S39" s="6">
        <v>13590.65</v>
      </c>
      <c r="T39" s="6">
        <v>34837.71</v>
      </c>
      <c r="U39" s="56">
        <v>45108</v>
      </c>
      <c r="V39" s="57">
        <f t="shared" si="0"/>
        <v>113.49333784050255</v>
      </c>
      <c r="W39" s="57">
        <f t="shared" si="1"/>
        <v>100.14192669929503</v>
      </c>
      <c r="X39" s="57">
        <f t="shared" si="2"/>
        <v>92.36129139239371</v>
      </c>
      <c r="Y39" s="57">
        <f t="shared" si="3"/>
        <v>99.195987025086495</v>
      </c>
    </row>
    <row r="40" spans="1:25" x14ac:dyDescent="0.25">
      <c r="A40" t="s">
        <v>71</v>
      </c>
      <c r="B40" s="20">
        <f>B39/B13</f>
        <v>304.22334315443578</v>
      </c>
      <c r="C40" t="s">
        <v>75</v>
      </c>
      <c r="F40" t="s">
        <v>48</v>
      </c>
      <c r="G40" s="16">
        <f>G39/B13</f>
        <v>574.42274515216343</v>
      </c>
      <c r="H40" t="s">
        <v>49</v>
      </c>
      <c r="L40" s="46" t="s">
        <v>80</v>
      </c>
      <c r="M40" s="47"/>
      <c r="P40" s="56">
        <v>45170</v>
      </c>
      <c r="Q40" s="6">
        <v>402.22</v>
      </c>
      <c r="R40" s="6">
        <v>4320.0600000000004</v>
      </c>
      <c r="S40" s="6">
        <v>13211.81</v>
      </c>
      <c r="T40" s="6">
        <v>33507.5</v>
      </c>
      <c r="U40" s="56">
        <v>45139</v>
      </c>
      <c r="V40" s="58">
        <f t="shared" si="0"/>
        <v>113.30460012958112</v>
      </c>
      <c r="W40" s="58">
        <f t="shared" si="1"/>
        <v>95.801852586946751</v>
      </c>
      <c r="X40" s="58">
        <f t="shared" si="2"/>
        <v>89.786716104891312</v>
      </c>
      <c r="Y40" s="58">
        <f t="shared" si="3"/>
        <v>95.408381757672529</v>
      </c>
    </row>
    <row r="41" spans="1:25" x14ac:dyDescent="0.25">
      <c r="A41" t="s">
        <v>46</v>
      </c>
      <c r="B41" s="22">
        <f>(B40/B12)-1</f>
        <v>-0.45674403008136466</v>
      </c>
      <c r="C41" t="s">
        <v>47</v>
      </c>
      <c r="F41" t="s">
        <v>46</v>
      </c>
      <c r="G41" s="21">
        <f>(G40/B12)-1</f>
        <v>2.5754902057434803E-2</v>
      </c>
      <c r="H41" t="s">
        <v>50</v>
      </c>
      <c r="L41" s="48" t="s">
        <v>41</v>
      </c>
      <c r="M41" s="49">
        <f>B40</f>
        <v>304.22334315443578</v>
      </c>
      <c r="P41" s="56">
        <v>45200</v>
      </c>
      <c r="Q41" s="6">
        <v>384.41</v>
      </c>
      <c r="R41" s="6">
        <v>4117.37</v>
      </c>
      <c r="S41" s="6">
        <v>12643.01</v>
      </c>
      <c r="T41" s="6">
        <v>34061.32</v>
      </c>
      <c r="U41" s="56">
        <v>45170</v>
      </c>
      <c r="V41" s="58">
        <f t="shared" si="0"/>
        <v>108.28755739598299</v>
      </c>
      <c r="W41" s="58">
        <f t="shared" si="1"/>
        <v>91.30698966817981</v>
      </c>
      <c r="X41" s="58">
        <f t="shared" si="2"/>
        <v>85.921183364073656</v>
      </c>
      <c r="Y41" s="58">
        <f t="shared" si="3"/>
        <v>96.985314384249691</v>
      </c>
    </row>
    <row r="42" spans="1:25" x14ac:dyDescent="0.25">
      <c r="L42" s="48" t="s">
        <v>8</v>
      </c>
      <c r="M42" s="53">
        <f>B12</f>
        <v>560</v>
      </c>
      <c r="P42" s="56">
        <v>45231</v>
      </c>
      <c r="Q42" s="6">
        <v>414.36</v>
      </c>
      <c r="R42" s="6">
        <v>4559.34</v>
      </c>
      <c r="S42" s="6">
        <v>14250.85</v>
      </c>
      <c r="T42" s="6">
        <v>36245.5</v>
      </c>
      <c r="U42" s="56">
        <v>45200</v>
      </c>
      <c r="V42" s="57">
        <f t="shared" si="0"/>
        <v>116.72441477224712</v>
      </c>
      <c r="W42" s="57">
        <f t="shared" si="1"/>
        <v>101.10813705683942</v>
      </c>
      <c r="X42" s="57">
        <f t="shared" si="2"/>
        <v>96.847973381647961</v>
      </c>
      <c r="Y42" s="57">
        <f t="shared" si="3"/>
        <v>103.20449156152263</v>
      </c>
    </row>
    <row r="43" spans="1:25" x14ac:dyDescent="0.25">
      <c r="L43" s="48" t="s">
        <v>83</v>
      </c>
      <c r="M43" s="49">
        <f>(B40-B12)</f>
        <v>-255.77665684556422</v>
      </c>
      <c r="P43" s="56">
        <v>45261</v>
      </c>
      <c r="Q43" s="6">
        <v>426.51</v>
      </c>
      <c r="R43" s="6">
        <v>4769.83</v>
      </c>
      <c r="S43" s="6">
        <v>14992.97</v>
      </c>
      <c r="T43" s="6">
        <v>37689.54</v>
      </c>
      <c r="U43" s="56">
        <v>45231</v>
      </c>
      <c r="V43" s="58">
        <f t="shared" si="0"/>
        <v>120.1470463956731</v>
      </c>
      <c r="W43" s="58">
        <f t="shared" si="1"/>
        <v>105.77597314037217</v>
      </c>
      <c r="X43" s="58">
        <f t="shared" si="2"/>
        <v>101.8913790736585</v>
      </c>
      <c r="Y43" s="58">
        <f t="shared" si="3"/>
        <v>107.31621340270294</v>
      </c>
    </row>
    <row r="44" spans="1:25" x14ac:dyDescent="0.25">
      <c r="L44" s="48" t="s">
        <v>82</v>
      </c>
      <c r="M44" s="54">
        <f>((B40-B12)/(B12))</f>
        <v>-0.45674403008136466</v>
      </c>
      <c r="P44" s="56">
        <v>45292</v>
      </c>
      <c r="Q44" s="6">
        <v>436.78</v>
      </c>
      <c r="R44" s="6">
        <v>4958.6099999999997</v>
      </c>
      <c r="S44" s="6">
        <v>15628.95</v>
      </c>
      <c r="T44" s="6">
        <v>38109.43</v>
      </c>
      <c r="U44" s="56">
        <v>45261</v>
      </c>
      <c r="V44" s="58">
        <f t="shared" si="0"/>
        <v>123.0400856362151</v>
      </c>
      <c r="W44" s="58">
        <f t="shared" si="1"/>
        <v>109.96236724864006</v>
      </c>
      <c r="X44" s="58">
        <f t="shared" si="2"/>
        <v>106.21346330802071</v>
      </c>
      <c r="Y44" s="58">
        <f t="shared" si="3"/>
        <v>108.51179723964182</v>
      </c>
    </row>
    <row r="45" spans="1:25" x14ac:dyDescent="0.25">
      <c r="L45" s="48"/>
      <c r="M45" s="50"/>
      <c r="P45" s="56">
        <v>45323</v>
      </c>
      <c r="Q45" s="6">
        <v>468.13</v>
      </c>
      <c r="R45" s="6">
        <v>5137.08</v>
      </c>
      <c r="S45" s="6">
        <v>16274.94</v>
      </c>
      <c r="T45" s="6">
        <v>39087.379999999997</v>
      </c>
      <c r="U45" s="56">
        <v>45292</v>
      </c>
      <c r="V45" s="57">
        <f t="shared" si="0"/>
        <v>131.87132031888223</v>
      </c>
      <c r="W45" s="57">
        <f t="shared" si="1"/>
        <v>113.92012631476238</v>
      </c>
      <c r="X45" s="57">
        <f t="shared" si="2"/>
        <v>110.6035749381909</v>
      </c>
      <c r="Y45" s="57">
        <f t="shared" si="3"/>
        <v>111.29638656859551</v>
      </c>
    </row>
    <row r="46" spans="1:25" x14ac:dyDescent="0.25">
      <c r="L46" s="51" t="s">
        <v>54</v>
      </c>
      <c r="M46" s="50"/>
      <c r="P46" s="56">
        <v>45352</v>
      </c>
      <c r="Q46" s="6">
        <v>481.57</v>
      </c>
      <c r="R46" s="6">
        <v>5234.18</v>
      </c>
      <c r="S46" s="6">
        <v>16428.82</v>
      </c>
      <c r="T46" s="6">
        <v>39807.370000000003</v>
      </c>
      <c r="U46" s="56">
        <v>45323</v>
      </c>
      <c r="V46" s="58">
        <f t="shared" si="0"/>
        <v>135.657342460351</v>
      </c>
      <c r="W46" s="58">
        <f t="shared" si="1"/>
        <v>116.07342045562908</v>
      </c>
      <c r="X46" s="58">
        <f t="shared" si="2"/>
        <v>111.64933474507737</v>
      </c>
      <c r="Y46" s="58">
        <f t="shared" si="3"/>
        <v>113.34646732012</v>
      </c>
    </row>
    <row r="47" spans="1:25" x14ac:dyDescent="0.25">
      <c r="L47" s="48" t="s">
        <v>41</v>
      </c>
      <c r="M47" s="49">
        <f>B40</f>
        <v>304.22334315443578</v>
      </c>
      <c r="P47" s="56">
        <v>45383</v>
      </c>
      <c r="Q47" s="6">
        <v>462.42</v>
      </c>
      <c r="R47" s="6">
        <v>4967.2299999999996</v>
      </c>
      <c r="S47" s="6">
        <v>15282.01</v>
      </c>
      <c r="T47" s="6">
        <v>37986.400000000001</v>
      </c>
      <c r="U47" s="56">
        <v>45352</v>
      </c>
      <c r="V47" s="58">
        <f t="shared" si="0"/>
        <v>130.26282430491</v>
      </c>
      <c r="W47" s="58">
        <f t="shared" si="1"/>
        <v>110.15352477175304</v>
      </c>
      <c r="X47" s="58">
        <f t="shared" si="2"/>
        <v>103.85567862254376</v>
      </c>
      <c r="Y47" s="58">
        <f t="shared" si="3"/>
        <v>108.16148482577488</v>
      </c>
    </row>
    <row r="48" spans="1:25" x14ac:dyDescent="0.25">
      <c r="L48" s="48" t="s">
        <v>31</v>
      </c>
      <c r="M48" s="49">
        <f>G40</f>
        <v>574.42274515216343</v>
      </c>
      <c r="P48" s="56">
        <v>45413</v>
      </c>
      <c r="Q48" s="6">
        <v>460.27</v>
      </c>
      <c r="R48" s="6">
        <v>5277.51</v>
      </c>
      <c r="S48" s="6">
        <v>16735.02</v>
      </c>
      <c r="T48" s="6">
        <v>38686.32</v>
      </c>
      <c r="U48" s="56">
        <v>45383</v>
      </c>
      <c r="V48" s="57">
        <f t="shared" si="0"/>
        <v>129.65717344150539</v>
      </c>
      <c r="W48" s="57">
        <f t="shared" si="1"/>
        <v>117.0343085619499</v>
      </c>
      <c r="X48" s="57">
        <f t="shared" si="2"/>
        <v>113.73025268677632</v>
      </c>
      <c r="Y48" s="57">
        <f t="shared" si="3"/>
        <v>110.15441878264514</v>
      </c>
    </row>
    <row r="49" spans="12:25" x14ac:dyDescent="0.25">
      <c r="L49" s="48" t="s">
        <v>83</v>
      </c>
      <c r="M49" s="49">
        <f>-(G40-B40)</f>
        <v>-270.19940199772765</v>
      </c>
      <c r="P49" s="56">
        <v>45444</v>
      </c>
      <c r="Q49" s="6">
        <v>454.85</v>
      </c>
      <c r="R49" s="6">
        <v>5464.62</v>
      </c>
      <c r="S49" s="6">
        <v>17689.36</v>
      </c>
      <c r="T49" s="6">
        <v>39150.33</v>
      </c>
      <c r="U49" s="56">
        <v>45413</v>
      </c>
      <c r="V49" s="58">
        <f t="shared" si="0"/>
        <v>128.1303698695738</v>
      </c>
      <c r="W49" s="58">
        <f t="shared" si="1"/>
        <v>121.18366867212049</v>
      </c>
      <c r="X49" s="58">
        <f t="shared" si="2"/>
        <v>120.21589353746536</v>
      </c>
      <c r="Y49" s="58">
        <f t="shared" si="3"/>
        <v>111.4756287571099</v>
      </c>
    </row>
    <row r="50" spans="12:25" x14ac:dyDescent="0.25">
      <c r="L50" s="52" t="s">
        <v>82</v>
      </c>
      <c r="M50" s="55">
        <f>((B40-G40)/(G40))</f>
        <v>-0.47038423230638676</v>
      </c>
      <c r="P50" s="56">
        <v>45474</v>
      </c>
      <c r="Q50" s="6">
        <v>443.69</v>
      </c>
      <c r="R50" s="6">
        <v>5459.1</v>
      </c>
      <c r="S50" s="6">
        <v>17357.88</v>
      </c>
      <c r="T50" s="6">
        <v>40287.53</v>
      </c>
      <c r="U50" s="56">
        <v>45444</v>
      </c>
      <c r="V50" s="58">
        <f t="shared" si="0"/>
        <v>124.98661934138991</v>
      </c>
      <c r="W50" s="58">
        <f t="shared" si="1"/>
        <v>121.06125689397855</v>
      </c>
      <c r="X50" s="58">
        <f t="shared" si="2"/>
        <v>117.96317414061896</v>
      </c>
      <c r="Y50" s="58">
        <f t="shared" si="3"/>
        <v>114.71366238345698</v>
      </c>
    </row>
    <row r="51" spans="12:25" x14ac:dyDescent="0.25">
      <c r="P51" s="56">
        <v>45505</v>
      </c>
      <c r="Q51" s="6">
        <v>483.34</v>
      </c>
      <c r="R51" s="6">
        <v>5648.4</v>
      </c>
      <c r="S51" s="6">
        <v>17877.79</v>
      </c>
      <c r="T51" s="6">
        <v>41175.08</v>
      </c>
      <c r="U51" s="56">
        <v>45474</v>
      </c>
      <c r="V51" s="57">
        <f t="shared" si="0"/>
        <v>136.15594805487476</v>
      </c>
      <c r="W51" s="57">
        <f t="shared" si="1"/>
        <v>125.25918254656415</v>
      </c>
      <c r="X51" s="57">
        <f t="shared" si="2"/>
        <v>121.49645319701577</v>
      </c>
      <c r="Y51" s="57">
        <f t="shared" si="3"/>
        <v>117.24084910968311</v>
      </c>
    </row>
    <row r="52" spans="12:25" x14ac:dyDescent="0.25">
      <c r="P52" s="56">
        <v>45536</v>
      </c>
      <c r="Q52" s="6">
        <v>493.64</v>
      </c>
      <c r="R52" s="6">
        <v>5751.07</v>
      </c>
      <c r="S52" s="6">
        <v>18137.849999999999</v>
      </c>
      <c r="T52" s="6">
        <v>42313</v>
      </c>
      <c r="U52" s="56">
        <v>45505</v>
      </c>
      <c r="V52" s="58">
        <f t="shared" si="0"/>
        <v>139.05743823769683</v>
      </c>
      <c r="W52" s="58">
        <f t="shared" si="1"/>
        <v>127.53599726791103</v>
      </c>
      <c r="X52" s="58">
        <f t="shared" si="2"/>
        <v>123.26380629929608</v>
      </c>
      <c r="Y52" s="58">
        <f t="shared" si="3"/>
        <v>120.48093284525547</v>
      </c>
    </row>
    <row r="53" spans="12:25" x14ac:dyDescent="0.25">
      <c r="P53" s="56">
        <v>45566</v>
      </c>
      <c r="Q53" s="6">
        <v>508.08</v>
      </c>
      <c r="R53" s="6">
        <v>5728.8</v>
      </c>
      <c r="S53" s="6">
        <v>18518.61</v>
      </c>
      <c r="T53" s="6">
        <v>42052.19</v>
      </c>
      <c r="U53" s="56">
        <v>45536</v>
      </c>
      <c r="V53" s="58">
        <f t="shared" si="0"/>
        <v>143.12515845516774</v>
      </c>
      <c r="W53" s="58">
        <f t="shared" si="1"/>
        <v>127.0421367064579</v>
      </c>
      <c r="X53" s="58">
        <f t="shared" si="2"/>
        <v>125.85142979858183</v>
      </c>
      <c r="Y53" s="58">
        <f t="shared" si="3"/>
        <v>119.73830925214293</v>
      </c>
    </row>
    <row r="54" spans="12:25" x14ac:dyDescent="0.25">
      <c r="P54" s="56">
        <v>45597</v>
      </c>
      <c r="Q54" s="6">
        <v>520.86</v>
      </c>
      <c r="R54" s="6">
        <v>5969.34</v>
      </c>
      <c r="S54" s="6">
        <v>19003.650000000001</v>
      </c>
      <c r="T54" s="6">
        <v>44296.51</v>
      </c>
      <c r="U54" s="56">
        <v>45566</v>
      </c>
      <c r="V54" s="57">
        <f t="shared" si="0"/>
        <v>146.72525986647511</v>
      </c>
      <c r="W54" s="57">
        <f t="shared" si="1"/>
        <v>132.37636299527429</v>
      </c>
      <c r="X54" s="57">
        <f t="shared" si="2"/>
        <v>129.14773430035083</v>
      </c>
      <c r="Y54" s="57">
        <f t="shared" si="3"/>
        <v>126.12872749720387</v>
      </c>
    </row>
    <row r="55" spans="12:25" x14ac:dyDescent="0.25">
      <c r="P55" s="56">
        <v>45627</v>
      </c>
      <c r="Q55" s="6">
        <v>532.20000000000005</v>
      </c>
      <c r="R55" s="6">
        <v>5942.47</v>
      </c>
      <c r="S55" s="6">
        <v>19722.03</v>
      </c>
      <c r="T55" s="6">
        <v>42840.26</v>
      </c>
      <c r="U55" s="56">
        <v>45597</v>
      </c>
      <c r="V55" s="58">
        <f t="shared" si="0"/>
        <v>149.91971604833941</v>
      </c>
      <c r="W55" s="58">
        <f t="shared" si="1"/>
        <v>131.78049261870285</v>
      </c>
      <c r="X55" s="58">
        <f t="shared" si="2"/>
        <v>134.02980429041514</v>
      </c>
      <c r="Y55" s="58">
        <f t="shared" si="3"/>
        <v>121.9822392204118</v>
      </c>
    </row>
    <row r="56" spans="12:25" x14ac:dyDescent="0.25">
      <c r="P56" s="56">
        <v>45658</v>
      </c>
      <c r="Q56" s="6">
        <v>555.42999999999995</v>
      </c>
      <c r="R56" s="6">
        <v>6040.53</v>
      </c>
      <c r="S56" s="6">
        <v>19627.439999999999</v>
      </c>
      <c r="T56" s="6">
        <v>44424.25</v>
      </c>
      <c r="U56" s="56">
        <v>45627</v>
      </c>
      <c r="V56" s="58">
        <f t="shared" si="0"/>
        <v>156.46356235386912</v>
      </c>
      <c r="W56" s="58">
        <f t="shared" si="1"/>
        <v>133.95507576446377</v>
      </c>
      <c r="X56" s="58">
        <f t="shared" si="2"/>
        <v>133.38697598177598</v>
      </c>
      <c r="Y56" s="58">
        <f t="shared" si="3"/>
        <v>126.49245104225275</v>
      </c>
    </row>
    <row r="57" spans="12:25" x14ac:dyDescent="0.25">
      <c r="P57" s="56">
        <v>45689</v>
      </c>
      <c r="Q57" s="6">
        <v>557.51</v>
      </c>
      <c r="R57" s="6">
        <v>5954.5</v>
      </c>
      <c r="S57" s="6">
        <v>19524.009999999998</v>
      </c>
      <c r="T57" s="6">
        <v>43840.91</v>
      </c>
      <c r="U57" s="56">
        <v>45658</v>
      </c>
      <c r="V57" s="57">
        <f t="shared" si="0"/>
        <v>157.04949435195357</v>
      </c>
      <c r="W57" s="57">
        <f t="shared" si="1"/>
        <v>132.04727046128394</v>
      </c>
      <c r="X57" s="57">
        <f t="shared" si="2"/>
        <v>132.68407153138432</v>
      </c>
      <c r="Y57" s="57">
        <f t="shared" si="3"/>
        <v>124.83146393743978</v>
      </c>
    </row>
    <row r="58" spans="12:25" x14ac:dyDescent="0.25">
      <c r="P58" s="56">
        <v>45717</v>
      </c>
      <c r="Q58" s="6">
        <v>489.77</v>
      </c>
      <c r="R58" s="6">
        <v>5074.08</v>
      </c>
      <c r="S58" s="6">
        <v>15587.79</v>
      </c>
      <c r="T58" s="6">
        <v>38314.86</v>
      </c>
      <c r="U58" s="56">
        <v>45689</v>
      </c>
      <c r="V58" s="58">
        <f t="shared" si="0"/>
        <v>137.96726668356854</v>
      </c>
      <c r="W58" s="58">
        <f t="shared" si="1"/>
        <v>112.523035368577</v>
      </c>
      <c r="X58" s="58">
        <f t="shared" si="2"/>
        <v>105.93374226791514</v>
      </c>
      <c r="Y58" s="58">
        <f t="shared" si="3"/>
        <v>109.0967332648445</v>
      </c>
    </row>
    <row r="59" spans="12:25" x14ac:dyDescent="0.25">
      <c r="P59" s="56">
        <v>45748</v>
      </c>
      <c r="Q59" s="6">
        <v>559.39</v>
      </c>
      <c r="R59" s="6">
        <v>5282.7</v>
      </c>
      <c r="S59" s="6">
        <v>16286.45</v>
      </c>
      <c r="T59" s="6">
        <v>39142.230000000003</v>
      </c>
      <c r="U59" s="56">
        <v>45717</v>
      </c>
      <c r="V59" s="58">
        <f t="shared" si="0"/>
        <v>157.5790867348376</v>
      </c>
      <c r="W59" s="58">
        <f t="shared" si="1"/>
        <v>117.14940224465946</v>
      </c>
      <c r="X59" s="58">
        <f t="shared" si="2"/>
        <v>110.68179624945462</v>
      </c>
      <c r="Y59" s="58">
        <f t="shared" si="3"/>
        <v>111.45256502832568</v>
      </c>
    </row>
    <row r="60" spans="12:25" x14ac:dyDescent="0.25">
      <c r="P60" s="56">
        <v>45778</v>
      </c>
      <c r="Q60" s="6">
        <v>585.6</v>
      </c>
      <c r="R60" s="6">
        <v>5802.82</v>
      </c>
      <c r="S60" s="6">
        <v>19113.77</v>
      </c>
      <c r="T60" s="6">
        <v>41603.07</v>
      </c>
      <c r="U60" s="56">
        <v>45748</v>
      </c>
      <c r="V60" s="57">
        <f t="shared" si="0"/>
        <v>164.96239330685373</v>
      </c>
      <c r="W60" s="57">
        <f t="shared" si="1"/>
        <v>128.68360768799189</v>
      </c>
      <c r="X60" s="57">
        <f t="shared" si="2"/>
        <v>129.89610361367508</v>
      </c>
      <c r="Y60" s="57">
        <f t="shared" si="3"/>
        <v>118.4594966754062</v>
      </c>
    </row>
    <row r="61" spans="12:25" x14ac:dyDescent="0.25">
      <c r="P61" s="56">
        <v>45809</v>
      </c>
      <c r="Q61" s="6">
        <v>532.97</v>
      </c>
      <c r="R61" s="6">
        <v>6279.35</v>
      </c>
      <c r="S61" s="6">
        <v>19447.41</v>
      </c>
      <c r="T61" s="6">
        <v>42206.82</v>
      </c>
      <c r="U61" s="56">
        <v>45778</v>
      </c>
      <c r="V61" s="58">
        <f t="shared" si="0"/>
        <v>150.13662356686103</v>
      </c>
      <c r="W61" s="58">
        <f t="shared" si="1"/>
        <v>139.25115925284464</v>
      </c>
      <c r="X61" s="58">
        <f t="shared" si="2"/>
        <v>132.16350224877775</v>
      </c>
      <c r="Y61" s="58">
        <f t="shared" si="3"/>
        <v>120.17859868200756</v>
      </c>
    </row>
    <row r="62" spans="12:25" x14ac:dyDescent="0.25">
      <c r="P62" s="56">
        <v>45839</v>
      </c>
      <c r="Q62" s="6">
        <v>568.22</v>
      </c>
      <c r="R62" s="6">
        <v>6238.01</v>
      </c>
      <c r="S62" s="6">
        <v>20650.13</v>
      </c>
      <c r="T62" s="6">
        <v>44901.919999999998</v>
      </c>
      <c r="U62" s="56">
        <v>45809</v>
      </c>
      <c r="V62" s="58">
        <f t="shared" si="0"/>
        <v>160.0664807459365</v>
      </c>
      <c r="W62" s="58">
        <f t="shared" si="1"/>
        <v>138.33440147958584</v>
      </c>
      <c r="X62" s="58">
        <f t="shared" si="2"/>
        <v>140.33711958006506</v>
      </c>
      <c r="Y62" s="58">
        <f t="shared" si="3"/>
        <v>127.85255614451903</v>
      </c>
    </row>
    <row r="63" spans="12:25" x14ac:dyDescent="0.25">
      <c r="P63" s="56">
        <v>45870</v>
      </c>
      <c r="Q63" s="6">
        <v>598.96</v>
      </c>
      <c r="R63" s="6">
        <v>6460.26</v>
      </c>
      <c r="S63" s="6">
        <v>21496.54</v>
      </c>
      <c r="T63" s="6">
        <v>45544.88</v>
      </c>
      <c r="U63" s="56">
        <v>45839</v>
      </c>
      <c r="V63" s="57">
        <f t="shared" si="0"/>
        <v>168.72587960224232</v>
      </c>
      <c r="W63" s="57">
        <f t="shared" si="1"/>
        <v>143.26302787307318</v>
      </c>
      <c r="X63" s="57">
        <f t="shared" si="2"/>
        <v>146.08927423399521</v>
      </c>
      <c r="Y63" s="57">
        <f t="shared" si="3"/>
        <v>129.68330368267954</v>
      </c>
    </row>
    <row r="64" spans="12:25" x14ac:dyDescent="0.25">
      <c r="P64" s="56">
        <v>45901</v>
      </c>
      <c r="Q64" s="6">
        <v>565.13</v>
      </c>
      <c r="R64" s="6">
        <v>6715.79</v>
      </c>
      <c r="S64" s="6">
        <v>22780.51</v>
      </c>
      <c r="T64" s="6">
        <v>46758.28</v>
      </c>
      <c r="U64" s="56">
        <v>45870</v>
      </c>
      <c r="V64" s="58">
        <f t="shared" si="0"/>
        <v>159.19603369108987</v>
      </c>
      <c r="W64" s="58">
        <f t="shared" si="1"/>
        <v>148.92967310289464</v>
      </c>
      <c r="X64" s="58">
        <f t="shared" si="2"/>
        <v>154.81506198580192</v>
      </c>
      <c r="Y64" s="58">
        <f t="shared" si="3"/>
        <v>133.1383072020337</v>
      </c>
    </row>
    <row r="65" spans="16:25" x14ac:dyDescent="0.25">
      <c r="P65" s="56">
        <v>45931</v>
      </c>
      <c r="Q65" s="6">
        <v>560.97</v>
      </c>
      <c r="R65" s="6">
        <v>6840.2</v>
      </c>
      <c r="S65" s="6">
        <v>23204.87</v>
      </c>
      <c r="T65" s="6">
        <v>47207.12</v>
      </c>
      <c r="U65" s="56">
        <v>45901</v>
      </c>
      <c r="V65" s="58">
        <f t="shared" si="0"/>
        <v>158.024169694921</v>
      </c>
      <c r="W65" s="58">
        <f t="shared" si="1"/>
        <v>151.68859508090929</v>
      </c>
      <c r="X65" s="58">
        <f t="shared" si="2"/>
        <v>157.69898862766792</v>
      </c>
      <c r="Y65" s="58">
        <f t="shared" si="3"/>
        <v>134.41632251407171</v>
      </c>
    </row>
    <row r="66" spans="16:25" x14ac:dyDescent="0.25">
      <c r="P66" s="56">
        <v>45962</v>
      </c>
      <c r="Q66" s="6">
        <v>545.73</v>
      </c>
      <c r="R66" s="6">
        <v>6849.09</v>
      </c>
      <c r="S66" s="6">
        <v>23365.69</v>
      </c>
      <c r="T66" s="6">
        <v>46245.41</v>
      </c>
      <c r="U66" s="56">
        <v>45931</v>
      </c>
      <c r="V66" s="57">
        <f t="shared" si="0"/>
        <v>153.73109101664835</v>
      </c>
      <c r="W66" s="57">
        <f t="shared" si="1"/>
        <v>151.88574013664882</v>
      </c>
      <c r="X66" s="57">
        <f t="shared" si="2"/>
        <v>158.7919122833963</v>
      </c>
      <c r="Y66" s="57">
        <f t="shared" si="3"/>
        <v>131.67797453764342</v>
      </c>
    </row>
    <row r="67" spans="16:25" x14ac:dyDescent="0.25">
      <c r="P67" s="56">
        <v>45992</v>
      </c>
      <c r="Q67" s="6">
        <v>579.6</v>
      </c>
      <c r="R67" s="6">
        <v>6929.94</v>
      </c>
      <c r="S67" s="6">
        <v>23593.1</v>
      </c>
      <c r="T67" s="6">
        <v>48134.89</v>
      </c>
      <c r="U67" s="56">
        <v>45962</v>
      </c>
      <c r="V67" s="58">
        <f t="shared" si="0"/>
        <v>163.27220485084086</v>
      </c>
      <c r="W67" s="58">
        <f t="shared" si="1"/>
        <v>153.6786735175867</v>
      </c>
      <c r="X67" s="58">
        <f t="shared" si="2"/>
        <v>160.33737782592326</v>
      </c>
      <c r="Y67" s="58">
        <f t="shared" si="3"/>
        <v>137.05803061952022</v>
      </c>
    </row>
    <row r="68" spans="16:25" x14ac:dyDescent="0.25">
      <c r="P68" s="56">
        <v>46023</v>
      </c>
      <c r="Q68" s="59">
        <v>538.79</v>
      </c>
      <c r="R68" s="6">
        <v>6939.03</v>
      </c>
      <c r="S68" s="6">
        <v>23461.82</v>
      </c>
      <c r="T68" s="6">
        <v>49098.71</v>
      </c>
      <c r="U68" s="56">
        <v>45992</v>
      </c>
      <c r="V68" s="58">
        <f t="shared" si="0"/>
        <v>151.77610636919349</v>
      </c>
      <c r="W68" s="58">
        <f t="shared" si="1"/>
        <v>153.88025378267918</v>
      </c>
      <c r="X68" s="58">
        <f t="shared" si="2"/>
        <v>159.44520634523664</v>
      </c>
      <c r="Y68" s="58">
        <f t="shared" si="3"/>
        <v>139.80238655492812</v>
      </c>
    </row>
    <row r="69" spans="16:25" x14ac:dyDescent="0.25">
      <c r="P69" s="56">
        <v>46054</v>
      </c>
      <c r="Q69" s="6">
        <v>517.21</v>
      </c>
      <c r="R69" s="6">
        <v>6909.51</v>
      </c>
      <c r="S69" s="6">
        <v>22668.21</v>
      </c>
      <c r="T69" s="6">
        <v>48977.919999999998</v>
      </c>
      <c r="U69" s="56">
        <v>46023</v>
      </c>
      <c r="V69" s="57">
        <f t="shared" si="0"/>
        <v>145.6970618890673</v>
      </c>
      <c r="W69" s="57">
        <f t="shared" si="1"/>
        <v>153.22561688218087</v>
      </c>
      <c r="X69" s="57">
        <f t="shared" si="2"/>
        <v>154.05187751534862</v>
      </c>
      <c r="Y69" s="57">
        <f t="shared" si="3"/>
        <v>139.45845225865088</v>
      </c>
    </row>
    <row r="70" spans="16:25" x14ac:dyDescent="0.25">
      <c r="P70" s="56">
        <v>46082</v>
      </c>
      <c r="Q70" s="6">
        <v>496.32</v>
      </c>
      <c r="R70" s="6">
        <v>6368.85</v>
      </c>
      <c r="S70" s="6">
        <v>20948.36</v>
      </c>
      <c r="T70" s="6">
        <v>45577.47</v>
      </c>
      <c r="U70" s="56">
        <v>46054</v>
      </c>
      <c r="V70" s="58">
        <f t="shared" si="0"/>
        <v>139.81238908138255</v>
      </c>
      <c r="W70" s="58">
        <f t="shared" si="1"/>
        <v>141.23591543829849</v>
      </c>
      <c r="X70" s="58">
        <f t="shared" si="2"/>
        <v>142.36387385097584</v>
      </c>
      <c r="Y70" s="58">
        <f t="shared" si="3"/>
        <v>129.77609959886195</v>
      </c>
    </row>
    <row r="71" spans="16:25" x14ac:dyDescent="0.25">
      <c r="P71" s="56">
        <v>46113</v>
      </c>
      <c r="Q71" s="6">
        <v>495.46</v>
      </c>
      <c r="R71" s="6">
        <v>7123.06</v>
      </c>
      <c r="S71" s="6">
        <v>24468.48</v>
      </c>
      <c r="T71" s="6">
        <v>49447.43</v>
      </c>
      <c r="U71" s="56">
        <v>46082</v>
      </c>
      <c r="V71" s="58">
        <f t="shared" si="0"/>
        <v>139.57012873602073</v>
      </c>
      <c r="W71" s="58">
        <f t="shared" si="1"/>
        <v>157.96131166881406</v>
      </c>
      <c r="X71" s="58">
        <f t="shared" si="2"/>
        <v>166.28641096702202</v>
      </c>
      <c r="Y71" s="58">
        <f t="shared" si="3"/>
        <v>140.79532278969751</v>
      </c>
    </row>
    <row r="72" spans="16:25" x14ac:dyDescent="0.25">
      <c r="P72" s="56">
        <v>46143</v>
      </c>
      <c r="Q72" s="6">
        <v>498.54</v>
      </c>
      <c r="R72" s="6">
        <v>7473.47</v>
      </c>
      <c r="S72" s="6">
        <v>26343.97</v>
      </c>
      <c r="T72" s="6">
        <v>50579.7</v>
      </c>
      <c r="U72" s="56">
        <v>46113</v>
      </c>
      <c r="V72" s="57">
        <f t="shared" si="0"/>
        <v>140.43775881010734</v>
      </c>
      <c r="W72" s="57">
        <f t="shared" si="1"/>
        <v>165.73202021568426</v>
      </c>
      <c r="X72" s="57">
        <f t="shared" si="2"/>
        <v>179.03213529908268</v>
      </c>
      <c r="Y72" s="57">
        <f t="shared" si="3"/>
        <v>144.01931886259939</v>
      </c>
    </row>
    <row r="73" spans="16:25" x14ac:dyDescent="0.25">
      <c r="P73" s="56">
        <v>46174</v>
      </c>
      <c r="Q73" s="6">
        <v>539.39</v>
      </c>
      <c r="R73" s="6">
        <v>7425.29</v>
      </c>
      <c r="S73" s="6">
        <v>25883.49</v>
      </c>
      <c r="T73" s="6">
        <v>51200.15</v>
      </c>
      <c r="U73" s="56">
        <v>46143</v>
      </c>
      <c r="V73" s="58">
        <f t="shared" si="0"/>
        <v>151.94512521479479</v>
      </c>
      <c r="W73" s="58">
        <f t="shared" si="1"/>
        <v>164.66357828255389</v>
      </c>
      <c r="X73" s="58">
        <f t="shared" si="2"/>
        <v>175.90273917304239</v>
      </c>
      <c r="Y73" s="58">
        <f t="shared" si="3"/>
        <v>145.78597201373117</v>
      </c>
    </row>
    <row r="74" spans="16:25" x14ac:dyDescent="0.25">
      <c r="P74" s="56">
        <v>46204</v>
      </c>
      <c r="Q74" s="6">
        <v>573.1</v>
      </c>
      <c r="R74" s="6">
        <v>7483.24</v>
      </c>
      <c r="S74" s="6">
        <v>25832.67</v>
      </c>
      <c r="T74" s="6">
        <v>52900.07</v>
      </c>
      <c r="U74" s="56">
        <v>46174</v>
      </c>
      <c r="V74" s="58">
        <f t="shared" si="0"/>
        <v>161.44116735682695</v>
      </c>
      <c r="W74" s="58">
        <f t="shared" si="1"/>
        <v>165.94868019257677</v>
      </c>
      <c r="X74" s="58">
        <f t="shared" si="2"/>
        <v>175.55736931740182</v>
      </c>
      <c r="Y74" s="58">
        <f t="shared" si="3"/>
        <v>150.62627989457883</v>
      </c>
    </row>
    <row r="75" spans="16:25" x14ac:dyDescent="0.25">
      <c r="P75" s="56">
        <v>46235</v>
      </c>
      <c r="Q75" s="6">
        <v>559.73</v>
      </c>
      <c r="R75" s="6">
        <v>7748.5</v>
      </c>
      <c r="S75" s="6">
        <v>26558.49</v>
      </c>
      <c r="T75" s="6">
        <v>53770.27</v>
      </c>
      <c r="U75" s="56">
        <v>46204</v>
      </c>
      <c r="V75" s="57">
        <f t="shared" si="0"/>
        <v>157.67486408067833</v>
      </c>
      <c r="W75" s="57">
        <f t="shared" si="1"/>
        <v>171.83109835742022</v>
      </c>
      <c r="X75" s="57">
        <f t="shared" si="2"/>
        <v>180.49000112812666</v>
      </c>
      <c r="Y75" s="57">
        <f t="shared" si="3"/>
        <v>153.10406468322395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6A735-491F-439A-8824-45CD774C33EE}">
  <dimension ref="A1:Z75"/>
  <sheetViews>
    <sheetView showGridLines="0" zoomScaleNormal="100" workbookViewId="0"/>
  </sheetViews>
  <sheetFormatPr defaultRowHeight="15" x14ac:dyDescent="0.25"/>
  <cols>
    <col min="1" max="1" width="37.5703125" customWidth="1"/>
    <col min="2" max="2" width="29.85546875" customWidth="1"/>
    <col min="3" max="3" width="20.85546875" bestFit="1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2.5703125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8" customFormat="1" ht="33.75" x14ac:dyDescent="0.5">
      <c r="A1" s="27" t="s">
        <v>0</v>
      </c>
    </row>
    <row r="3" spans="1:26" s="1" customFormat="1" ht="21" x14ac:dyDescent="0.35">
      <c r="A3" s="2" t="s">
        <v>62</v>
      </c>
    </row>
    <row r="5" spans="1:26" x14ac:dyDescent="0.25">
      <c r="A5" s="37" t="s">
        <v>1</v>
      </c>
      <c r="B5" s="38"/>
      <c r="C5" s="39"/>
      <c r="P5" t="s">
        <v>57</v>
      </c>
    </row>
    <row r="6" spans="1:26" x14ac:dyDescent="0.25">
      <c r="A6" s="40" t="s">
        <v>2</v>
      </c>
      <c r="B6" s="31">
        <v>0.19500000000000001</v>
      </c>
      <c r="C6" s="41"/>
      <c r="P6" t="s">
        <v>58</v>
      </c>
      <c r="Q6" t="s">
        <v>59</v>
      </c>
      <c r="S6" t="s">
        <v>60</v>
      </c>
      <c r="T6" t="s">
        <v>61</v>
      </c>
    </row>
    <row r="7" spans="1:26" x14ac:dyDescent="0.25">
      <c r="A7" s="40" t="s">
        <v>3</v>
      </c>
      <c r="B7" s="32">
        <v>6.6199999999999995E-2</v>
      </c>
      <c r="C7" s="41"/>
      <c r="P7">
        <v>2026</v>
      </c>
      <c r="Q7" s="26">
        <f>D28</f>
        <v>16493369999.999998</v>
      </c>
      <c r="R7" s="26"/>
      <c r="S7" t="s">
        <v>41</v>
      </c>
      <c r="T7" s="16">
        <f>B40</f>
        <v>616.70042449006417</v>
      </c>
    </row>
    <row r="8" spans="1:26" x14ac:dyDescent="0.25">
      <c r="A8" s="40" t="s">
        <v>4</v>
      </c>
      <c r="B8" s="32">
        <v>2.5000000000000001E-2</v>
      </c>
      <c r="C8" s="41"/>
      <c r="P8">
        <v>2027</v>
      </c>
      <c r="Q8" s="26">
        <f>E28</f>
        <v>19792044000</v>
      </c>
      <c r="R8" s="26"/>
      <c r="S8" t="s">
        <v>126</v>
      </c>
      <c r="T8" s="16">
        <v>56.7</v>
      </c>
    </row>
    <row r="9" spans="1:26" x14ac:dyDescent="0.25">
      <c r="A9" s="40" t="s">
        <v>5</v>
      </c>
      <c r="B9" s="33" t="s">
        <v>90</v>
      </c>
      <c r="C9" s="41"/>
      <c r="P9">
        <v>2028</v>
      </c>
      <c r="Q9" s="26">
        <f>F28</f>
        <v>23354611920</v>
      </c>
      <c r="R9" s="26"/>
      <c r="S9" t="s">
        <v>8</v>
      </c>
      <c r="T9" s="16">
        <f>B12</f>
        <v>560</v>
      </c>
    </row>
    <row r="10" spans="1:26" x14ac:dyDescent="0.25">
      <c r="A10" s="40" t="s">
        <v>6</v>
      </c>
      <c r="B10" s="34">
        <v>46246</v>
      </c>
      <c r="C10" s="41"/>
      <c r="P10">
        <v>2029</v>
      </c>
      <c r="Q10" s="26">
        <f>G28</f>
        <v>26857803707.999992</v>
      </c>
      <c r="R10" s="26"/>
    </row>
    <row r="11" spans="1:26" x14ac:dyDescent="0.25">
      <c r="A11" s="40" t="s">
        <v>7</v>
      </c>
      <c r="B11" s="34">
        <v>46387</v>
      </c>
      <c r="C11" s="41"/>
      <c r="P11">
        <v>2030</v>
      </c>
      <c r="Q11" s="26">
        <f>H28</f>
        <v>31423630338.359993</v>
      </c>
      <c r="R11" s="26"/>
    </row>
    <row r="12" spans="1:26" x14ac:dyDescent="0.25">
      <c r="A12" s="40" t="s">
        <v>8</v>
      </c>
      <c r="B12" s="35">
        <v>560</v>
      </c>
      <c r="C12" s="41" t="s">
        <v>88</v>
      </c>
      <c r="P12">
        <v>2031</v>
      </c>
      <c r="Q12" s="26">
        <f>I28</f>
        <v>36451411192.497589</v>
      </c>
      <c r="R12" s="26"/>
    </row>
    <row r="13" spans="1:26" x14ac:dyDescent="0.25">
      <c r="A13" s="40" t="s">
        <v>9</v>
      </c>
      <c r="B13" s="36">
        <v>869460000</v>
      </c>
      <c r="C13" s="41"/>
    </row>
    <row r="14" spans="1:26" x14ac:dyDescent="0.25">
      <c r="A14" s="40" t="s">
        <v>10</v>
      </c>
      <c r="B14" s="35">
        <v>24640000000</v>
      </c>
      <c r="C14" s="41"/>
      <c r="P14" s="6" t="s">
        <v>16</v>
      </c>
      <c r="Q14" s="6" t="s">
        <v>89</v>
      </c>
      <c r="R14" s="6" t="s">
        <v>63</v>
      </c>
      <c r="S14" s="6" t="s">
        <v>69</v>
      </c>
      <c r="T14" s="6" t="s">
        <v>64</v>
      </c>
      <c r="U14" s="6" t="s">
        <v>16</v>
      </c>
      <c r="V14" s="6" t="s">
        <v>95</v>
      </c>
      <c r="W14" s="6" t="s">
        <v>65</v>
      </c>
      <c r="X14" s="6" t="s">
        <v>70</v>
      </c>
      <c r="Y14" s="6" t="s">
        <v>66</v>
      </c>
      <c r="Z14" t="s">
        <v>67</v>
      </c>
    </row>
    <row r="15" spans="1:26" x14ac:dyDescent="0.25">
      <c r="A15" s="40" t="s">
        <v>11</v>
      </c>
      <c r="B15" s="35">
        <v>12100000000</v>
      </c>
      <c r="C15" s="41"/>
      <c r="P15" s="56">
        <v>44409</v>
      </c>
      <c r="Q15" s="6">
        <v>354.99</v>
      </c>
      <c r="R15" s="6">
        <v>4509.37</v>
      </c>
      <c r="S15" s="6">
        <v>14714.66</v>
      </c>
      <c r="T15" s="6">
        <v>35120.080000000002</v>
      </c>
      <c r="U15" s="56">
        <v>44378</v>
      </c>
      <c r="V15" s="57">
        <f>(Q15/$Q$15)*100</f>
        <v>100</v>
      </c>
      <c r="W15" s="57">
        <f>(R15/$R$15)*100</f>
        <v>100</v>
      </c>
      <c r="X15" s="57">
        <f>(S15/$S$15)*100</f>
        <v>100</v>
      </c>
      <c r="Y15" s="57">
        <f>(T15/$T$15)*100</f>
        <v>100</v>
      </c>
      <c r="Z15" t="s">
        <v>68</v>
      </c>
    </row>
    <row r="16" spans="1:26" x14ac:dyDescent="0.25">
      <c r="A16" s="40" t="s">
        <v>12</v>
      </c>
      <c r="B16" s="35" t="s">
        <v>102</v>
      </c>
      <c r="C16" s="41"/>
      <c r="P16" s="56">
        <v>44440</v>
      </c>
      <c r="Q16" s="6">
        <v>358.16</v>
      </c>
      <c r="R16" s="6">
        <v>4455.4799999999996</v>
      </c>
      <c r="S16" s="6">
        <v>15047.7</v>
      </c>
      <c r="T16" s="6">
        <v>34326.46</v>
      </c>
      <c r="U16" s="56">
        <v>44409</v>
      </c>
      <c r="V16" s="58">
        <f>(Q16/$Q$15)*100</f>
        <v>100.89298290092678</v>
      </c>
      <c r="W16" s="58">
        <f>(R16/$R$15)*100</f>
        <v>98.804932839842365</v>
      </c>
      <c r="X16" s="58">
        <f>(S16/$S$15)*100</f>
        <v>102.2633210689204</v>
      </c>
      <c r="Y16" s="58">
        <f>(T16/$T$15)*100</f>
        <v>97.740267106453047</v>
      </c>
      <c r="Z16" t="s">
        <v>73</v>
      </c>
    </row>
    <row r="17" spans="1:25" x14ac:dyDescent="0.25">
      <c r="A17" s="42" t="s">
        <v>79</v>
      </c>
      <c r="B17" s="43"/>
      <c r="C17" s="44"/>
      <c r="P17" s="56">
        <v>44470</v>
      </c>
      <c r="Q17" s="6">
        <v>335.52</v>
      </c>
      <c r="R17" s="6">
        <v>4544.8999999999996</v>
      </c>
      <c r="S17" s="6">
        <v>15498.39</v>
      </c>
      <c r="T17" s="6">
        <v>35677.019999999997</v>
      </c>
      <c r="U17" s="56">
        <v>44440</v>
      </c>
      <c r="V17" s="58">
        <f>(Q17/$Q$15)*100</f>
        <v>94.515338460238311</v>
      </c>
      <c r="W17" s="58">
        <f>(R17/$R$15)*100</f>
        <v>100.78791494155502</v>
      </c>
      <c r="X17" s="58">
        <f>(S17/$S$15)*100</f>
        <v>105.32618490675286</v>
      </c>
      <c r="Y17" s="58">
        <f>(T17/$T$15)*100</f>
        <v>101.58581643321996</v>
      </c>
    </row>
    <row r="18" spans="1:25" x14ac:dyDescent="0.25">
      <c r="P18" s="56">
        <v>44501</v>
      </c>
      <c r="Q18" s="6">
        <v>324.17</v>
      </c>
      <c r="R18" s="6">
        <v>4594.62</v>
      </c>
      <c r="S18" s="6">
        <v>15085.47</v>
      </c>
      <c r="T18" s="6">
        <v>34889.339999999997</v>
      </c>
      <c r="U18" s="56">
        <v>44470</v>
      </c>
      <c r="V18" s="57">
        <f t="shared" ref="V18:V75" si="0">(Q18/$Q$15)*100</f>
        <v>91.318065297614012</v>
      </c>
      <c r="W18" s="57">
        <f t="shared" ref="W18:W75" si="1">(R18/$R$15)*100</f>
        <v>101.89050798670326</v>
      </c>
      <c r="X18" s="57">
        <f t="shared" ref="X18:X75" si="2">(S18/$S$15)*100</f>
        <v>102.52000386009598</v>
      </c>
      <c r="Y18" s="57">
        <f t="shared" ref="Y18:Y75" si="3">(T18/$T$15)*100</f>
        <v>99.342996940781433</v>
      </c>
    </row>
    <row r="19" spans="1:25" x14ac:dyDescent="0.25">
      <c r="A19" s="11" t="s">
        <v>43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56">
        <v>44531</v>
      </c>
      <c r="Q19" s="6">
        <v>360.58</v>
      </c>
      <c r="R19" s="6">
        <v>4766.18</v>
      </c>
      <c r="S19" s="6">
        <v>15653.37</v>
      </c>
      <c r="T19" s="6">
        <v>35950.559999999998</v>
      </c>
      <c r="U19" s="56">
        <v>44501</v>
      </c>
      <c r="V19" s="58">
        <f t="shared" si="0"/>
        <v>101.57469224485196</v>
      </c>
      <c r="W19" s="58">
        <f t="shared" si="1"/>
        <v>105.69503056968048</v>
      </c>
      <c r="X19" s="58">
        <f t="shared" si="2"/>
        <v>106.3794202516402</v>
      </c>
      <c r="Y19" s="58">
        <f t="shared" si="3"/>
        <v>102.36468709638473</v>
      </c>
    </row>
    <row r="20" spans="1:25" x14ac:dyDescent="0.25">
      <c r="A20" t="s">
        <v>16</v>
      </c>
      <c r="C20" s="7">
        <v>46246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3">
        <f>I28*(1+B8)/(B7-B8)</f>
        <v>906861564861.89404</v>
      </c>
      <c r="P20" s="56">
        <v>44562</v>
      </c>
      <c r="Q20" s="58">
        <v>355.08</v>
      </c>
      <c r="R20" s="6">
        <v>4500.53</v>
      </c>
      <c r="S20" s="6">
        <v>13770.57</v>
      </c>
      <c r="T20" s="6">
        <v>34725.47</v>
      </c>
      <c r="U20" s="56">
        <v>44531</v>
      </c>
      <c r="V20" s="58">
        <f t="shared" si="0"/>
        <v>100.02535282684018</v>
      </c>
      <c r="W20" s="58">
        <f t="shared" si="1"/>
        <v>99.80396374659874</v>
      </c>
      <c r="X20" s="58">
        <f t="shared" si="2"/>
        <v>93.584017571591872</v>
      </c>
      <c r="Y20" s="58">
        <f t="shared" si="3"/>
        <v>98.876397775859289</v>
      </c>
    </row>
    <row r="21" spans="1:25" x14ac:dyDescent="0.25">
      <c r="A21" t="s">
        <v>18</v>
      </c>
      <c r="B21" t="s">
        <v>84</v>
      </c>
      <c r="D21" s="5">
        <v>32790000000</v>
      </c>
      <c r="E21" s="5">
        <f>D21*1.2</f>
        <v>39348000000</v>
      </c>
      <c r="F21" s="5">
        <f>E21*1.18</f>
        <v>46430640000</v>
      </c>
      <c r="G21" s="5">
        <f>F21*1.15</f>
        <v>53395235999.999992</v>
      </c>
      <c r="H21" s="5">
        <f>G21*1.17</f>
        <v>62472426119.999985</v>
      </c>
      <c r="I21" s="5">
        <f>H21*1.16</f>
        <v>72468014299.199982</v>
      </c>
      <c r="L21" t="s">
        <v>19</v>
      </c>
      <c r="M21" s="13">
        <f>(I22+I25)*22</f>
        <v>1012378159759.8237</v>
      </c>
      <c r="P21" s="56">
        <v>44593</v>
      </c>
      <c r="Q21" s="6">
        <v>369.09</v>
      </c>
      <c r="R21" s="6">
        <v>4384.6499999999996</v>
      </c>
      <c r="S21" s="6">
        <v>13313.44</v>
      </c>
      <c r="T21" s="6">
        <v>34058.75</v>
      </c>
      <c r="U21" s="56">
        <v>44562</v>
      </c>
      <c r="V21" s="57">
        <f t="shared" si="0"/>
        <v>103.97194287163019</v>
      </c>
      <c r="W21" s="57">
        <f t="shared" si="1"/>
        <v>97.234203447488227</v>
      </c>
      <c r="X21" s="57">
        <f t="shared" si="2"/>
        <v>90.477387856736087</v>
      </c>
      <c r="Y21" s="57">
        <f t="shared" si="3"/>
        <v>96.977996633265064</v>
      </c>
    </row>
    <row r="22" spans="1:25" x14ac:dyDescent="0.25">
      <c r="A22" t="s">
        <v>76</v>
      </c>
      <c r="B22" t="s">
        <v>86</v>
      </c>
      <c r="C22" s="60">
        <v>0.6</v>
      </c>
      <c r="D22" s="5">
        <f>D21*$C$22</f>
        <v>19674000000</v>
      </c>
      <c r="E22" s="5">
        <f t="shared" ref="E22:I22" si="4">E21*$C$22</f>
        <v>23608800000</v>
      </c>
      <c r="F22" s="5">
        <f t="shared" si="4"/>
        <v>27858384000</v>
      </c>
      <c r="G22" s="5">
        <f t="shared" si="4"/>
        <v>32037141599.999992</v>
      </c>
      <c r="H22" s="5">
        <f t="shared" si="4"/>
        <v>37483455671.999992</v>
      </c>
      <c r="I22" s="5">
        <f t="shared" si="4"/>
        <v>43480808579.519989</v>
      </c>
      <c r="L22" t="s">
        <v>20</v>
      </c>
      <c r="M22" s="13">
        <f>(M20+M21)/2</f>
        <v>959619862310.85889</v>
      </c>
      <c r="P22" s="56">
        <v>44621</v>
      </c>
      <c r="Q22" s="6">
        <v>349.02</v>
      </c>
      <c r="R22" s="6">
        <v>4543.0600000000004</v>
      </c>
      <c r="S22" s="6">
        <v>14169.3</v>
      </c>
      <c r="T22" s="6">
        <v>34861.24</v>
      </c>
      <c r="U22" s="56">
        <v>44593</v>
      </c>
      <c r="V22" s="58">
        <f t="shared" si="0"/>
        <v>98.318262486267216</v>
      </c>
      <c r="W22" s="58">
        <f t="shared" si="1"/>
        <v>100.74711101550773</v>
      </c>
      <c r="X22" s="58">
        <f t="shared" si="2"/>
        <v>96.293764178037407</v>
      </c>
      <c r="Y22" s="58">
        <f t="shared" si="3"/>
        <v>99.262985733517681</v>
      </c>
    </row>
    <row r="23" spans="1:25" x14ac:dyDescent="0.25">
      <c r="A23" t="s">
        <v>21</v>
      </c>
      <c r="B23" t="s">
        <v>22</v>
      </c>
      <c r="C23" s="25"/>
      <c r="D23" s="5">
        <f>D22*$B$6</f>
        <v>3836430000</v>
      </c>
      <c r="E23" s="30">
        <f t="shared" ref="E23:I23" si="5">E22*$B$6</f>
        <v>4603716000</v>
      </c>
      <c r="F23" s="5">
        <f t="shared" si="5"/>
        <v>5432384880</v>
      </c>
      <c r="G23" s="30">
        <f t="shared" si="5"/>
        <v>6247242611.999999</v>
      </c>
      <c r="H23" s="30">
        <f t="shared" si="5"/>
        <v>7309273856.039999</v>
      </c>
      <c r="I23" s="5">
        <f t="shared" si="5"/>
        <v>8478757673.0063982</v>
      </c>
      <c r="P23" s="56">
        <v>44652</v>
      </c>
      <c r="Q23" s="6">
        <v>351.18</v>
      </c>
      <c r="R23" s="6">
        <v>4271.78</v>
      </c>
      <c r="S23" s="6">
        <v>12839.29</v>
      </c>
      <c r="T23" s="6">
        <v>33811.4</v>
      </c>
      <c r="U23" s="56">
        <v>44621</v>
      </c>
      <c r="V23" s="58">
        <f t="shared" si="0"/>
        <v>98.926730330431838</v>
      </c>
      <c r="W23" s="58">
        <f t="shared" si="1"/>
        <v>94.73119304913989</v>
      </c>
      <c r="X23" s="58">
        <f t="shared" si="2"/>
        <v>87.255091181175786</v>
      </c>
      <c r="Y23" s="58">
        <f t="shared" si="3"/>
        <v>96.273698693169266</v>
      </c>
    </row>
    <row r="24" spans="1:25" x14ac:dyDescent="0.25">
      <c r="A24" t="s">
        <v>23</v>
      </c>
      <c r="B24" t="s">
        <v>24</v>
      </c>
      <c r="C24" s="25"/>
      <c r="D24" s="5">
        <f>D22*(1-$B$6)</f>
        <v>15837569999.999998</v>
      </c>
      <c r="E24" s="5">
        <f t="shared" ref="E24:I24" si="6">E22*(1-$B$6)</f>
        <v>19005084000</v>
      </c>
      <c r="F24" s="5">
        <f t="shared" si="6"/>
        <v>22425999120</v>
      </c>
      <c r="G24" s="5">
        <f t="shared" si="6"/>
        <v>25789898987.999992</v>
      </c>
      <c r="H24" s="5">
        <f t="shared" si="6"/>
        <v>30174181815.959991</v>
      </c>
      <c r="I24" s="5">
        <f t="shared" si="6"/>
        <v>35002050906.513588</v>
      </c>
      <c r="P24" s="56">
        <v>44682</v>
      </c>
      <c r="Q24" s="6">
        <v>357.78</v>
      </c>
      <c r="R24" s="6">
        <v>4158.24</v>
      </c>
      <c r="S24" s="6">
        <v>11354.62</v>
      </c>
      <c r="T24" s="6">
        <v>33212.959999999999</v>
      </c>
      <c r="U24" s="56">
        <v>44652</v>
      </c>
      <c r="V24" s="57">
        <f t="shared" si="0"/>
        <v>100.78593763204596</v>
      </c>
      <c r="W24" s="57">
        <f t="shared" si="1"/>
        <v>92.213324699459122</v>
      </c>
      <c r="X24" s="57">
        <f t="shared" si="2"/>
        <v>77.165357541390705</v>
      </c>
      <c r="Y24" s="57">
        <f t="shared" si="3"/>
        <v>94.569716242104235</v>
      </c>
    </row>
    <row r="25" spans="1:25" x14ac:dyDescent="0.25">
      <c r="A25" s="4" t="s">
        <v>25</v>
      </c>
      <c r="B25" s="8" t="s">
        <v>100</v>
      </c>
      <c r="C25" s="61">
        <v>3.5000000000000003E-2</v>
      </c>
      <c r="D25" s="12">
        <f>D21*$C$25</f>
        <v>1147650000</v>
      </c>
      <c r="E25" s="12">
        <f t="shared" ref="E25:I25" si="7">E21*$C$25</f>
        <v>1377180000.0000002</v>
      </c>
      <c r="F25" s="12">
        <f t="shared" si="7"/>
        <v>1625072400.0000002</v>
      </c>
      <c r="G25" s="12">
        <f t="shared" si="7"/>
        <v>1868833260</v>
      </c>
      <c r="H25" s="12">
        <f t="shared" si="7"/>
        <v>2186534914.1999998</v>
      </c>
      <c r="I25" s="12">
        <f t="shared" si="7"/>
        <v>2536380500.4719996</v>
      </c>
      <c r="P25" s="56">
        <v>44713</v>
      </c>
      <c r="Q25" s="6">
        <v>318.24</v>
      </c>
      <c r="R25" s="6">
        <v>3911.74</v>
      </c>
      <c r="S25" s="6">
        <v>11127.85</v>
      </c>
      <c r="T25" s="6">
        <v>31097.26</v>
      </c>
      <c r="U25" s="56">
        <v>44682</v>
      </c>
      <c r="V25" s="58">
        <f t="shared" si="0"/>
        <v>89.647595706921322</v>
      </c>
      <c r="W25" s="58">
        <f t="shared" si="1"/>
        <v>86.746929171924236</v>
      </c>
      <c r="X25" s="58">
        <f t="shared" si="2"/>
        <v>75.624241402791498</v>
      </c>
      <c r="Y25" s="58">
        <f t="shared" si="3"/>
        <v>88.545527231145243</v>
      </c>
    </row>
    <row r="26" spans="1:25" x14ac:dyDescent="0.25">
      <c r="A26" t="s">
        <v>26</v>
      </c>
      <c r="B26" t="s">
        <v>101</v>
      </c>
      <c r="C26" s="61">
        <v>1.4999999999999999E-2</v>
      </c>
      <c r="D26" s="10">
        <f>D21*$C$26</f>
        <v>491850000</v>
      </c>
      <c r="E26" s="10">
        <f t="shared" ref="E26:I26" si="8">E21*$C$26</f>
        <v>590220000</v>
      </c>
      <c r="F26" s="10">
        <f t="shared" si="8"/>
        <v>696459600</v>
      </c>
      <c r="G26" s="10">
        <f t="shared" si="8"/>
        <v>800928539.99999988</v>
      </c>
      <c r="H26" s="10">
        <f t="shared" si="8"/>
        <v>937086391.79999971</v>
      </c>
      <c r="I26" s="10">
        <f t="shared" si="8"/>
        <v>1087020214.4879997</v>
      </c>
      <c r="P26" s="56">
        <v>44743</v>
      </c>
      <c r="Q26" s="6">
        <v>353.79</v>
      </c>
      <c r="R26" s="6">
        <v>4130.29</v>
      </c>
      <c r="S26" s="6">
        <v>12390.69</v>
      </c>
      <c r="T26" s="6">
        <v>32845.129999999997</v>
      </c>
      <c r="U26" s="56">
        <v>44713</v>
      </c>
      <c r="V26" s="58">
        <f t="shared" si="0"/>
        <v>99.661962308797442</v>
      </c>
      <c r="W26" s="58">
        <f t="shared" si="1"/>
        <v>91.593504192381644</v>
      </c>
      <c r="X26" s="58">
        <f t="shared" si="2"/>
        <v>84.206430865544974</v>
      </c>
      <c r="Y26" s="58">
        <f t="shared" si="3"/>
        <v>93.522366691647619</v>
      </c>
    </row>
    <row r="27" spans="1:25" x14ac:dyDescent="0.25">
      <c r="A27" t="s">
        <v>27</v>
      </c>
      <c r="B27" t="s">
        <v>98</v>
      </c>
      <c r="C27" s="62">
        <v>0</v>
      </c>
      <c r="D27" s="10">
        <f>D21*$C$27</f>
        <v>0</v>
      </c>
      <c r="E27" s="10">
        <f t="shared" ref="E27:I27" si="9">E21*$C$27</f>
        <v>0</v>
      </c>
      <c r="F27" s="10">
        <f t="shared" si="9"/>
        <v>0</v>
      </c>
      <c r="G27" s="10">
        <f t="shared" si="9"/>
        <v>0</v>
      </c>
      <c r="H27" s="10">
        <f t="shared" si="9"/>
        <v>0</v>
      </c>
      <c r="I27" s="10">
        <f t="shared" si="9"/>
        <v>0</v>
      </c>
      <c r="P27" s="56">
        <v>44774</v>
      </c>
      <c r="Q27" s="6">
        <v>331.96</v>
      </c>
      <c r="R27" s="6">
        <v>3924.26</v>
      </c>
      <c r="S27" s="6">
        <v>12141.71</v>
      </c>
      <c r="T27" s="6">
        <v>31318.44</v>
      </c>
      <c r="U27" s="56">
        <v>44743</v>
      </c>
      <c r="V27" s="57">
        <f t="shared" si="0"/>
        <v>93.512493309670688</v>
      </c>
      <c r="W27" s="57">
        <f t="shared" si="1"/>
        <v>87.024573277420131</v>
      </c>
      <c r="X27" s="57">
        <f t="shared" si="2"/>
        <v>82.514376818764418</v>
      </c>
      <c r="Y27" s="57">
        <f t="shared" si="3"/>
        <v>89.175309395650572</v>
      </c>
    </row>
    <row r="28" spans="1:25" ht="30" x14ac:dyDescent="0.25">
      <c r="A28" s="8" t="s">
        <v>28</v>
      </c>
      <c r="B28" s="9" t="s">
        <v>29</v>
      </c>
      <c r="C28" s="18"/>
      <c r="D28" s="12">
        <f>D24+D25-D26-D27</f>
        <v>16493369999.999998</v>
      </c>
      <c r="E28" s="12">
        <f t="shared" ref="E28:I28" si="10">E24+E25-E26-E27</f>
        <v>19792044000</v>
      </c>
      <c r="F28" s="12">
        <f t="shared" si="10"/>
        <v>23354611920</v>
      </c>
      <c r="G28" s="12">
        <f t="shared" si="10"/>
        <v>26857803707.999992</v>
      </c>
      <c r="H28" s="12">
        <f t="shared" si="10"/>
        <v>31423630338.359993</v>
      </c>
      <c r="I28" s="12">
        <f t="shared" si="10"/>
        <v>36451411192.497589</v>
      </c>
      <c r="P28" s="56">
        <v>44805</v>
      </c>
      <c r="Q28" s="6">
        <v>293.58</v>
      </c>
      <c r="R28" s="6">
        <v>3585.62</v>
      </c>
      <c r="S28" s="6">
        <v>10867.93</v>
      </c>
      <c r="T28" s="6">
        <v>30822.42</v>
      </c>
      <c r="U28" s="56">
        <v>44774</v>
      </c>
      <c r="V28" s="58">
        <f t="shared" si="0"/>
        <v>82.700921152708517</v>
      </c>
      <c r="W28" s="58">
        <f t="shared" si="1"/>
        <v>79.514876800972203</v>
      </c>
      <c r="X28" s="58">
        <f t="shared" si="2"/>
        <v>73.857839732620405</v>
      </c>
      <c r="Y28" s="58">
        <f t="shared" si="3"/>
        <v>87.762954981879304</v>
      </c>
    </row>
    <row r="29" spans="1:25" x14ac:dyDescent="0.25">
      <c r="A29" t="s">
        <v>35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56">
        <v>44835</v>
      </c>
      <c r="Q29" s="6">
        <v>302.37</v>
      </c>
      <c r="R29" s="6">
        <v>3901.06</v>
      </c>
      <c r="S29" s="6">
        <v>11102.45</v>
      </c>
      <c r="T29" s="6">
        <v>32861.800000000003</v>
      </c>
      <c r="U29" s="56">
        <v>44805</v>
      </c>
      <c r="V29" s="58">
        <f t="shared" si="0"/>
        <v>85.177047240767351</v>
      </c>
      <c r="W29" s="58">
        <f t="shared" si="1"/>
        <v>86.510088992475659</v>
      </c>
      <c r="X29" s="58">
        <f t="shared" si="2"/>
        <v>75.451624434407591</v>
      </c>
      <c r="Y29" s="58">
        <f t="shared" si="3"/>
        <v>93.569832414960331</v>
      </c>
    </row>
    <row r="30" spans="1:25" x14ac:dyDescent="0.25">
      <c r="A30" t="s">
        <v>36</v>
      </c>
      <c r="C30" s="13">
        <f>-G39</f>
        <v>-499437600000</v>
      </c>
      <c r="D30" s="5">
        <f>D28</f>
        <v>16493369999.999998</v>
      </c>
      <c r="E30" s="5">
        <f t="shared" ref="E30:I30" si="11">E28</f>
        <v>19792044000</v>
      </c>
      <c r="F30" s="5">
        <f t="shared" si="11"/>
        <v>23354611920</v>
      </c>
      <c r="G30" s="5">
        <f t="shared" si="11"/>
        <v>26857803707.999992</v>
      </c>
      <c r="H30" s="5">
        <f t="shared" si="11"/>
        <v>31423630338.359993</v>
      </c>
      <c r="I30" s="5">
        <f t="shared" si="11"/>
        <v>36451411192.497589</v>
      </c>
      <c r="J30" s="13">
        <f>I28+M22</f>
        <v>996071273503.35645</v>
      </c>
      <c r="K30" t="s">
        <v>38</v>
      </c>
      <c r="P30" s="56">
        <v>44866</v>
      </c>
      <c r="Q30" s="6">
        <v>351.29</v>
      </c>
      <c r="R30" s="6">
        <v>4026.12</v>
      </c>
      <c r="S30" s="6">
        <v>11226.36</v>
      </c>
      <c r="T30" s="6">
        <v>34429.879999999997</v>
      </c>
      <c r="U30" s="56">
        <v>44835</v>
      </c>
      <c r="V30" s="57">
        <f t="shared" si="0"/>
        <v>98.957717118792075</v>
      </c>
      <c r="W30" s="57">
        <f t="shared" si="1"/>
        <v>89.283425400887481</v>
      </c>
      <c r="X30" s="57">
        <f t="shared" si="2"/>
        <v>76.293709810488323</v>
      </c>
      <c r="Y30" s="57">
        <f t="shared" si="3"/>
        <v>98.034742517670793</v>
      </c>
    </row>
    <row r="31" spans="1:25" x14ac:dyDescent="0.25">
      <c r="A31" t="s">
        <v>37</v>
      </c>
      <c r="D31" s="6">
        <f>1/(1+$B$7)^D29</f>
        <v>0.9684577098520617</v>
      </c>
      <c r="E31" s="6">
        <f t="shared" ref="E31:I31" si="12">1/(1+$B$7)^E29</f>
        <v>0.90832649582823277</v>
      </c>
      <c r="F31" s="6">
        <f t="shared" si="12"/>
        <v>0.85192880869277121</v>
      </c>
      <c r="G31" s="6">
        <f t="shared" si="12"/>
        <v>0.79903283501479194</v>
      </c>
      <c r="H31" s="6">
        <f t="shared" si="12"/>
        <v>0.74942115458149683</v>
      </c>
      <c r="I31" s="6">
        <f t="shared" si="12"/>
        <v>0.72578269508068416</v>
      </c>
      <c r="J31" t="s">
        <v>39</v>
      </c>
      <c r="P31" s="56">
        <v>44896</v>
      </c>
      <c r="Q31" s="6">
        <v>345.84</v>
      </c>
      <c r="R31" s="6">
        <v>3839.5</v>
      </c>
      <c r="S31" s="6">
        <v>10466.48</v>
      </c>
      <c r="T31" s="6">
        <v>33203.93</v>
      </c>
      <c r="U31" s="56">
        <v>44866</v>
      </c>
      <c r="V31" s="58">
        <f t="shared" si="0"/>
        <v>97.422462604580403</v>
      </c>
      <c r="W31" s="58">
        <f t="shared" si="1"/>
        <v>85.144931553631665</v>
      </c>
      <c r="X31" s="58">
        <f t="shared" si="2"/>
        <v>71.129608159481762</v>
      </c>
      <c r="Y31" s="58">
        <f t="shared" si="3"/>
        <v>94.5440044555707</v>
      </c>
    </row>
    <row r="32" spans="1:25" x14ac:dyDescent="0.25">
      <c r="A32" t="s">
        <v>40</v>
      </c>
      <c r="C32" s="13">
        <f>-G39</f>
        <v>-499437600000</v>
      </c>
      <c r="D32" s="5">
        <f>D30*D31</f>
        <v>15973131337.942698</v>
      </c>
      <c r="E32" s="5">
        <f t="shared" ref="E32:I32" si="13">E30*E31</f>
        <v>17977637971.798199</v>
      </c>
      <c r="F32" s="5">
        <f t="shared" si="13"/>
        <v>19896466710.487595</v>
      </c>
      <c r="G32" s="5">
        <f t="shared" si="13"/>
        <v>21460267039.074024</v>
      </c>
      <c r="H32" s="5">
        <f t="shared" si="13"/>
        <v>23549533329.315899</v>
      </c>
      <c r="I32" s="5">
        <f t="shared" si="13"/>
        <v>26455803454.785114</v>
      </c>
      <c r="J32" s="14">
        <f>M22</f>
        <v>959619862310.85889</v>
      </c>
      <c r="P32" s="56">
        <v>44927</v>
      </c>
      <c r="Q32" s="6">
        <v>374.03</v>
      </c>
      <c r="R32" s="6">
        <v>4070.56</v>
      </c>
      <c r="S32" s="6">
        <v>11140.43</v>
      </c>
      <c r="T32" s="6">
        <v>33375.49</v>
      </c>
      <c r="U32" s="56">
        <v>44896</v>
      </c>
      <c r="V32" s="58">
        <f t="shared" si="0"/>
        <v>105.36353136708074</v>
      </c>
      <c r="W32" s="58">
        <f t="shared" si="1"/>
        <v>90.268928919117315</v>
      </c>
      <c r="X32" s="58">
        <f t="shared" si="2"/>
        <v>75.709734373746997</v>
      </c>
      <c r="Y32" s="58">
        <f t="shared" si="3"/>
        <v>95.032499925968267</v>
      </c>
    </row>
    <row r="33" spans="1:25" x14ac:dyDescent="0.25">
      <c r="A33" t="s">
        <v>55</v>
      </c>
      <c r="C33" s="29">
        <v>-499438</v>
      </c>
      <c r="D33" s="45">
        <v>15973</v>
      </c>
      <c r="E33" s="24">
        <v>17978</v>
      </c>
      <c r="F33" s="24">
        <v>19896</v>
      </c>
      <c r="G33" s="24">
        <v>21460</v>
      </c>
      <c r="H33" s="24">
        <v>23550</v>
      </c>
      <c r="I33" s="24">
        <v>26456</v>
      </c>
      <c r="J33" s="24">
        <v>959620</v>
      </c>
      <c r="P33" s="56">
        <v>44958</v>
      </c>
      <c r="Q33" s="6">
        <v>353.12</v>
      </c>
      <c r="R33" s="6">
        <v>4045.64</v>
      </c>
      <c r="S33" s="6">
        <v>11689.01</v>
      </c>
      <c r="T33" s="6">
        <v>32816.92</v>
      </c>
      <c r="U33" s="56">
        <v>44927</v>
      </c>
      <c r="V33" s="57">
        <f t="shared" si="0"/>
        <v>99.473224597875998</v>
      </c>
      <c r="W33" s="57">
        <f t="shared" si="1"/>
        <v>89.716301833737305</v>
      </c>
      <c r="X33" s="57">
        <f t="shared" si="2"/>
        <v>79.437853134221243</v>
      </c>
      <c r="Y33" s="57">
        <f t="shared" si="3"/>
        <v>93.442042273252213</v>
      </c>
    </row>
    <row r="34" spans="1:25" x14ac:dyDescent="0.25">
      <c r="P34" s="56">
        <v>44986</v>
      </c>
      <c r="Q34" s="6">
        <v>351.63</v>
      </c>
      <c r="R34" s="6">
        <v>3970.99</v>
      </c>
      <c r="S34" s="6">
        <v>11823.96</v>
      </c>
      <c r="T34" s="6">
        <v>33274.15</v>
      </c>
      <c r="U34" s="56">
        <v>44958</v>
      </c>
      <c r="V34" s="58">
        <f t="shared" si="0"/>
        <v>99.053494464632806</v>
      </c>
      <c r="W34" s="58">
        <f t="shared" si="1"/>
        <v>88.060859942741445</v>
      </c>
      <c r="X34" s="58">
        <f t="shared" si="2"/>
        <v>80.354965728056243</v>
      </c>
      <c r="Y34" s="58">
        <f t="shared" si="3"/>
        <v>94.743947052512411</v>
      </c>
    </row>
    <row r="35" spans="1:25" x14ac:dyDescent="0.25">
      <c r="A35" s="3" t="s">
        <v>41</v>
      </c>
      <c r="F35" s="3" t="s">
        <v>31</v>
      </c>
      <c r="P35" s="56">
        <v>45017</v>
      </c>
      <c r="Q35" s="6">
        <v>375.24</v>
      </c>
      <c r="R35" s="6">
        <v>4133.5200000000004</v>
      </c>
      <c r="S35" s="6">
        <v>12072.46</v>
      </c>
      <c r="T35" s="6">
        <v>33808.959999999999</v>
      </c>
      <c r="U35" s="56">
        <v>44986</v>
      </c>
      <c r="V35" s="58">
        <f t="shared" si="0"/>
        <v>105.70438603904336</v>
      </c>
      <c r="W35" s="58">
        <f t="shared" si="1"/>
        <v>91.665132823432103</v>
      </c>
      <c r="X35" s="58">
        <f t="shared" si="2"/>
        <v>82.043757721890955</v>
      </c>
      <c r="Y35" s="58">
        <f t="shared" si="3"/>
        <v>96.26675110079475</v>
      </c>
    </row>
    <row r="36" spans="1:25" x14ac:dyDescent="0.25">
      <c r="A36" s="13" t="s">
        <v>42</v>
      </c>
      <c r="B36" s="17">
        <f>SUM(D32:I32)</f>
        <v>125312839843.40353</v>
      </c>
      <c r="C36" t="s">
        <v>45</v>
      </c>
      <c r="F36" t="s">
        <v>33</v>
      </c>
      <c r="G36" s="15">
        <f>B13*B12</f>
        <v>486897600000</v>
      </c>
      <c r="H36" t="s">
        <v>34</v>
      </c>
      <c r="L36" s="3" t="s">
        <v>51</v>
      </c>
      <c r="P36" s="56">
        <v>45047</v>
      </c>
      <c r="Q36" s="6">
        <v>373.73</v>
      </c>
      <c r="R36" s="6">
        <v>4282.37</v>
      </c>
      <c r="S36" s="6">
        <v>13240.77</v>
      </c>
      <c r="T36" s="6">
        <v>33093.339999999997</v>
      </c>
      <c r="U36" s="56">
        <v>45017</v>
      </c>
      <c r="V36" s="57">
        <f t="shared" si="0"/>
        <v>105.27902194428012</v>
      </c>
      <c r="W36" s="57">
        <f t="shared" si="1"/>
        <v>94.966037384379632</v>
      </c>
      <c r="X36" s="57">
        <f t="shared" si="2"/>
        <v>89.983526632623523</v>
      </c>
      <c r="Y36" s="57">
        <f t="shared" si="3"/>
        <v>94.229113373318043</v>
      </c>
    </row>
    <row r="37" spans="1:25" x14ac:dyDescent="0.25">
      <c r="A37" t="s">
        <v>11</v>
      </c>
      <c r="B37" s="19">
        <f>B15</f>
        <v>12100000000</v>
      </c>
      <c r="F37" t="s">
        <v>10</v>
      </c>
      <c r="G37" s="14">
        <f>B14</f>
        <v>24640000000</v>
      </c>
      <c r="L37" t="s">
        <v>52</v>
      </c>
      <c r="M37" s="21">
        <f>(B40/B12)-1</f>
        <v>0.10125075801797179</v>
      </c>
      <c r="P37" s="56">
        <v>45078</v>
      </c>
      <c r="Q37" s="6">
        <v>379.81</v>
      </c>
      <c r="R37" s="6">
        <v>4450.38</v>
      </c>
      <c r="S37" s="6">
        <v>13492.52</v>
      </c>
      <c r="T37" s="6">
        <v>33727.43</v>
      </c>
      <c r="U37" s="56">
        <v>45047</v>
      </c>
      <c r="V37" s="58">
        <f t="shared" si="0"/>
        <v>106.99174624637313</v>
      </c>
      <c r="W37" s="58">
        <f t="shared" si="1"/>
        <v>98.691835001341659</v>
      </c>
      <c r="X37" s="58">
        <f t="shared" si="2"/>
        <v>91.69440544327901</v>
      </c>
      <c r="Y37" s="58">
        <f t="shared" si="3"/>
        <v>96.034604704772875</v>
      </c>
    </row>
    <row r="38" spans="1:25" x14ac:dyDescent="0.25">
      <c r="A38" t="s">
        <v>10</v>
      </c>
      <c r="B38" s="19">
        <f>B14</f>
        <v>24640000000</v>
      </c>
      <c r="C38" s="3"/>
      <c r="F38" t="s">
        <v>11</v>
      </c>
      <c r="G38" s="14">
        <f>B15</f>
        <v>12100000000</v>
      </c>
      <c r="L38" t="s">
        <v>53</v>
      </c>
      <c r="M38" s="23">
        <f>IRR(C33:J33)</f>
        <v>0.12612403942044637</v>
      </c>
      <c r="N38" t="s">
        <v>56</v>
      </c>
      <c r="P38" s="56">
        <v>45108</v>
      </c>
      <c r="Q38" s="6">
        <v>391.35</v>
      </c>
      <c r="R38" s="6">
        <v>4582.2299999999996</v>
      </c>
      <c r="S38" s="6">
        <v>14032.81</v>
      </c>
      <c r="T38" s="6">
        <v>35065.620000000003</v>
      </c>
      <c r="U38" s="56">
        <v>45078</v>
      </c>
      <c r="V38" s="58">
        <f t="shared" si="0"/>
        <v>110.24254204343784</v>
      </c>
      <c r="W38" s="58">
        <f t="shared" si="1"/>
        <v>101.61574676728678</v>
      </c>
      <c r="X38" s="58">
        <f t="shared" si="2"/>
        <v>95.366185831001189</v>
      </c>
      <c r="Y38" s="58">
        <f t="shared" si="3"/>
        <v>99.844932016100202</v>
      </c>
    </row>
    <row r="39" spans="1:25" x14ac:dyDescent="0.25">
      <c r="A39" t="s">
        <v>44</v>
      </c>
      <c r="B39" s="17">
        <f>(((B36+B37)-B38)+(M22))/2</f>
        <v>536196351077.13123</v>
      </c>
      <c r="C39" t="s">
        <v>74</v>
      </c>
      <c r="F39" t="s">
        <v>30</v>
      </c>
      <c r="G39" s="13">
        <f>G36+G37-G38</f>
        <v>499437600000</v>
      </c>
      <c r="H39" t="s">
        <v>32</v>
      </c>
      <c r="P39" s="56">
        <v>45139</v>
      </c>
      <c r="Q39" s="6">
        <v>402.89</v>
      </c>
      <c r="R39" s="6">
        <v>4515.7700000000004</v>
      </c>
      <c r="S39" s="6">
        <v>13590.65</v>
      </c>
      <c r="T39" s="6">
        <v>34837.71</v>
      </c>
      <c r="U39" s="56">
        <v>45108</v>
      </c>
      <c r="V39" s="57">
        <f t="shared" si="0"/>
        <v>113.49333784050255</v>
      </c>
      <c r="W39" s="57">
        <f t="shared" si="1"/>
        <v>100.14192669929503</v>
      </c>
      <c r="X39" s="57">
        <f t="shared" si="2"/>
        <v>92.36129139239371</v>
      </c>
      <c r="Y39" s="57">
        <f t="shared" si="3"/>
        <v>99.195987025086495</v>
      </c>
    </row>
    <row r="40" spans="1:25" x14ac:dyDescent="0.25">
      <c r="A40" t="s">
        <v>71</v>
      </c>
      <c r="B40" s="20">
        <f>B39/B13</f>
        <v>616.70042449006417</v>
      </c>
      <c r="C40" t="s">
        <v>75</v>
      </c>
      <c r="F40" t="s">
        <v>48</v>
      </c>
      <c r="G40" s="16">
        <f>G39/B13</f>
        <v>574.42274515216343</v>
      </c>
      <c r="H40" t="s">
        <v>49</v>
      </c>
      <c r="L40" s="46" t="s">
        <v>80</v>
      </c>
      <c r="M40" s="47"/>
      <c r="P40" s="56">
        <v>45170</v>
      </c>
      <c r="Q40" s="6">
        <v>402.22</v>
      </c>
      <c r="R40" s="6">
        <v>4320.0600000000004</v>
      </c>
      <c r="S40" s="6">
        <v>13211.81</v>
      </c>
      <c r="T40" s="6">
        <v>33507.5</v>
      </c>
      <c r="U40" s="56">
        <v>45139</v>
      </c>
      <c r="V40" s="58">
        <f t="shared" si="0"/>
        <v>113.30460012958112</v>
      </c>
      <c r="W40" s="58">
        <f t="shared" si="1"/>
        <v>95.801852586946751</v>
      </c>
      <c r="X40" s="58">
        <f t="shared" si="2"/>
        <v>89.786716104891312</v>
      </c>
      <c r="Y40" s="58">
        <f t="shared" si="3"/>
        <v>95.408381757672529</v>
      </c>
    </row>
    <row r="41" spans="1:25" x14ac:dyDescent="0.25">
      <c r="A41" t="s">
        <v>46</v>
      </c>
      <c r="B41" s="22">
        <f>(B40/B12)-1</f>
        <v>0.10125075801797179</v>
      </c>
      <c r="C41" t="s">
        <v>47</v>
      </c>
      <c r="F41" t="s">
        <v>46</v>
      </c>
      <c r="G41" s="21">
        <f>(G40/B12)-1</f>
        <v>2.5754902057434803E-2</v>
      </c>
      <c r="H41" t="s">
        <v>50</v>
      </c>
      <c r="L41" s="48" t="s">
        <v>41</v>
      </c>
      <c r="M41" s="49">
        <f>B40</f>
        <v>616.70042449006417</v>
      </c>
      <c r="P41" s="56">
        <v>45200</v>
      </c>
      <c r="Q41" s="6">
        <v>384.41</v>
      </c>
      <c r="R41" s="6">
        <v>4117.37</v>
      </c>
      <c r="S41" s="6">
        <v>12643.01</v>
      </c>
      <c r="T41" s="6">
        <v>34061.32</v>
      </c>
      <c r="U41" s="56">
        <v>45170</v>
      </c>
      <c r="V41" s="58">
        <f t="shared" si="0"/>
        <v>108.28755739598299</v>
      </c>
      <c r="W41" s="58">
        <f t="shared" si="1"/>
        <v>91.30698966817981</v>
      </c>
      <c r="X41" s="58">
        <f t="shared" si="2"/>
        <v>85.921183364073656</v>
      </c>
      <c r="Y41" s="58">
        <f t="shared" si="3"/>
        <v>96.985314384249691</v>
      </c>
    </row>
    <row r="42" spans="1:25" x14ac:dyDescent="0.25">
      <c r="L42" s="48" t="s">
        <v>8</v>
      </c>
      <c r="M42" s="53">
        <f>B12</f>
        <v>560</v>
      </c>
      <c r="P42" s="56">
        <v>45231</v>
      </c>
      <c r="Q42" s="6">
        <v>414.36</v>
      </c>
      <c r="R42" s="6">
        <v>4559.34</v>
      </c>
      <c r="S42" s="6">
        <v>14250.85</v>
      </c>
      <c r="T42" s="6">
        <v>36245.5</v>
      </c>
      <c r="U42" s="56">
        <v>45200</v>
      </c>
      <c r="V42" s="57">
        <f t="shared" si="0"/>
        <v>116.72441477224712</v>
      </c>
      <c r="W42" s="57">
        <f t="shared" si="1"/>
        <v>101.10813705683942</v>
      </c>
      <c r="X42" s="57">
        <f t="shared" si="2"/>
        <v>96.847973381647961</v>
      </c>
      <c r="Y42" s="57">
        <f t="shared" si="3"/>
        <v>103.20449156152263</v>
      </c>
    </row>
    <row r="43" spans="1:25" x14ac:dyDescent="0.25">
      <c r="L43" s="48" t="s">
        <v>83</v>
      </c>
      <c r="M43" s="49">
        <f>(B40-B12)</f>
        <v>56.700424490064165</v>
      </c>
      <c r="P43" s="56">
        <v>45261</v>
      </c>
      <c r="Q43" s="6">
        <v>426.51</v>
      </c>
      <c r="R43" s="6">
        <v>4769.83</v>
      </c>
      <c r="S43" s="6">
        <v>14992.97</v>
      </c>
      <c r="T43" s="6">
        <v>37689.54</v>
      </c>
      <c r="U43" s="56">
        <v>45231</v>
      </c>
      <c r="V43" s="58">
        <f t="shared" si="0"/>
        <v>120.1470463956731</v>
      </c>
      <c r="W43" s="58">
        <f t="shared" si="1"/>
        <v>105.77597314037217</v>
      </c>
      <c r="X43" s="58">
        <f t="shared" si="2"/>
        <v>101.8913790736585</v>
      </c>
      <c r="Y43" s="58">
        <f t="shared" si="3"/>
        <v>107.31621340270294</v>
      </c>
    </row>
    <row r="44" spans="1:25" x14ac:dyDescent="0.25">
      <c r="L44" s="48" t="s">
        <v>82</v>
      </c>
      <c r="M44" s="54">
        <f>((B40-B12)/(B12))</f>
        <v>0.10125075801797172</v>
      </c>
      <c r="P44" s="56">
        <v>45292</v>
      </c>
      <c r="Q44" s="6">
        <v>436.78</v>
      </c>
      <c r="R44" s="6">
        <v>4958.6099999999997</v>
      </c>
      <c r="S44" s="6">
        <v>15628.95</v>
      </c>
      <c r="T44" s="6">
        <v>38109.43</v>
      </c>
      <c r="U44" s="56">
        <v>45261</v>
      </c>
      <c r="V44" s="58">
        <f t="shared" si="0"/>
        <v>123.0400856362151</v>
      </c>
      <c r="W44" s="58">
        <f t="shared" si="1"/>
        <v>109.96236724864006</v>
      </c>
      <c r="X44" s="58">
        <f t="shared" si="2"/>
        <v>106.21346330802071</v>
      </c>
      <c r="Y44" s="58">
        <f t="shared" si="3"/>
        <v>108.51179723964182</v>
      </c>
    </row>
    <row r="45" spans="1:25" x14ac:dyDescent="0.25">
      <c r="L45" s="48"/>
      <c r="M45" s="50"/>
      <c r="P45" s="56">
        <v>45323</v>
      </c>
      <c r="Q45" s="6">
        <v>468.13</v>
      </c>
      <c r="R45" s="6">
        <v>5137.08</v>
      </c>
      <c r="S45" s="6">
        <v>16274.94</v>
      </c>
      <c r="T45" s="6">
        <v>39087.379999999997</v>
      </c>
      <c r="U45" s="56">
        <v>45292</v>
      </c>
      <c r="V45" s="57">
        <f t="shared" si="0"/>
        <v>131.87132031888223</v>
      </c>
      <c r="W45" s="57">
        <f t="shared" si="1"/>
        <v>113.92012631476238</v>
      </c>
      <c r="X45" s="57">
        <f t="shared" si="2"/>
        <v>110.6035749381909</v>
      </c>
      <c r="Y45" s="57">
        <f t="shared" si="3"/>
        <v>111.29638656859551</v>
      </c>
    </row>
    <row r="46" spans="1:25" x14ac:dyDescent="0.25">
      <c r="L46" s="51" t="s">
        <v>54</v>
      </c>
      <c r="M46" s="50"/>
      <c r="P46" s="56">
        <v>45352</v>
      </c>
      <c r="Q46" s="6">
        <v>481.57</v>
      </c>
      <c r="R46" s="6">
        <v>5234.18</v>
      </c>
      <c r="S46" s="6">
        <v>16428.82</v>
      </c>
      <c r="T46" s="6">
        <v>39807.370000000003</v>
      </c>
      <c r="U46" s="56">
        <v>45323</v>
      </c>
      <c r="V46" s="58">
        <f t="shared" si="0"/>
        <v>135.657342460351</v>
      </c>
      <c r="W46" s="58">
        <f t="shared" si="1"/>
        <v>116.07342045562908</v>
      </c>
      <c r="X46" s="58">
        <f t="shared" si="2"/>
        <v>111.64933474507737</v>
      </c>
      <c r="Y46" s="58">
        <f t="shared" si="3"/>
        <v>113.34646732012</v>
      </c>
    </row>
    <row r="47" spans="1:25" x14ac:dyDescent="0.25">
      <c r="L47" s="48" t="s">
        <v>41</v>
      </c>
      <c r="M47" s="49">
        <f>B40</f>
        <v>616.70042449006417</v>
      </c>
      <c r="P47" s="56">
        <v>45383</v>
      </c>
      <c r="Q47" s="6">
        <v>462.42</v>
      </c>
      <c r="R47" s="6">
        <v>4967.2299999999996</v>
      </c>
      <c r="S47" s="6">
        <v>15282.01</v>
      </c>
      <c r="T47" s="6">
        <v>37986.400000000001</v>
      </c>
      <c r="U47" s="56">
        <v>45352</v>
      </c>
      <c r="V47" s="58">
        <f t="shared" si="0"/>
        <v>130.26282430491</v>
      </c>
      <c r="W47" s="58">
        <f t="shared" si="1"/>
        <v>110.15352477175304</v>
      </c>
      <c r="X47" s="58">
        <f t="shared" si="2"/>
        <v>103.85567862254376</v>
      </c>
      <c r="Y47" s="58">
        <f t="shared" si="3"/>
        <v>108.16148482577488</v>
      </c>
    </row>
    <row r="48" spans="1:25" x14ac:dyDescent="0.25">
      <c r="L48" s="48" t="s">
        <v>31</v>
      </c>
      <c r="M48" s="49">
        <f>G40</f>
        <v>574.42274515216343</v>
      </c>
      <c r="P48" s="56">
        <v>45413</v>
      </c>
      <c r="Q48" s="6">
        <v>460.27</v>
      </c>
      <c r="R48" s="6">
        <v>5277.51</v>
      </c>
      <c r="S48" s="6">
        <v>16735.02</v>
      </c>
      <c r="T48" s="6">
        <v>38686.32</v>
      </c>
      <c r="U48" s="56">
        <v>45383</v>
      </c>
      <c r="V48" s="57">
        <f t="shared" si="0"/>
        <v>129.65717344150539</v>
      </c>
      <c r="W48" s="57">
        <f t="shared" si="1"/>
        <v>117.0343085619499</v>
      </c>
      <c r="X48" s="57">
        <f t="shared" si="2"/>
        <v>113.73025268677632</v>
      </c>
      <c r="Y48" s="57">
        <f t="shared" si="3"/>
        <v>110.15441878264514</v>
      </c>
    </row>
    <row r="49" spans="12:25" x14ac:dyDescent="0.25">
      <c r="L49" s="48" t="s">
        <v>83</v>
      </c>
      <c r="M49" s="49">
        <f>-(G40-B40)</f>
        <v>42.277679337900736</v>
      </c>
      <c r="P49" s="56">
        <v>45444</v>
      </c>
      <c r="Q49" s="6">
        <v>454.85</v>
      </c>
      <c r="R49" s="6">
        <v>5464.62</v>
      </c>
      <c r="S49" s="6">
        <v>17689.36</v>
      </c>
      <c r="T49" s="6">
        <v>39150.33</v>
      </c>
      <c r="U49" s="56">
        <v>45413</v>
      </c>
      <c r="V49" s="58">
        <f t="shared" si="0"/>
        <v>128.1303698695738</v>
      </c>
      <c r="W49" s="58">
        <f t="shared" si="1"/>
        <v>121.18366867212049</v>
      </c>
      <c r="X49" s="58">
        <f t="shared" si="2"/>
        <v>120.21589353746536</v>
      </c>
      <c r="Y49" s="58">
        <f t="shared" si="3"/>
        <v>111.4756287571099</v>
      </c>
    </row>
    <row r="50" spans="12:25" x14ac:dyDescent="0.25">
      <c r="L50" s="52" t="s">
        <v>82</v>
      </c>
      <c r="M50" s="55">
        <f>((B40-G40)/(G40))</f>
        <v>7.3600287757932467E-2</v>
      </c>
      <c r="P50" s="56">
        <v>45474</v>
      </c>
      <c r="Q50" s="6">
        <v>443.69</v>
      </c>
      <c r="R50" s="6">
        <v>5459.1</v>
      </c>
      <c r="S50" s="6">
        <v>17357.88</v>
      </c>
      <c r="T50" s="6">
        <v>40287.53</v>
      </c>
      <c r="U50" s="56">
        <v>45444</v>
      </c>
      <c r="V50" s="58">
        <f t="shared" si="0"/>
        <v>124.98661934138991</v>
      </c>
      <c r="W50" s="58">
        <f t="shared" si="1"/>
        <v>121.06125689397855</v>
      </c>
      <c r="X50" s="58">
        <f t="shared" si="2"/>
        <v>117.96317414061896</v>
      </c>
      <c r="Y50" s="58">
        <f t="shared" si="3"/>
        <v>114.71366238345698</v>
      </c>
    </row>
    <row r="51" spans="12:25" x14ac:dyDescent="0.25">
      <c r="P51" s="56">
        <v>45505</v>
      </c>
      <c r="Q51" s="6">
        <v>483.34</v>
      </c>
      <c r="R51" s="6">
        <v>5648.4</v>
      </c>
      <c r="S51" s="6">
        <v>17877.79</v>
      </c>
      <c r="T51" s="6">
        <v>41175.08</v>
      </c>
      <c r="U51" s="56">
        <v>45474</v>
      </c>
      <c r="V51" s="57">
        <f t="shared" si="0"/>
        <v>136.15594805487476</v>
      </c>
      <c r="W51" s="57">
        <f t="shared" si="1"/>
        <v>125.25918254656415</v>
      </c>
      <c r="X51" s="57">
        <f t="shared" si="2"/>
        <v>121.49645319701577</v>
      </c>
      <c r="Y51" s="57">
        <f t="shared" si="3"/>
        <v>117.24084910968311</v>
      </c>
    </row>
    <row r="52" spans="12:25" x14ac:dyDescent="0.25">
      <c r="P52" s="56">
        <v>45536</v>
      </c>
      <c r="Q52" s="6">
        <v>493.64</v>
      </c>
      <c r="R52" s="6">
        <v>5751.07</v>
      </c>
      <c r="S52" s="6">
        <v>18137.849999999999</v>
      </c>
      <c r="T52" s="6">
        <v>42313</v>
      </c>
      <c r="U52" s="56">
        <v>45505</v>
      </c>
      <c r="V52" s="58">
        <f t="shared" si="0"/>
        <v>139.05743823769683</v>
      </c>
      <c r="W52" s="58">
        <f t="shared" si="1"/>
        <v>127.53599726791103</v>
      </c>
      <c r="X52" s="58">
        <f t="shared" si="2"/>
        <v>123.26380629929608</v>
      </c>
      <c r="Y52" s="58">
        <f t="shared" si="3"/>
        <v>120.48093284525547</v>
      </c>
    </row>
    <row r="53" spans="12:25" x14ac:dyDescent="0.25">
      <c r="P53" s="56">
        <v>45566</v>
      </c>
      <c r="Q53" s="6">
        <v>508.08</v>
      </c>
      <c r="R53" s="6">
        <v>5728.8</v>
      </c>
      <c r="S53" s="6">
        <v>18518.61</v>
      </c>
      <c r="T53" s="6">
        <v>42052.19</v>
      </c>
      <c r="U53" s="56">
        <v>45536</v>
      </c>
      <c r="V53" s="58">
        <f t="shared" si="0"/>
        <v>143.12515845516774</v>
      </c>
      <c r="W53" s="58">
        <f t="shared" si="1"/>
        <v>127.0421367064579</v>
      </c>
      <c r="X53" s="58">
        <f t="shared" si="2"/>
        <v>125.85142979858183</v>
      </c>
      <c r="Y53" s="58">
        <f t="shared" si="3"/>
        <v>119.73830925214293</v>
      </c>
    </row>
    <row r="54" spans="12:25" x14ac:dyDescent="0.25">
      <c r="P54" s="56">
        <v>45597</v>
      </c>
      <c r="Q54" s="6">
        <v>520.86</v>
      </c>
      <c r="R54" s="6">
        <v>5969.34</v>
      </c>
      <c r="S54" s="6">
        <v>19003.650000000001</v>
      </c>
      <c r="T54" s="6">
        <v>44296.51</v>
      </c>
      <c r="U54" s="56">
        <v>45566</v>
      </c>
      <c r="V54" s="57">
        <f t="shared" si="0"/>
        <v>146.72525986647511</v>
      </c>
      <c r="W54" s="57">
        <f t="shared" si="1"/>
        <v>132.37636299527429</v>
      </c>
      <c r="X54" s="57">
        <f t="shared" si="2"/>
        <v>129.14773430035083</v>
      </c>
      <c r="Y54" s="57">
        <f t="shared" si="3"/>
        <v>126.12872749720387</v>
      </c>
    </row>
    <row r="55" spans="12:25" x14ac:dyDescent="0.25">
      <c r="P55" s="56">
        <v>45627</v>
      </c>
      <c r="Q55" s="6">
        <v>532.20000000000005</v>
      </c>
      <c r="R55" s="6">
        <v>5942.47</v>
      </c>
      <c r="S55" s="6">
        <v>19722.03</v>
      </c>
      <c r="T55" s="6">
        <v>42840.26</v>
      </c>
      <c r="U55" s="56">
        <v>45597</v>
      </c>
      <c r="V55" s="58">
        <f t="shared" si="0"/>
        <v>149.91971604833941</v>
      </c>
      <c r="W55" s="58">
        <f t="shared" si="1"/>
        <v>131.78049261870285</v>
      </c>
      <c r="X55" s="58">
        <f t="shared" si="2"/>
        <v>134.02980429041514</v>
      </c>
      <c r="Y55" s="58">
        <f t="shared" si="3"/>
        <v>121.9822392204118</v>
      </c>
    </row>
    <row r="56" spans="12:25" x14ac:dyDescent="0.25">
      <c r="P56" s="56">
        <v>45658</v>
      </c>
      <c r="Q56" s="6">
        <v>555.42999999999995</v>
      </c>
      <c r="R56" s="6">
        <v>6040.53</v>
      </c>
      <c r="S56" s="6">
        <v>19627.439999999999</v>
      </c>
      <c r="T56" s="6">
        <v>44424.25</v>
      </c>
      <c r="U56" s="56">
        <v>45627</v>
      </c>
      <c r="V56" s="58">
        <f t="shared" si="0"/>
        <v>156.46356235386912</v>
      </c>
      <c r="W56" s="58">
        <f t="shared" si="1"/>
        <v>133.95507576446377</v>
      </c>
      <c r="X56" s="58">
        <f t="shared" si="2"/>
        <v>133.38697598177598</v>
      </c>
      <c r="Y56" s="58">
        <f t="shared" si="3"/>
        <v>126.49245104225275</v>
      </c>
    </row>
    <row r="57" spans="12:25" x14ac:dyDescent="0.25">
      <c r="P57" s="56">
        <v>45689</v>
      </c>
      <c r="Q57" s="6">
        <v>557.51</v>
      </c>
      <c r="R57" s="6">
        <v>5954.5</v>
      </c>
      <c r="S57" s="6">
        <v>19524.009999999998</v>
      </c>
      <c r="T57" s="6">
        <v>43840.91</v>
      </c>
      <c r="U57" s="56">
        <v>45658</v>
      </c>
      <c r="V57" s="57">
        <f t="shared" si="0"/>
        <v>157.04949435195357</v>
      </c>
      <c r="W57" s="57">
        <f t="shared" si="1"/>
        <v>132.04727046128394</v>
      </c>
      <c r="X57" s="57">
        <f t="shared" si="2"/>
        <v>132.68407153138432</v>
      </c>
      <c r="Y57" s="57">
        <f t="shared" si="3"/>
        <v>124.83146393743978</v>
      </c>
    </row>
    <row r="58" spans="12:25" x14ac:dyDescent="0.25">
      <c r="P58" s="56">
        <v>45717</v>
      </c>
      <c r="Q58" s="6">
        <v>489.77</v>
      </c>
      <c r="R58" s="6">
        <v>5074.08</v>
      </c>
      <c r="S58" s="6">
        <v>15587.79</v>
      </c>
      <c r="T58" s="6">
        <v>38314.86</v>
      </c>
      <c r="U58" s="56">
        <v>45689</v>
      </c>
      <c r="V58" s="58">
        <f t="shared" si="0"/>
        <v>137.96726668356854</v>
      </c>
      <c r="W58" s="58">
        <f t="shared" si="1"/>
        <v>112.523035368577</v>
      </c>
      <c r="X58" s="58">
        <f t="shared" si="2"/>
        <v>105.93374226791514</v>
      </c>
      <c r="Y58" s="58">
        <f t="shared" si="3"/>
        <v>109.0967332648445</v>
      </c>
    </row>
    <row r="59" spans="12:25" x14ac:dyDescent="0.25">
      <c r="P59" s="56">
        <v>45748</v>
      </c>
      <c r="Q59" s="6">
        <v>559.39</v>
      </c>
      <c r="R59" s="6">
        <v>5282.7</v>
      </c>
      <c r="S59" s="6">
        <v>16286.45</v>
      </c>
      <c r="T59" s="6">
        <v>39142.230000000003</v>
      </c>
      <c r="U59" s="56">
        <v>45717</v>
      </c>
      <c r="V59" s="58">
        <f t="shared" si="0"/>
        <v>157.5790867348376</v>
      </c>
      <c r="W59" s="58">
        <f t="shared" si="1"/>
        <v>117.14940224465946</v>
      </c>
      <c r="X59" s="58">
        <f t="shared" si="2"/>
        <v>110.68179624945462</v>
      </c>
      <c r="Y59" s="58">
        <f t="shared" si="3"/>
        <v>111.45256502832568</v>
      </c>
    </row>
    <row r="60" spans="12:25" x14ac:dyDescent="0.25">
      <c r="P60" s="56">
        <v>45778</v>
      </c>
      <c r="Q60" s="6">
        <v>585.6</v>
      </c>
      <c r="R60" s="6">
        <v>5802.82</v>
      </c>
      <c r="S60" s="6">
        <v>19113.77</v>
      </c>
      <c r="T60" s="6">
        <v>41603.07</v>
      </c>
      <c r="U60" s="56">
        <v>45748</v>
      </c>
      <c r="V60" s="57">
        <f t="shared" si="0"/>
        <v>164.96239330685373</v>
      </c>
      <c r="W60" s="57">
        <f t="shared" si="1"/>
        <v>128.68360768799189</v>
      </c>
      <c r="X60" s="57">
        <f t="shared" si="2"/>
        <v>129.89610361367508</v>
      </c>
      <c r="Y60" s="57">
        <f t="shared" si="3"/>
        <v>118.4594966754062</v>
      </c>
    </row>
    <row r="61" spans="12:25" x14ac:dyDescent="0.25">
      <c r="P61" s="56">
        <v>45809</v>
      </c>
      <c r="Q61" s="6">
        <v>532.97</v>
      </c>
      <c r="R61" s="6">
        <v>6279.35</v>
      </c>
      <c r="S61" s="6">
        <v>19447.41</v>
      </c>
      <c r="T61" s="6">
        <v>42206.82</v>
      </c>
      <c r="U61" s="56">
        <v>45778</v>
      </c>
      <c r="V61" s="58">
        <f t="shared" si="0"/>
        <v>150.13662356686103</v>
      </c>
      <c r="W61" s="58">
        <f t="shared" si="1"/>
        <v>139.25115925284464</v>
      </c>
      <c r="X61" s="58">
        <f t="shared" si="2"/>
        <v>132.16350224877775</v>
      </c>
      <c r="Y61" s="58">
        <f t="shared" si="3"/>
        <v>120.17859868200756</v>
      </c>
    </row>
    <row r="62" spans="12:25" x14ac:dyDescent="0.25">
      <c r="P62" s="56">
        <v>45839</v>
      </c>
      <c r="Q62" s="6">
        <v>568.22</v>
      </c>
      <c r="R62" s="6">
        <v>6238.01</v>
      </c>
      <c r="S62" s="6">
        <v>20650.13</v>
      </c>
      <c r="T62" s="6">
        <v>44901.919999999998</v>
      </c>
      <c r="U62" s="56">
        <v>45809</v>
      </c>
      <c r="V62" s="58">
        <f t="shared" si="0"/>
        <v>160.0664807459365</v>
      </c>
      <c r="W62" s="58">
        <f t="shared" si="1"/>
        <v>138.33440147958584</v>
      </c>
      <c r="X62" s="58">
        <f t="shared" si="2"/>
        <v>140.33711958006506</v>
      </c>
      <c r="Y62" s="58">
        <f t="shared" si="3"/>
        <v>127.85255614451903</v>
      </c>
    </row>
    <row r="63" spans="12:25" x14ac:dyDescent="0.25">
      <c r="P63" s="56">
        <v>45870</v>
      </c>
      <c r="Q63" s="6">
        <v>598.96</v>
      </c>
      <c r="R63" s="6">
        <v>6460.26</v>
      </c>
      <c r="S63" s="6">
        <v>21496.54</v>
      </c>
      <c r="T63" s="6">
        <v>45544.88</v>
      </c>
      <c r="U63" s="56">
        <v>45839</v>
      </c>
      <c r="V63" s="57">
        <f t="shared" si="0"/>
        <v>168.72587960224232</v>
      </c>
      <c r="W63" s="57">
        <f t="shared" si="1"/>
        <v>143.26302787307318</v>
      </c>
      <c r="X63" s="57">
        <f t="shared" si="2"/>
        <v>146.08927423399521</v>
      </c>
      <c r="Y63" s="57">
        <f t="shared" si="3"/>
        <v>129.68330368267954</v>
      </c>
    </row>
    <row r="64" spans="12:25" x14ac:dyDescent="0.25">
      <c r="P64" s="56">
        <v>45901</v>
      </c>
      <c r="Q64" s="6">
        <v>565.13</v>
      </c>
      <c r="R64" s="6">
        <v>6715.79</v>
      </c>
      <c r="S64" s="6">
        <v>22780.51</v>
      </c>
      <c r="T64" s="6">
        <v>46758.28</v>
      </c>
      <c r="U64" s="56">
        <v>45870</v>
      </c>
      <c r="V64" s="58">
        <f t="shared" si="0"/>
        <v>159.19603369108987</v>
      </c>
      <c r="W64" s="58">
        <f t="shared" si="1"/>
        <v>148.92967310289464</v>
      </c>
      <c r="X64" s="58">
        <f t="shared" si="2"/>
        <v>154.81506198580192</v>
      </c>
      <c r="Y64" s="58">
        <f t="shared" si="3"/>
        <v>133.1383072020337</v>
      </c>
    </row>
    <row r="65" spans="16:25" x14ac:dyDescent="0.25">
      <c r="P65" s="56">
        <v>45931</v>
      </c>
      <c r="Q65" s="6">
        <v>560.97</v>
      </c>
      <c r="R65" s="6">
        <v>6840.2</v>
      </c>
      <c r="S65" s="6">
        <v>23204.87</v>
      </c>
      <c r="T65" s="6">
        <v>47207.12</v>
      </c>
      <c r="U65" s="56">
        <v>45901</v>
      </c>
      <c r="V65" s="58">
        <f t="shared" si="0"/>
        <v>158.024169694921</v>
      </c>
      <c r="W65" s="58">
        <f t="shared" si="1"/>
        <v>151.68859508090929</v>
      </c>
      <c r="X65" s="58">
        <f t="shared" si="2"/>
        <v>157.69898862766792</v>
      </c>
      <c r="Y65" s="58">
        <f t="shared" si="3"/>
        <v>134.41632251407171</v>
      </c>
    </row>
    <row r="66" spans="16:25" x14ac:dyDescent="0.25">
      <c r="P66" s="56">
        <v>45962</v>
      </c>
      <c r="Q66" s="6">
        <v>545.73</v>
      </c>
      <c r="R66" s="6">
        <v>6849.09</v>
      </c>
      <c r="S66" s="6">
        <v>23365.69</v>
      </c>
      <c r="T66" s="6">
        <v>46245.41</v>
      </c>
      <c r="U66" s="56">
        <v>45931</v>
      </c>
      <c r="V66" s="57">
        <f t="shared" si="0"/>
        <v>153.73109101664835</v>
      </c>
      <c r="W66" s="57">
        <f t="shared" si="1"/>
        <v>151.88574013664882</v>
      </c>
      <c r="X66" s="57">
        <f t="shared" si="2"/>
        <v>158.7919122833963</v>
      </c>
      <c r="Y66" s="57">
        <f t="shared" si="3"/>
        <v>131.67797453764342</v>
      </c>
    </row>
    <row r="67" spans="16:25" x14ac:dyDescent="0.25">
      <c r="P67" s="56">
        <v>45992</v>
      </c>
      <c r="Q67" s="6">
        <v>579.6</v>
      </c>
      <c r="R67" s="6">
        <v>6929.94</v>
      </c>
      <c r="S67" s="6">
        <v>23593.1</v>
      </c>
      <c r="T67" s="6">
        <v>48134.89</v>
      </c>
      <c r="U67" s="56">
        <v>45962</v>
      </c>
      <c r="V67" s="58">
        <f t="shared" si="0"/>
        <v>163.27220485084086</v>
      </c>
      <c r="W67" s="58">
        <f t="shared" si="1"/>
        <v>153.6786735175867</v>
      </c>
      <c r="X67" s="58">
        <f t="shared" si="2"/>
        <v>160.33737782592326</v>
      </c>
      <c r="Y67" s="58">
        <f t="shared" si="3"/>
        <v>137.05803061952022</v>
      </c>
    </row>
    <row r="68" spans="16:25" x14ac:dyDescent="0.25">
      <c r="P68" s="56">
        <v>46023</v>
      </c>
      <c r="Q68" s="59">
        <v>538.79</v>
      </c>
      <c r="R68" s="6">
        <v>6939.03</v>
      </c>
      <c r="S68" s="6">
        <v>23461.82</v>
      </c>
      <c r="T68" s="6">
        <v>49098.71</v>
      </c>
      <c r="U68" s="56">
        <v>45992</v>
      </c>
      <c r="V68" s="58">
        <f t="shared" si="0"/>
        <v>151.77610636919349</v>
      </c>
      <c r="W68" s="58">
        <f t="shared" si="1"/>
        <v>153.88025378267918</v>
      </c>
      <c r="X68" s="58">
        <f t="shared" si="2"/>
        <v>159.44520634523664</v>
      </c>
      <c r="Y68" s="58">
        <f t="shared" si="3"/>
        <v>139.80238655492812</v>
      </c>
    </row>
    <row r="69" spans="16:25" x14ac:dyDescent="0.25">
      <c r="P69" s="56">
        <v>46054</v>
      </c>
      <c r="Q69" s="6">
        <v>517.21</v>
      </c>
      <c r="R69" s="6">
        <v>6909.51</v>
      </c>
      <c r="S69" s="6">
        <v>22668.21</v>
      </c>
      <c r="T69" s="6">
        <v>48977.919999999998</v>
      </c>
      <c r="U69" s="56">
        <v>46023</v>
      </c>
      <c r="V69" s="57">
        <f t="shared" si="0"/>
        <v>145.6970618890673</v>
      </c>
      <c r="W69" s="57">
        <f t="shared" si="1"/>
        <v>153.22561688218087</v>
      </c>
      <c r="X69" s="57">
        <f t="shared" si="2"/>
        <v>154.05187751534862</v>
      </c>
      <c r="Y69" s="57">
        <f t="shared" si="3"/>
        <v>139.45845225865088</v>
      </c>
    </row>
    <row r="70" spans="16:25" x14ac:dyDescent="0.25">
      <c r="P70" s="56">
        <v>46082</v>
      </c>
      <c r="Q70" s="6">
        <v>496.32</v>
      </c>
      <c r="R70" s="6">
        <v>6368.85</v>
      </c>
      <c r="S70" s="6">
        <v>20948.36</v>
      </c>
      <c r="T70" s="6">
        <v>45577.47</v>
      </c>
      <c r="U70" s="56">
        <v>46054</v>
      </c>
      <c r="V70" s="58">
        <f t="shared" si="0"/>
        <v>139.81238908138255</v>
      </c>
      <c r="W70" s="58">
        <f t="shared" si="1"/>
        <v>141.23591543829849</v>
      </c>
      <c r="X70" s="58">
        <f t="shared" si="2"/>
        <v>142.36387385097584</v>
      </c>
      <c r="Y70" s="58">
        <f t="shared" si="3"/>
        <v>129.77609959886195</v>
      </c>
    </row>
    <row r="71" spans="16:25" x14ac:dyDescent="0.25">
      <c r="P71" s="56">
        <v>46113</v>
      </c>
      <c r="Q71" s="6">
        <v>495.46</v>
      </c>
      <c r="R71" s="6">
        <v>7123.06</v>
      </c>
      <c r="S71" s="6">
        <v>24468.48</v>
      </c>
      <c r="T71" s="6">
        <v>49447.43</v>
      </c>
      <c r="U71" s="56">
        <v>46082</v>
      </c>
      <c r="V71" s="58">
        <f t="shared" si="0"/>
        <v>139.57012873602073</v>
      </c>
      <c r="W71" s="58">
        <f t="shared" si="1"/>
        <v>157.96131166881406</v>
      </c>
      <c r="X71" s="58">
        <f t="shared" si="2"/>
        <v>166.28641096702202</v>
      </c>
      <c r="Y71" s="58">
        <f t="shared" si="3"/>
        <v>140.79532278969751</v>
      </c>
    </row>
    <row r="72" spans="16:25" x14ac:dyDescent="0.25">
      <c r="P72" s="56">
        <v>46143</v>
      </c>
      <c r="Q72" s="6">
        <v>498.54</v>
      </c>
      <c r="R72" s="6">
        <v>7473.47</v>
      </c>
      <c r="S72" s="6">
        <v>26343.97</v>
      </c>
      <c r="T72" s="6">
        <v>50579.7</v>
      </c>
      <c r="U72" s="56">
        <v>46113</v>
      </c>
      <c r="V72" s="57">
        <f t="shared" si="0"/>
        <v>140.43775881010734</v>
      </c>
      <c r="W72" s="57">
        <f t="shared" si="1"/>
        <v>165.73202021568426</v>
      </c>
      <c r="X72" s="57">
        <f t="shared" si="2"/>
        <v>179.03213529908268</v>
      </c>
      <c r="Y72" s="57">
        <f t="shared" si="3"/>
        <v>144.01931886259939</v>
      </c>
    </row>
    <row r="73" spans="16:25" x14ac:dyDescent="0.25">
      <c r="P73" s="56">
        <v>46174</v>
      </c>
      <c r="Q73" s="6">
        <v>539.39</v>
      </c>
      <c r="R73" s="6">
        <v>7425.29</v>
      </c>
      <c r="S73" s="6">
        <v>25883.49</v>
      </c>
      <c r="T73" s="6">
        <v>51200.15</v>
      </c>
      <c r="U73" s="56">
        <v>46143</v>
      </c>
      <c r="V73" s="58">
        <f t="shared" si="0"/>
        <v>151.94512521479479</v>
      </c>
      <c r="W73" s="58">
        <f t="shared" si="1"/>
        <v>164.66357828255389</v>
      </c>
      <c r="X73" s="58">
        <f t="shared" si="2"/>
        <v>175.90273917304239</v>
      </c>
      <c r="Y73" s="58">
        <f t="shared" si="3"/>
        <v>145.78597201373117</v>
      </c>
    </row>
    <row r="74" spans="16:25" x14ac:dyDescent="0.25">
      <c r="P74" s="56">
        <v>46204</v>
      </c>
      <c r="Q74" s="6">
        <v>573.1</v>
      </c>
      <c r="R74" s="6">
        <v>7483.24</v>
      </c>
      <c r="S74" s="6">
        <v>25832.67</v>
      </c>
      <c r="T74" s="6">
        <v>52900.07</v>
      </c>
      <c r="U74" s="56">
        <v>46174</v>
      </c>
      <c r="V74" s="58">
        <f t="shared" si="0"/>
        <v>161.44116735682695</v>
      </c>
      <c r="W74" s="58">
        <f t="shared" si="1"/>
        <v>165.94868019257677</v>
      </c>
      <c r="X74" s="58">
        <f t="shared" si="2"/>
        <v>175.55736931740182</v>
      </c>
      <c r="Y74" s="58">
        <f t="shared" si="3"/>
        <v>150.62627989457883</v>
      </c>
    </row>
    <row r="75" spans="16:25" x14ac:dyDescent="0.25">
      <c r="P75" s="56">
        <v>46235</v>
      </c>
      <c r="Q75" s="6">
        <v>559.73</v>
      </c>
      <c r="R75" s="6">
        <v>7748.5</v>
      </c>
      <c r="S75" s="6">
        <v>26558.49</v>
      </c>
      <c r="T75" s="6">
        <v>53770.27</v>
      </c>
      <c r="U75" s="56">
        <v>46204</v>
      </c>
      <c r="V75" s="57">
        <f t="shared" si="0"/>
        <v>157.67486408067833</v>
      </c>
      <c r="W75" s="57">
        <f t="shared" si="1"/>
        <v>171.83109835742022</v>
      </c>
      <c r="X75" s="57">
        <f t="shared" si="2"/>
        <v>180.49000112812666</v>
      </c>
      <c r="Y75" s="57">
        <f t="shared" si="3"/>
        <v>153.10406468322395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580E8-6686-43A7-B1F2-73AED413D1BB}"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 Input</vt:lpstr>
      <vt:lpstr>Base Assumptions</vt:lpstr>
      <vt:lpstr>Bear Assumptions</vt:lpstr>
      <vt:lpstr>Bull Assumptions</vt:lpstr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Ty Wallace</dc:creator>
  <cp:keywords/>
  <dc:description/>
  <cp:lastModifiedBy>Ty Wallace</cp:lastModifiedBy>
  <cp:revision/>
  <cp:lastPrinted>2026-05-14T15:37:58Z</cp:lastPrinted>
  <dcterms:created xsi:type="dcterms:W3CDTF">2026-04-12T21:29:31Z</dcterms:created>
  <dcterms:modified xsi:type="dcterms:W3CDTF">2026-09-01T15:39:40Z</dcterms:modified>
  <cp:category/>
  <cp:contentStatus/>
</cp:coreProperties>
</file>