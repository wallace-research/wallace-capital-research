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8F9EB239-33FE-4459-9114-2CDED167709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I21" i="1" s="1"/>
  <c r="E21" i="1"/>
  <c r="F21" i="1"/>
  <c r="C19" i="4"/>
  <c r="C22" i="4"/>
  <c r="C24" i="4" s="1"/>
  <c r="C18" i="4"/>
  <c r="C12" i="4"/>
  <c r="C14" i="4" s="1"/>
  <c r="M48" i="1"/>
  <c r="M42" i="1"/>
  <c r="M48" i="3"/>
  <c r="M42" i="3"/>
  <c r="M48" i="2"/>
  <c r="M42" i="2"/>
  <c r="I21" i="2"/>
  <c r="H21" i="2"/>
  <c r="G21" i="2"/>
  <c r="F21" i="2"/>
  <c r="E21" i="2"/>
  <c r="I21" i="3"/>
  <c r="H21" i="3"/>
  <c r="G21" i="3"/>
  <c r="E21" i="3"/>
  <c r="F21" i="3"/>
  <c r="T9" i="1"/>
  <c r="T9" i="2"/>
  <c r="T9" i="3"/>
  <c r="E27" i="2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E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Y22" i="3"/>
  <c r="X22" i="3"/>
  <c r="W22" i="3"/>
  <c r="V22" i="3"/>
  <c r="D22" i="3"/>
  <c r="D23" i="3" s="1"/>
  <c r="Y21" i="3"/>
  <c r="X21" i="3"/>
  <c r="W21" i="3"/>
  <c r="V21" i="3"/>
  <c r="E22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Y22" i="2"/>
  <c r="X22" i="2"/>
  <c r="W22" i="2"/>
  <c r="V22" i="2"/>
  <c r="D22" i="2"/>
  <c r="D23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16" i="1"/>
  <c r="Y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17" i="1"/>
  <c r="X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W16" i="1"/>
  <c r="Y15" i="1"/>
  <c r="X15" i="1"/>
  <c r="W15" i="1"/>
  <c r="C13" i="4" l="1"/>
  <c r="C28" i="4" s="1"/>
  <c r="B7" i="1" s="1"/>
  <c r="D24" i="3"/>
  <c r="D28" i="3"/>
  <c r="Q7" i="3" s="1"/>
  <c r="D24" i="2"/>
  <c r="D28" i="2" s="1"/>
  <c r="D30" i="2" s="1"/>
  <c r="D32" i="2" s="1"/>
  <c r="C32" i="3"/>
  <c r="G40" i="3"/>
  <c r="C30" i="3"/>
  <c r="D30" i="3"/>
  <c r="D32" i="3" s="1"/>
  <c r="E24" i="3"/>
  <c r="E23" i="3"/>
  <c r="E25" i="3"/>
  <c r="C32" i="2"/>
  <c r="G40" i="2"/>
  <c r="C30" i="2"/>
  <c r="E24" i="2"/>
  <c r="E23" i="2"/>
  <c r="E25" i="2"/>
  <c r="V16" i="1"/>
  <c r="Q7" i="2" l="1"/>
  <c r="E28" i="2"/>
  <c r="Q8" i="2" s="1"/>
  <c r="F25" i="3"/>
  <c r="F27" i="3"/>
  <c r="F22" i="3"/>
  <c r="F26" i="3"/>
  <c r="E28" i="3"/>
  <c r="G41" i="3"/>
  <c r="F25" i="2"/>
  <c r="F27" i="2"/>
  <c r="F26" i="2"/>
  <c r="F22" i="2"/>
  <c r="G41" i="2"/>
  <c r="E30" i="2" l="1"/>
  <c r="E32" i="2" s="1"/>
  <c r="Q8" i="3"/>
  <c r="E30" i="3"/>
  <c r="E32" i="3" s="1"/>
  <c r="G22" i="3"/>
  <c r="G25" i="3"/>
  <c r="G27" i="3"/>
  <c r="G26" i="3"/>
  <c r="F24" i="3"/>
  <c r="F28" i="3" s="1"/>
  <c r="F23" i="3"/>
  <c r="F24" i="2"/>
  <c r="F28" i="2" s="1"/>
  <c r="F23" i="2"/>
  <c r="G27" i="2"/>
  <c r="G26" i="2"/>
  <c r="G22" i="2"/>
  <c r="G25" i="2"/>
  <c r="D22" i="1"/>
  <c r="D27" i="1"/>
  <c r="D26" i="1"/>
  <c r="D25" i="1"/>
  <c r="G36" i="1"/>
  <c r="Q9" i="3" l="1"/>
  <c r="F30" i="3"/>
  <c r="F32" i="3" s="1"/>
  <c r="G23" i="3"/>
  <c r="G24" i="3"/>
  <c r="G28" i="3" s="1"/>
  <c r="H22" i="3"/>
  <c r="H25" i="3"/>
  <c r="H27" i="3"/>
  <c r="H26" i="3"/>
  <c r="G24" i="2"/>
  <c r="G28" i="2" s="1"/>
  <c r="G23" i="2"/>
  <c r="H27" i="2"/>
  <c r="H26" i="2"/>
  <c r="H25" i="2"/>
  <c r="H22" i="2"/>
  <c r="Q9" i="2"/>
  <c r="F30" i="2"/>
  <c r="F32" i="2" s="1"/>
  <c r="E27" i="1"/>
  <c r="E25" i="1"/>
  <c r="E26" i="1"/>
  <c r="F26" i="1"/>
  <c r="F27" i="1"/>
  <c r="G27" i="1"/>
  <c r="G25" i="1"/>
  <c r="G26" i="1"/>
  <c r="F25" i="1"/>
  <c r="I26" i="3" l="1"/>
  <c r="I25" i="3"/>
  <c r="I27" i="3"/>
  <c r="I22" i="3"/>
  <c r="H24" i="3"/>
  <c r="H28" i="3" s="1"/>
  <c r="H23" i="3"/>
  <c r="Q10" i="3"/>
  <c r="G30" i="3"/>
  <c r="G32" i="3" s="1"/>
  <c r="H24" i="2"/>
  <c r="H28" i="2" s="1"/>
  <c r="H23" i="2"/>
  <c r="I27" i="2"/>
  <c r="I22" i="2"/>
  <c r="I26" i="2"/>
  <c r="I25" i="2"/>
  <c r="G30" i="2"/>
  <c r="G32" i="2" s="1"/>
  <c r="Q10" i="2"/>
  <c r="H26" i="1"/>
  <c r="H27" i="1"/>
  <c r="H25" i="1"/>
  <c r="M21" i="3" l="1"/>
  <c r="M21" i="2"/>
  <c r="Q11" i="3"/>
  <c r="H30" i="3"/>
  <c r="H32" i="3" s="1"/>
  <c r="I23" i="3"/>
  <c r="I24" i="3"/>
  <c r="I28" i="3" s="1"/>
  <c r="I23" i="2"/>
  <c r="I24" i="2"/>
  <c r="I28" i="2" s="1"/>
  <c r="H30" i="2"/>
  <c r="H32" i="2" s="1"/>
  <c r="Q11" i="2"/>
  <c r="I26" i="1"/>
  <c r="I27" i="1"/>
  <c r="I25" i="1"/>
  <c r="E22" i="1"/>
  <c r="B38" i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F22" i="1"/>
  <c r="D23" i="1"/>
  <c r="V15" i="1"/>
  <c r="M38" i="1"/>
  <c r="B37" i="1"/>
  <c r="G37" i="1"/>
  <c r="G38" i="1"/>
  <c r="E31" i="1"/>
  <c r="F31" i="1"/>
  <c r="G31" i="1"/>
  <c r="H31" i="1"/>
  <c r="I31" i="1"/>
  <c r="D31" i="1"/>
  <c r="J30" i="2" l="1"/>
  <c r="B39" i="3"/>
  <c r="B40" i="3" s="1"/>
  <c r="J30" i="3"/>
  <c r="B39" i="2"/>
  <c r="B40" i="2" s="1"/>
  <c r="G22" i="1"/>
  <c r="D24" i="1"/>
  <c r="G39" i="1"/>
  <c r="C30" i="1" s="1"/>
  <c r="T7" i="3" l="1"/>
  <c r="M49" i="3"/>
  <c r="M47" i="3"/>
  <c r="M44" i="3"/>
  <c r="M43" i="3"/>
  <c r="M41" i="3"/>
  <c r="M50" i="3"/>
  <c r="M49" i="2"/>
  <c r="M47" i="2"/>
  <c r="M44" i="2"/>
  <c r="M43" i="2"/>
  <c r="M41" i="2"/>
  <c r="M50" i="2"/>
  <c r="T7" i="2"/>
  <c r="B41" i="3"/>
  <c r="M37" i="3"/>
  <c r="B41" i="2"/>
  <c r="M37" i="2"/>
  <c r="H22" i="1"/>
  <c r="D28" i="1"/>
  <c r="Q7" i="1" s="1"/>
  <c r="G40" i="1"/>
  <c r="G41" i="1" s="1"/>
  <c r="C32" i="1"/>
  <c r="E24" i="1"/>
  <c r="E28" i="1" s="1"/>
  <c r="E23" i="1"/>
  <c r="I22" i="1" l="1"/>
  <c r="M21" i="1" s="1"/>
  <c r="D30" i="1"/>
  <c r="D32" i="1" s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M47" i="1" l="1"/>
  <c r="M41" i="1"/>
  <c r="M50" i="1"/>
  <c r="M44" i="1"/>
  <c r="M43" i="1"/>
  <c r="M49" i="1"/>
  <c r="T7" i="1"/>
  <c r="M37" i="1"/>
  <c r="B41" i="1"/>
</calcChain>
</file>

<file path=xl/sharedStrings.xml><?xml version="1.0" encoding="utf-8"?>
<sst xmlns="http://schemas.openxmlformats.org/spreadsheetml/2006/main" count="345" uniqueCount="129">
  <si>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</si>
  <si>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</si>
  <si>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</si>
  <si>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</si>
  <si>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</si>
  <si>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</si>
  <si>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</si>
  <si>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</si>
  <si>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</si>
  <si>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</si>
  <si>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</si>
  <si>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</si>
  <si>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</si>
  <si>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</si>
  <si>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</si>
  <si>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</si>
  <si>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</si>
  <si>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</si>
  <si>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</si>
  <si>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</si>
  <si>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</si>
  <si>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</si>
  <si>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</si>
  <si>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</si>
  <si>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</si>
  <si>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</si>
  <si>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</si>
  <si>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</si>
  <si>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</si>
  <si>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</si>
  <si>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</si>
  <si>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</si>
  <si>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</si>
  <si>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</si>
  <si>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</si>
  <si>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</si>
  <si>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</si>
  <si>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</si>
  <si>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</si>
  <si>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</si>
  <si>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</si>
  <si>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</si>
  <si>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</si>
  <si>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</si>
  <si>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</si>
  <si>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</si>
  <si>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</si>
  <si>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</si>
  <si>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</si>
  <si>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</si>
  <si>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</si>
  <si>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</si>
  <si>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</si>
  <si>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</si>
  <si>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</si>
  <si>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</si>
  <si>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</si>
  <si>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</si>
  <si>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</si>
  <si>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</si>
  <si>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</si>
  <si>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</si>
  <si>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</si>
  <si>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</si>
  <si>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</si>
  <si>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</si>
  <si>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</si>
  <si>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</si>
  <si>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</si>
  <si>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</si>
  <si>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</si>
  <si>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</si>
  <si>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(Following previous trend logic)</t>
  </si>
  <si>
    <t>Perpetual Growth Equity Value per Share</t>
  </si>
  <si>
    <t>Downside</t>
  </si>
  <si>
    <t>Mid to end of month closing price</t>
  </si>
  <si>
    <t>(1% of Revenue)</t>
  </si>
  <si>
    <t>(Intrinsic EV + Cash - Debt + Average Growth Terminal Value) / 2</t>
  </si>
  <si>
    <t>(Intrinsic Equity Value / Shares Outstanding)</t>
  </si>
  <si>
    <t>EBIT Margin</t>
  </si>
  <si>
    <t>(18% of Revenue)</t>
  </si>
  <si>
    <t>(15% of Revenue)</t>
  </si>
  <si>
    <t>22,608,000,000 (18% of Revenue)</t>
  </si>
  <si>
    <t>5.5x</t>
  </si>
  <si>
    <t>(as of June 2026)</t>
  </si>
  <si>
    <t>AT&amp;T Inc</t>
  </si>
  <si>
    <t>AT&amp;T Indexed</t>
  </si>
  <si>
    <t>*base-case assumptions</t>
  </si>
  <si>
    <t>*bear-case assumptions</t>
  </si>
  <si>
    <t>*bull-case assumptions</t>
  </si>
  <si>
    <t>4.5x</t>
  </si>
  <si>
    <t>(Revenue * 0.15)</t>
  </si>
  <si>
    <t>(20% of Revenue)</t>
  </si>
  <si>
    <t>(2% of Revenue)</t>
  </si>
  <si>
    <t>25,120,000,000 (20% of Revenue)</t>
  </si>
  <si>
    <t>6.5x</t>
  </si>
  <si>
    <t>(16% of Revenue)</t>
  </si>
  <si>
    <t>(0.5% of Revenue)</t>
  </si>
  <si>
    <t>(17% of Revenue)</t>
  </si>
  <si>
    <t>Intrinsic Value vs Current Price</t>
  </si>
  <si>
    <t>(19% of Revenue)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</si>
  <si>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</si>
  <si>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</si>
  <si>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</si>
  <si>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</si>
  <si>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</si>
  <si>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</si>
  <si>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</si>
  <si>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</si>
  <si>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</si>
  <si>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</si>
  <si>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</si>
  <si>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</si>
  <si>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</si>
  <si>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</si>
  <si>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</si>
  <si>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</si>
  <si>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</si>
  <si>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</si>
  <si>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</si>
  <si>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</si>
  <si>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</si>
  <si>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</si>
  <si>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T</t>
  </si>
  <si>
    <t>20,096,000,000 (16% of Revenue)</t>
  </si>
  <si>
    <t>(Revenue * 0.15) kept baseline</t>
  </si>
  <si>
    <t>Risk-Free Rate + (Beta x Market Risk Premium)</t>
  </si>
  <si>
    <t>Market Risk Premium (assuming 9% return)</t>
  </si>
  <si>
    <t>(Revenue * 0.18)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</si>
</sst>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* #,##0_);_(* \(#,##0\);_(* &quot;-&quot;??_);_(@_)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165" fontId="0" fillId="0" borderId="0" xfId="0" applyNumberFormat="1" applyAlignment="1">
      <alignment horizontal="center" vertical="top"/>
    </xf>
    <xf numFmtId="165" fontId="0" fillId="0" borderId="0" xfId="0" applyNumberFormat="1"/>
    <xf numFmtId="6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7" fontId="0" fillId="0" borderId="0" xfId="2" applyNumberFormat="1" applyFont="1"/>
    <xf numFmtId="9" fontId="3" fillId="3" borderId="0" xfId="0" applyNumberFormat="1" applyFont="1" applyFill="1" applyAlignment="1">
      <alignment horizontal="left"/>
    </xf>
    <xf numFmtId="168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7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7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12371600000</c:v>
                </c:pt>
                <c:pt idx="1">
                  <c:v>13113896000</c:v>
                </c:pt>
                <c:pt idx="2">
                  <c:v>14031868720</c:v>
                </c:pt>
                <c:pt idx="3">
                  <c:v>15294736904.800003</c:v>
                </c:pt>
                <c:pt idx="4">
                  <c:v>16977157964.328007</c:v>
                </c:pt>
                <c:pt idx="5">
                  <c:v>19014416920.047367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26.826309406495717</c:v>
                </c:pt>
                <c:pt idx="1">
                  <c:v>3.83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AT&amp;T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98.890942698706084</c:v>
                </c:pt>
                <c:pt idx="2">
                  <c:v>96.210720887245841</c:v>
                </c:pt>
                <c:pt idx="3">
                  <c:v>94.685767097966718</c:v>
                </c:pt>
                <c:pt idx="4">
                  <c:v>88.955637707948242</c:v>
                </c:pt>
                <c:pt idx="5">
                  <c:v>84.242144177449163</c:v>
                </c:pt>
                <c:pt idx="6">
                  <c:v>82.994454713493539</c:v>
                </c:pt>
                <c:pt idx="7">
                  <c:v>94.870609981515713</c:v>
                </c:pt>
                <c:pt idx="8">
                  <c:v>83.456561922365978</c:v>
                </c:pt>
                <c:pt idx="9">
                  <c:v>81.053604436229193</c:v>
                </c:pt>
                <c:pt idx="10">
                  <c:v>90.203327171903879</c:v>
                </c:pt>
                <c:pt idx="11">
                  <c:v>94.26987060998151</c:v>
                </c:pt>
                <c:pt idx="12">
                  <c:v>89.556377079482431</c:v>
                </c:pt>
                <c:pt idx="13">
                  <c:v>85.027726432532333</c:v>
                </c:pt>
                <c:pt idx="14">
                  <c:v>85.166358595194083</c:v>
                </c:pt>
                <c:pt idx="15">
                  <c:v>77.356746765249525</c:v>
                </c:pt>
                <c:pt idx="16">
                  <c:v>79.020332717190385</c:v>
                </c:pt>
                <c:pt idx="17">
                  <c:v>87.661737523105359</c:v>
                </c:pt>
                <c:pt idx="18">
                  <c:v>85.443622920517555</c:v>
                </c:pt>
                <c:pt idx="19">
                  <c:v>88.863216266173751</c:v>
                </c:pt>
                <c:pt idx="20">
                  <c:v>89.833641404805917</c:v>
                </c:pt>
                <c:pt idx="21">
                  <c:v>85.998151571164499</c:v>
                </c:pt>
                <c:pt idx="22">
                  <c:v>84.195933456561917</c:v>
                </c:pt>
                <c:pt idx="23">
                  <c:v>75.369685767097963</c:v>
                </c:pt>
                <c:pt idx="24">
                  <c:v>71.395563770794823</c:v>
                </c:pt>
                <c:pt idx="25">
                  <c:v>67.005545286506461</c:v>
                </c:pt>
                <c:pt idx="26">
                  <c:v>64.926062846580407</c:v>
                </c:pt>
                <c:pt idx="27">
                  <c:v>70.378927911275412</c:v>
                </c:pt>
                <c:pt idx="28">
                  <c:v>71.072088724584106</c:v>
                </c:pt>
                <c:pt idx="29">
                  <c:v>73.47504621072089</c:v>
                </c:pt>
                <c:pt idx="30">
                  <c:v>76.340110905730128</c:v>
                </c:pt>
                <c:pt idx="31">
                  <c:v>77.033271719038822</c:v>
                </c:pt>
                <c:pt idx="32">
                  <c:v>78.419593345656182</c:v>
                </c:pt>
                <c:pt idx="33">
                  <c:v>78.465804066543441</c:v>
                </c:pt>
                <c:pt idx="34">
                  <c:v>76.293900184842883</c:v>
                </c:pt>
                <c:pt idx="35">
                  <c:v>80.406654343807759</c:v>
                </c:pt>
                <c:pt idx="36">
                  <c:v>85.027726432532333</c:v>
                </c:pt>
                <c:pt idx="37">
                  <c:v>87.846580406654354</c:v>
                </c:pt>
                <c:pt idx="38">
                  <c:v>91.173752310536045</c:v>
                </c:pt>
                <c:pt idx="39">
                  <c:v>99.537892791127533</c:v>
                </c:pt>
                <c:pt idx="40">
                  <c:v>100.97042513863217</c:v>
                </c:pt>
                <c:pt idx="41">
                  <c:v>107.11645101663585</c:v>
                </c:pt>
                <c:pt idx="42">
                  <c:v>105.12939001848429</c:v>
                </c:pt>
                <c:pt idx="43">
                  <c:v>104.99075785582255</c:v>
                </c:pt>
                <c:pt idx="44">
                  <c:v>123.01293900184842</c:v>
                </c:pt>
                <c:pt idx="45">
                  <c:v>124.86136783733825</c:v>
                </c:pt>
                <c:pt idx="46">
                  <c:v>125.46210720887245</c:v>
                </c:pt>
                <c:pt idx="47">
                  <c:v>128.09611829944546</c:v>
                </c:pt>
                <c:pt idx="48">
                  <c:v>130.26802218114602</c:v>
                </c:pt>
                <c:pt idx="49">
                  <c:v>129.39001848428836</c:v>
                </c:pt>
                <c:pt idx="50">
                  <c:v>132.94824399260628</c:v>
                </c:pt>
                <c:pt idx="51">
                  <c:v>134.0573012939002</c:v>
                </c:pt>
                <c:pt idx="52">
                  <c:v>121.71903881700554</c:v>
                </c:pt>
                <c:pt idx="53">
                  <c:v>118.2532347504621</c:v>
                </c:pt>
                <c:pt idx="54">
                  <c:v>111.5988909426987</c:v>
                </c:pt>
                <c:pt idx="55">
                  <c:v>108.54898336414047</c:v>
                </c:pt>
                <c:pt idx="56">
                  <c:v>132.57855822550832</c:v>
                </c:pt>
                <c:pt idx="57">
                  <c:v>130.82255083179297</c:v>
                </c:pt>
                <c:pt idx="58">
                  <c:v>122.50462107208872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3391200000</c:v>
                </c:pt>
                <c:pt idx="1">
                  <c:v>3492936000</c:v>
                </c:pt>
                <c:pt idx="2">
                  <c:v>3667582800</c:v>
                </c:pt>
                <c:pt idx="3">
                  <c:v>3850961940</c:v>
                </c:pt>
                <c:pt idx="4">
                  <c:v>4082019656.4000015</c:v>
                </c:pt>
                <c:pt idx="5">
                  <c:v>4204480246.0919971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7-4947-AC6C-628108751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4-465C-833B-FA4B11EB9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2.6217874630608824</c:v>
                </c:pt>
                <c:pt idx="1">
                  <c:v>20.38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F4-465C-833B-FA4B11EB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AT&amp;T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98.890942698706084</c:v>
                </c:pt>
                <c:pt idx="2">
                  <c:v>96.210720887245841</c:v>
                </c:pt>
                <c:pt idx="3">
                  <c:v>94.685767097966718</c:v>
                </c:pt>
                <c:pt idx="4">
                  <c:v>88.955637707948242</c:v>
                </c:pt>
                <c:pt idx="5">
                  <c:v>84.242144177449163</c:v>
                </c:pt>
                <c:pt idx="6">
                  <c:v>82.994454713493539</c:v>
                </c:pt>
                <c:pt idx="7">
                  <c:v>94.870609981515713</c:v>
                </c:pt>
                <c:pt idx="8">
                  <c:v>83.456561922365978</c:v>
                </c:pt>
                <c:pt idx="9">
                  <c:v>81.053604436229193</c:v>
                </c:pt>
                <c:pt idx="10">
                  <c:v>90.203327171903879</c:v>
                </c:pt>
                <c:pt idx="11">
                  <c:v>94.26987060998151</c:v>
                </c:pt>
                <c:pt idx="12">
                  <c:v>89.556377079482431</c:v>
                </c:pt>
                <c:pt idx="13">
                  <c:v>85.027726432532333</c:v>
                </c:pt>
                <c:pt idx="14">
                  <c:v>85.166358595194083</c:v>
                </c:pt>
                <c:pt idx="15">
                  <c:v>77.356746765249525</c:v>
                </c:pt>
                <c:pt idx="16">
                  <c:v>79.020332717190385</c:v>
                </c:pt>
                <c:pt idx="17">
                  <c:v>87.661737523105359</c:v>
                </c:pt>
                <c:pt idx="18">
                  <c:v>85.443622920517555</c:v>
                </c:pt>
                <c:pt idx="19">
                  <c:v>88.863216266173751</c:v>
                </c:pt>
                <c:pt idx="20">
                  <c:v>89.833641404805917</c:v>
                </c:pt>
                <c:pt idx="21">
                  <c:v>85.998151571164499</c:v>
                </c:pt>
                <c:pt idx="22">
                  <c:v>84.195933456561917</c:v>
                </c:pt>
                <c:pt idx="23">
                  <c:v>75.369685767097963</c:v>
                </c:pt>
                <c:pt idx="24">
                  <c:v>71.395563770794823</c:v>
                </c:pt>
                <c:pt idx="25">
                  <c:v>67.005545286506461</c:v>
                </c:pt>
                <c:pt idx="26">
                  <c:v>64.926062846580407</c:v>
                </c:pt>
                <c:pt idx="27">
                  <c:v>70.378927911275412</c:v>
                </c:pt>
                <c:pt idx="28">
                  <c:v>71.072088724584106</c:v>
                </c:pt>
                <c:pt idx="29">
                  <c:v>73.47504621072089</c:v>
                </c:pt>
                <c:pt idx="30">
                  <c:v>76.340110905730128</c:v>
                </c:pt>
                <c:pt idx="31">
                  <c:v>77.033271719038822</c:v>
                </c:pt>
                <c:pt idx="32">
                  <c:v>78.419593345656182</c:v>
                </c:pt>
                <c:pt idx="33">
                  <c:v>78.465804066543441</c:v>
                </c:pt>
                <c:pt idx="34">
                  <c:v>76.293900184842883</c:v>
                </c:pt>
                <c:pt idx="35">
                  <c:v>80.406654343807759</c:v>
                </c:pt>
                <c:pt idx="36">
                  <c:v>85.027726432532333</c:v>
                </c:pt>
                <c:pt idx="37">
                  <c:v>87.846580406654354</c:v>
                </c:pt>
                <c:pt idx="38">
                  <c:v>91.173752310536045</c:v>
                </c:pt>
                <c:pt idx="39">
                  <c:v>99.537892791127533</c:v>
                </c:pt>
                <c:pt idx="40">
                  <c:v>100.97042513863217</c:v>
                </c:pt>
                <c:pt idx="41">
                  <c:v>107.11645101663585</c:v>
                </c:pt>
                <c:pt idx="42">
                  <c:v>105.12939001848429</c:v>
                </c:pt>
                <c:pt idx="43">
                  <c:v>104.99075785582255</c:v>
                </c:pt>
                <c:pt idx="44">
                  <c:v>123.01293900184842</c:v>
                </c:pt>
                <c:pt idx="45">
                  <c:v>124.86136783733825</c:v>
                </c:pt>
                <c:pt idx="46">
                  <c:v>125.46210720887245</c:v>
                </c:pt>
                <c:pt idx="47">
                  <c:v>128.09611829944546</c:v>
                </c:pt>
                <c:pt idx="48">
                  <c:v>130.26802218114602</c:v>
                </c:pt>
                <c:pt idx="49">
                  <c:v>129.39001848428836</c:v>
                </c:pt>
                <c:pt idx="50">
                  <c:v>132.94824399260628</c:v>
                </c:pt>
                <c:pt idx="51">
                  <c:v>134.0573012939002</c:v>
                </c:pt>
                <c:pt idx="52">
                  <c:v>121.71903881700554</c:v>
                </c:pt>
                <c:pt idx="53">
                  <c:v>118.2532347504621</c:v>
                </c:pt>
                <c:pt idx="54">
                  <c:v>111.5988909426987</c:v>
                </c:pt>
                <c:pt idx="55">
                  <c:v>108.54898336414047</c:v>
                </c:pt>
                <c:pt idx="56">
                  <c:v>132.57855822550832</c:v>
                </c:pt>
                <c:pt idx="57">
                  <c:v>130.82255083179297</c:v>
                </c:pt>
                <c:pt idx="58">
                  <c:v>122.50462107208872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3-400B-BF44-437FD3523266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3-400B-BF44-437FD3523266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3-400B-BF44-437FD3523266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3-400B-BF44-437FD3523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21226400000</c:v>
                </c:pt>
                <c:pt idx="1">
                  <c:v>23349040000</c:v>
                </c:pt>
                <c:pt idx="2">
                  <c:v>25917434400</c:v>
                </c:pt>
                <c:pt idx="3">
                  <c:v>27731654808</c:v>
                </c:pt>
                <c:pt idx="4">
                  <c:v>31059453384.960007</c:v>
                </c:pt>
                <c:pt idx="5">
                  <c:v>32923020588.05761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6-417A-87BA-12E08C73A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98-4621-B556-ED001B60D8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68.158567461129493</c:v>
                </c:pt>
                <c:pt idx="1">
                  <c:v>45.16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98-4621-B556-ED001B60D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AT&amp;T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98.890942698706084</c:v>
                </c:pt>
                <c:pt idx="2">
                  <c:v>96.210720887245841</c:v>
                </c:pt>
                <c:pt idx="3">
                  <c:v>94.685767097966718</c:v>
                </c:pt>
                <c:pt idx="4">
                  <c:v>88.955637707948242</c:v>
                </c:pt>
                <c:pt idx="5">
                  <c:v>84.242144177449163</c:v>
                </c:pt>
                <c:pt idx="6">
                  <c:v>82.994454713493539</c:v>
                </c:pt>
                <c:pt idx="7">
                  <c:v>94.870609981515713</c:v>
                </c:pt>
                <c:pt idx="8">
                  <c:v>83.456561922365978</c:v>
                </c:pt>
                <c:pt idx="9">
                  <c:v>81.053604436229193</c:v>
                </c:pt>
                <c:pt idx="10">
                  <c:v>90.203327171903879</c:v>
                </c:pt>
                <c:pt idx="11">
                  <c:v>94.26987060998151</c:v>
                </c:pt>
                <c:pt idx="12">
                  <c:v>89.556377079482431</c:v>
                </c:pt>
                <c:pt idx="13">
                  <c:v>85.027726432532333</c:v>
                </c:pt>
                <c:pt idx="14">
                  <c:v>85.166358595194083</c:v>
                </c:pt>
                <c:pt idx="15">
                  <c:v>77.356746765249525</c:v>
                </c:pt>
                <c:pt idx="16">
                  <c:v>79.020332717190385</c:v>
                </c:pt>
                <c:pt idx="17">
                  <c:v>87.661737523105359</c:v>
                </c:pt>
                <c:pt idx="18">
                  <c:v>85.443622920517555</c:v>
                </c:pt>
                <c:pt idx="19">
                  <c:v>88.863216266173751</c:v>
                </c:pt>
                <c:pt idx="20">
                  <c:v>89.833641404805917</c:v>
                </c:pt>
                <c:pt idx="21">
                  <c:v>85.998151571164499</c:v>
                </c:pt>
                <c:pt idx="22">
                  <c:v>84.195933456561917</c:v>
                </c:pt>
                <c:pt idx="23">
                  <c:v>75.369685767097963</c:v>
                </c:pt>
                <c:pt idx="24">
                  <c:v>71.395563770794823</c:v>
                </c:pt>
                <c:pt idx="25">
                  <c:v>67.005545286506461</c:v>
                </c:pt>
                <c:pt idx="26">
                  <c:v>64.926062846580407</c:v>
                </c:pt>
                <c:pt idx="27">
                  <c:v>70.378927911275412</c:v>
                </c:pt>
                <c:pt idx="28">
                  <c:v>71.072088724584106</c:v>
                </c:pt>
                <c:pt idx="29">
                  <c:v>73.47504621072089</c:v>
                </c:pt>
                <c:pt idx="30">
                  <c:v>76.340110905730128</c:v>
                </c:pt>
                <c:pt idx="31">
                  <c:v>77.033271719038822</c:v>
                </c:pt>
                <c:pt idx="32">
                  <c:v>78.419593345656182</c:v>
                </c:pt>
                <c:pt idx="33">
                  <c:v>78.465804066543441</c:v>
                </c:pt>
                <c:pt idx="34">
                  <c:v>76.293900184842883</c:v>
                </c:pt>
                <c:pt idx="35">
                  <c:v>80.406654343807759</c:v>
                </c:pt>
                <c:pt idx="36">
                  <c:v>85.027726432532333</c:v>
                </c:pt>
                <c:pt idx="37">
                  <c:v>87.846580406654354</c:v>
                </c:pt>
                <c:pt idx="38">
                  <c:v>91.173752310536045</c:v>
                </c:pt>
                <c:pt idx="39">
                  <c:v>99.537892791127533</c:v>
                </c:pt>
                <c:pt idx="40">
                  <c:v>100.97042513863217</c:v>
                </c:pt>
                <c:pt idx="41">
                  <c:v>107.11645101663585</c:v>
                </c:pt>
                <c:pt idx="42">
                  <c:v>105.12939001848429</c:v>
                </c:pt>
                <c:pt idx="43">
                  <c:v>104.99075785582255</c:v>
                </c:pt>
                <c:pt idx="44">
                  <c:v>123.01293900184842</c:v>
                </c:pt>
                <c:pt idx="45">
                  <c:v>124.86136783733825</c:v>
                </c:pt>
                <c:pt idx="46">
                  <c:v>125.46210720887245</c:v>
                </c:pt>
                <c:pt idx="47">
                  <c:v>128.09611829944546</c:v>
                </c:pt>
                <c:pt idx="48">
                  <c:v>130.26802218114602</c:v>
                </c:pt>
                <c:pt idx="49">
                  <c:v>129.39001848428836</c:v>
                </c:pt>
                <c:pt idx="50">
                  <c:v>132.94824399260628</c:v>
                </c:pt>
                <c:pt idx="51">
                  <c:v>134.0573012939002</c:v>
                </c:pt>
                <c:pt idx="52">
                  <c:v>121.71903881700554</c:v>
                </c:pt>
                <c:pt idx="53">
                  <c:v>118.2532347504621</c:v>
                </c:pt>
                <c:pt idx="54">
                  <c:v>111.5988909426987</c:v>
                </c:pt>
                <c:pt idx="55">
                  <c:v>108.54898336414047</c:v>
                </c:pt>
                <c:pt idx="56">
                  <c:v>132.57855822550832</c:v>
                </c:pt>
                <c:pt idx="57">
                  <c:v>130.82255083179297</c:v>
                </c:pt>
                <c:pt idx="58">
                  <c:v>122.50462107208872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0-4B8E-B99B-043C77CC32A0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100.98613619340402</c:v>
                </c:pt>
                <c:pt idx="2">
                  <c:v>103.60794423229802</c:v>
                </c:pt>
                <c:pt idx="3">
                  <c:v>102.36975971546339</c:v>
                </c:pt>
                <c:pt idx="4">
                  <c:v>104.42428670554229</c:v>
                </c:pt>
                <c:pt idx="5">
                  <c:v>105.56666069286867</c:v>
                </c:pt>
                <c:pt idx="6">
                  <c:v>109.50844832894488</c:v>
                </c:pt>
                <c:pt idx="7">
                  <c:v>103.40483510019895</c:v>
                </c:pt>
                <c:pt idx="8">
                  <c:v>100.74235928259282</c:v>
                </c:pt>
                <c:pt idx="9">
                  <c:v>104.38201059659862</c:v>
                </c:pt>
                <c:pt idx="10">
                  <c:v>98.149041664943454</c:v>
                </c:pt>
                <c:pt idx="11">
                  <c:v>95.540330029363503</c:v>
                </c:pt>
                <c:pt idx="12">
                  <c:v>89.876709999678326</c:v>
                </c:pt>
                <c:pt idx="13">
                  <c:v>94.898146744050322</c:v>
                </c:pt>
                <c:pt idx="14">
                  <c:v>90.164371349664791</c:v>
                </c:pt>
                <c:pt idx="15">
                  <c:v>82.383729212331744</c:v>
                </c:pt>
                <c:pt idx="16">
                  <c:v>89.631324758635571</c:v>
                </c:pt>
                <c:pt idx="17">
                  <c:v>92.504721598036909</c:v>
                </c:pt>
                <c:pt idx="18">
                  <c:v>88.216913200715013</c:v>
                </c:pt>
                <c:pt idx="19">
                  <c:v>93.525781533611791</c:v>
                </c:pt>
                <c:pt idx="20">
                  <c:v>92.953215971178722</c:v>
                </c:pt>
                <c:pt idx="21">
                  <c:v>91.238046659957632</c:v>
                </c:pt>
                <c:pt idx="22">
                  <c:v>94.972359696163451</c:v>
                </c:pt>
                <c:pt idx="23">
                  <c:v>98.392359052831353</c:v>
                </c:pt>
                <c:pt idx="24">
                  <c:v>102.25258137002164</c:v>
                </c:pt>
                <c:pt idx="25">
                  <c:v>105.28198624188367</c:v>
                </c:pt>
                <c:pt idx="26">
                  <c:v>103.75499156775436</c:v>
                </c:pt>
                <c:pt idx="27">
                  <c:v>99.258330001792146</c:v>
                </c:pt>
                <c:pt idx="28">
                  <c:v>94.601294935597863</c:v>
                </c:pt>
                <c:pt idx="29">
                  <c:v>104.75606225616565</c:v>
                </c:pt>
                <c:pt idx="30">
                  <c:v>109.59231126244732</c:v>
                </c:pt>
                <c:pt idx="31">
                  <c:v>113.92974813548574</c:v>
                </c:pt>
                <c:pt idx="32">
                  <c:v>118.03030094156246</c:v>
                </c:pt>
                <c:pt idx="33">
                  <c:v>120.26128473418898</c:v>
                </c:pt>
                <c:pt idx="34">
                  <c:v>114.12780251542847</c:v>
                </c:pt>
                <c:pt idx="35">
                  <c:v>121.25684114752065</c:v>
                </c:pt>
                <c:pt idx="36">
                  <c:v>125.55590785646342</c:v>
                </c:pt>
                <c:pt idx="37">
                  <c:v>125.42907952963233</c:v>
                </c:pt>
                <c:pt idx="38">
                  <c:v>129.77846399867656</c:v>
                </c:pt>
                <c:pt idx="39">
                  <c:v>132.13742492544242</c:v>
                </c:pt>
                <c:pt idx="40">
                  <c:v>131.62574615034671</c:v>
                </c:pt>
                <c:pt idx="41">
                  <c:v>137.15242834888818</c:v>
                </c:pt>
                <c:pt idx="42">
                  <c:v>136.53505930143325</c:v>
                </c:pt>
                <c:pt idx="43">
                  <c:v>138.78810019437819</c:v>
                </c:pt>
                <c:pt idx="44">
                  <c:v>136.81146233979882</c:v>
                </c:pt>
                <c:pt idx="45">
                  <c:v>116.58280373316423</c:v>
                </c:pt>
                <c:pt idx="46">
                  <c:v>121.37608734611725</c:v>
                </c:pt>
                <c:pt idx="47">
                  <c:v>133.32644048948382</c:v>
                </c:pt>
                <c:pt idx="48">
                  <c:v>144.27526342151577</c:v>
                </c:pt>
                <c:pt idx="49">
                  <c:v>143.32542953905255</c:v>
                </c:pt>
                <c:pt idx="50">
                  <c:v>148.43187802423523</c:v>
                </c:pt>
                <c:pt idx="51">
                  <c:v>154.30297265379082</c:v>
                </c:pt>
                <c:pt idx="52">
                  <c:v>157.16143499818486</c:v>
                </c:pt>
                <c:pt idx="53">
                  <c:v>157.3656929375922</c:v>
                </c:pt>
                <c:pt idx="54">
                  <c:v>159.22331435503659</c:v>
                </c:pt>
                <c:pt idx="55">
                  <c:v>159.4321675236769</c:v>
                </c:pt>
                <c:pt idx="56">
                  <c:v>158.75391168888459</c:v>
                </c:pt>
                <c:pt idx="57">
                  <c:v>146.3316285032879</c:v>
                </c:pt>
                <c:pt idx="58">
                  <c:v>163.66046770243133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0-4B8E-B99B-043C77CC32A0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100.22781097222347</c:v>
                </c:pt>
                <c:pt idx="2">
                  <c:v>100.5145727297629</c:v>
                </c:pt>
                <c:pt idx="3">
                  <c:v>102.78954023169094</c:v>
                </c:pt>
                <c:pt idx="4">
                  <c:v>105.86816473158265</c:v>
                </c:pt>
                <c:pt idx="5">
                  <c:v>103.04754384251191</c:v>
                </c:pt>
                <c:pt idx="6">
                  <c:v>106.92681973833503</c:v>
                </c:pt>
                <c:pt idx="7">
                  <c:v>94.065575405431801</c:v>
                </c:pt>
                <c:pt idx="8">
                  <c:v>90.942959821248664</c:v>
                </c:pt>
                <c:pt idx="9">
                  <c:v>96.789265628959782</c:v>
                </c:pt>
                <c:pt idx="10">
                  <c:v>87.704082085723883</c:v>
                </c:pt>
                <c:pt idx="11">
                  <c:v>77.562429428122741</c:v>
                </c:pt>
                <c:pt idx="12">
                  <c:v>76.01338312614034</c:v>
                </c:pt>
                <c:pt idx="13">
                  <c:v>84.63973419548573</c:v>
                </c:pt>
                <c:pt idx="14">
                  <c:v>82.938973300007575</c:v>
                </c:pt>
                <c:pt idx="15">
                  <c:v>74.237892034676463</c:v>
                </c:pt>
                <c:pt idx="16">
                  <c:v>75.839877917910187</c:v>
                </c:pt>
                <c:pt idx="17">
                  <c:v>76.686296435697543</c:v>
                </c:pt>
                <c:pt idx="18">
                  <c:v>71.495621725857674</c:v>
                </c:pt>
                <c:pt idx="19">
                  <c:v>76.099316020610232</c:v>
                </c:pt>
                <c:pt idx="20">
                  <c:v>79.846618663559056</c:v>
                </c:pt>
                <c:pt idx="21">
                  <c:v>80.768450468703136</c:v>
                </c:pt>
                <c:pt idx="22">
                  <c:v>82.46593252560055</c:v>
                </c:pt>
                <c:pt idx="23">
                  <c:v>90.446557321953946</c:v>
                </c:pt>
                <c:pt idx="24">
                  <c:v>92.166239848408367</c:v>
                </c:pt>
                <c:pt idx="25">
                  <c:v>95.856914216702535</c:v>
                </c:pt>
                <c:pt idx="26">
                  <c:v>92.836557410755816</c:v>
                </c:pt>
                <c:pt idx="27">
                  <c:v>90.248734060916718</c:v>
                </c:pt>
                <c:pt idx="28">
                  <c:v>86.363310342754758</c:v>
                </c:pt>
                <c:pt idx="29">
                  <c:v>97.346326641997962</c:v>
                </c:pt>
                <c:pt idx="30">
                  <c:v>102.41568432435091</c:v>
                </c:pt>
                <c:pt idx="31">
                  <c:v>106.76000882554051</c:v>
                </c:pt>
                <c:pt idx="32">
                  <c:v>111.17271077296571</c:v>
                </c:pt>
                <c:pt idx="33">
                  <c:v>112.22385177463723</c:v>
                </c:pt>
                <c:pt idx="34">
                  <c:v>104.39009162304561</c:v>
                </c:pt>
                <c:pt idx="35">
                  <c:v>114.31547755259292</c:v>
                </c:pt>
                <c:pt idx="36">
                  <c:v>120.83449174244996</c:v>
                </c:pt>
                <c:pt idx="37">
                  <c:v>118.5701804659093</c:v>
                </c:pt>
                <c:pt idx="38">
                  <c:v>122.12164081279677</c:v>
                </c:pt>
                <c:pt idx="39">
                  <c:v>123.89808823218003</c:v>
                </c:pt>
                <c:pt idx="40">
                  <c:v>126.49902693634203</c:v>
                </c:pt>
                <c:pt idx="41">
                  <c:v>129.81229332216708</c:v>
                </c:pt>
                <c:pt idx="42">
                  <c:v>134.71948511304822</c:v>
                </c:pt>
                <c:pt idx="43">
                  <c:v>134.07334898523359</c:v>
                </c:pt>
                <c:pt idx="44">
                  <c:v>133.36682758022397</c:v>
                </c:pt>
                <c:pt idx="45">
                  <c:v>106.47884841724316</c:v>
                </c:pt>
                <c:pt idx="46">
                  <c:v>111.25133458976606</c:v>
                </c:pt>
                <c:pt idx="47">
                  <c:v>130.56451353989561</c:v>
                </c:pt>
                <c:pt idx="48">
                  <c:v>132.84357959004956</c:v>
                </c:pt>
                <c:pt idx="49">
                  <c:v>141.05925612715885</c:v>
                </c:pt>
                <c:pt idx="50">
                  <c:v>146.84100980031192</c:v>
                </c:pt>
                <c:pt idx="51">
                  <c:v>155.61169807634639</c:v>
                </c:pt>
                <c:pt idx="52">
                  <c:v>158.5104646182578</c:v>
                </c:pt>
                <c:pt idx="53">
                  <c:v>159.60901216107567</c:v>
                </c:pt>
                <c:pt idx="54">
                  <c:v>161.16243024783236</c:v>
                </c:pt>
                <c:pt idx="55">
                  <c:v>160.26566789600344</c:v>
                </c:pt>
                <c:pt idx="56">
                  <c:v>154.84458646673036</c:v>
                </c:pt>
                <c:pt idx="57">
                  <c:v>143.09643952284702</c:v>
                </c:pt>
                <c:pt idx="58">
                  <c:v>167.14207549115977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0-4B8E-B99B-043C77CC32A0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101.82294510284071</c:v>
                </c:pt>
                <c:pt idx="2">
                  <c:v>101.9929232406261</c:v>
                </c:pt>
                <c:pt idx="3">
                  <c:v>99.688155605067578</c:v>
                </c:pt>
                <c:pt idx="4">
                  <c:v>103.61034377809737</c:v>
                </c:pt>
                <c:pt idx="5">
                  <c:v>101.32282661474873</c:v>
                </c:pt>
                <c:pt idx="6">
                  <c:v>104.40473673572276</c:v>
                </c:pt>
                <c:pt idx="7">
                  <c:v>100.84692848662829</c:v>
                </c:pt>
                <c:pt idx="8">
                  <c:v>98.910693666463004</c:v>
                </c:pt>
                <c:pt idx="9">
                  <c:v>101.24122084554033</c:v>
                </c:pt>
                <c:pt idx="10">
                  <c:v>98.192359609035776</c:v>
                </c:pt>
                <c:pt idx="11">
                  <c:v>96.454418095687274</c:v>
                </c:pt>
                <c:pt idx="12">
                  <c:v>90.310171621869657</c:v>
                </c:pt>
                <c:pt idx="13">
                  <c:v>95.386195672629015</c:v>
                </c:pt>
                <c:pt idx="14">
                  <c:v>90.95250486149672</c:v>
                </c:pt>
                <c:pt idx="15">
                  <c:v>89.512003308373394</c:v>
                </c:pt>
                <c:pt idx="16">
                  <c:v>95.434607351372975</c:v>
                </c:pt>
                <c:pt idx="17">
                  <c:v>99.988499685193403</c:v>
                </c:pt>
                <c:pt idx="18">
                  <c:v>96.428193892984353</c:v>
                </c:pt>
                <c:pt idx="19">
                  <c:v>96.926424703140867</c:v>
                </c:pt>
                <c:pt idx="20">
                  <c:v>95.304270450231527</c:v>
                </c:pt>
                <c:pt idx="21">
                  <c:v>96.63212119240842</c:v>
                </c:pt>
                <c:pt idx="22">
                  <c:v>98.185273556478165</c:v>
                </c:pt>
                <c:pt idx="23">
                  <c:v>96.107027273170814</c:v>
                </c:pt>
                <c:pt idx="24">
                  <c:v>97.9485006609777</c:v>
                </c:pt>
                <c:pt idx="25">
                  <c:v>101.83476487083638</c:v>
                </c:pt>
                <c:pt idx="26">
                  <c:v>101.1728869042779</c:v>
                </c:pt>
                <c:pt idx="27">
                  <c:v>97.309797571226454</c:v>
                </c:pt>
                <c:pt idx="28">
                  <c:v>98.918157254607692</c:v>
                </c:pt>
                <c:pt idx="29">
                  <c:v>105.26127785922222</c:v>
                </c:pt>
                <c:pt idx="30">
                  <c:v>109.45494316056532</c:v>
                </c:pt>
                <c:pt idx="31">
                  <c:v>110.67435406565171</c:v>
                </c:pt>
                <c:pt idx="32">
                  <c:v>113.51443812249811</c:v>
                </c:pt>
                <c:pt idx="33">
                  <c:v>115.60537540977134</c:v>
                </c:pt>
                <c:pt idx="34">
                  <c:v>110.31706019427403</c:v>
                </c:pt>
                <c:pt idx="35">
                  <c:v>112.34971179514106</c:v>
                </c:pt>
                <c:pt idx="36">
                  <c:v>113.69725247024441</c:v>
                </c:pt>
                <c:pt idx="37">
                  <c:v>116.99981762127025</c:v>
                </c:pt>
                <c:pt idx="38">
                  <c:v>119.57736923909737</c:v>
                </c:pt>
                <c:pt idx="39">
                  <c:v>122.88202535645169</c:v>
                </c:pt>
                <c:pt idx="40">
                  <c:v>122.12460184516164</c:v>
                </c:pt>
                <c:pt idx="41">
                  <c:v>128.64237622060162</c:v>
                </c:pt>
                <c:pt idx="42">
                  <c:v>124.41325161527151</c:v>
                </c:pt>
                <c:pt idx="43">
                  <c:v>129.01334849671139</c:v>
                </c:pt>
                <c:pt idx="44">
                  <c:v>127.31925919386281</c:v>
                </c:pt>
                <c:pt idx="45">
                  <c:v>111.27094741684344</c:v>
                </c:pt>
                <c:pt idx="46">
                  <c:v>113.6737290990491</c:v>
                </c:pt>
                <c:pt idx="47">
                  <c:v>120.82030351537907</c:v>
                </c:pt>
                <c:pt idx="48">
                  <c:v>122.57366590540005</c:v>
                </c:pt>
                <c:pt idx="49">
                  <c:v>130.40055944965766</c:v>
                </c:pt>
                <c:pt idx="50">
                  <c:v>132.26779238098337</c:v>
                </c:pt>
                <c:pt idx="51">
                  <c:v>135.7916514684392</c:v>
                </c:pt>
                <c:pt idx="52">
                  <c:v>137.09513664464959</c:v>
                </c:pt>
                <c:pt idx="53">
                  <c:v>134.30221549498984</c:v>
                </c:pt>
                <c:pt idx="54">
                  <c:v>139.78949196488105</c:v>
                </c:pt>
                <c:pt idx="55">
                  <c:v>142.58854080753122</c:v>
                </c:pt>
                <c:pt idx="56">
                  <c:v>142.23775216473098</c:v>
                </c:pt>
                <c:pt idx="57">
                  <c:v>132.36243764854575</c:v>
                </c:pt>
                <c:pt idx="58">
                  <c:v>143.60126549928793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80-4B8E-B99B-043C77CC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124FB-BE2B-4721-B5B5-A91226C50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FB145-E701-408B-8D77-01224A8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93D60-DC6B-443E-83A8-8ED8F44E7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FC4BA-8640-44A0-BD4C-BFE7FF4A8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3725F6-9472-44FF-8545-5C118CA67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9ED571-24BF-406C-9F90-5F1C6D84E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E96D-08A6-4313-87AE-23E8FE0724FA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103</v>
      </c>
    </row>
    <row r="3" spans="2:3" x14ac:dyDescent="0.25">
      <c r="B3" s="57" t="s">
        <v>104</v>
      </c>
      <c r="C3" s="58" t="s">
        <v>123</v>
      </c>
    </row>
    <row r="4" spans="2:3" x14ac:dyDescent="0.25">
      <c r="B4" s="59" t="s">
        <v>105</v>
      </c>
      <c r="C4" s="60">
        <v>0.4</v>
      </c>
    </row>
    <row r="5" spans="2:3" x14ac:dyDescent="0.25">
      <c r="B5" s="59" t="s">
        <v>33</v>
      </c>
      <c r="C5" s="61">
        <v>159850000000</v>
      </c>
    </row>
    <row r="6" spans="2:3" x14ac:dyDescent="0.25">
      <c r="B6" s="59" t="s">
        <v>106</v>
      </c>
      <c r="C6" s="61">
        <v>131590000000</v>
      </c>
    </row>
    <row r="7" spans="2:3" x14ac:dyDescent="0.25">
      <c r="B7" s="59" t="s">
        <v>107</v>
      </c>
      <c r="C7" s="61">
        <v>7190000000</v>
      </c>
    </row>
    <row r="8" spans="2:3" x14ac:dyDescent="0.25">
      <c r="B8" s="59" t="s">
        <v>108</v>
      </c>
      <c r="C8" s="62">
        <v>0.21</v>
      </c>
    </row>
    <row r="9" spans="2:3" x14ac:dyDescent="0.25">
      <c r="B9" s="40" t="s">
        <v>109</v>
      </c>
      <c r="C9" s="63">
        <v>4.58E-2</v>
      </c>
    </row>
    <row r="11" spans="2:3" x14ac:dyDescent="0.25">
      <c r="B11" s="3" t="s">
        <v>110</v>
      </c>
    </row>
    <row r="12" spans="2:3" x14ac:dyDescent="0.25">
      <c r="B12" t="s">
        <v>111</v>
      </c>
      <c r="C12" s="64">
        <f>C5+C6</f>
        <v>291440000000</v>
      </c>
    </row>
    <row r="13" spans="2:3" x14ac:dyDescent="0.25">
      <c r="B13" t="s">
        <v>112</v>
      </c>
      <c r="C13" s="65">
        <f>C5/C12</f>
        <v>0.54848339280812519</v>
      </c>
    </row>
    <row r="14" spans="2:3" x14ac:dyDescent="0.25">
      <c r="B14" t="s">
        <v>113</v>
      </c>
      <c r="C14" s="65">
        <f>C6/C12</f>
        <v>0.45151660719187481</v>
      </c>
    </row>
    <row r="16" spans="2:3" ht="18" x14ac:dyDescent="0.35">
      <c r="B16" s="3" t="s">
        <v>114</v>
      </c>
    </row>
    <row r="17" spans="2:3" x14ac:dyDescent="0.25">
      <c r="B17" t="s">
        <v>115</v>
      </c>
      <c r="C17" t="s">
        <v>126</v>
      </c>
    </row>
    <row r="18" spans="2:3" x14ac:dyDescent="0.25">
      <c r="B18" t="s">
        <v>127</v>
      </c>
      <c r="C18" s="20">
        <f>9%-C9</f>
        <v>4.4199999999999996E-2</v>
      </c>
    </row>
    <row r="19" spans="2:3" x14ac:dyDescent="0.25">
      <c r="B19" t="s">
        <v>116</v>
      </c>
      <c r="C19" s="20">
        <f>C9+(0.4*C18)</f>
        <v>6.3479999999999995E-2</v>
      </c>
    </row>
    <row r="21" spans="2:3" ht="18" x14ac:dyDescent="0.35">
      <c r="B21" s="3" t="s">
        <v>117</v>
      </c>
    </row>
    <row r="22" spans="2:3" x14ac:dyDescent="0.25">
      <c r="B22" t="s">
        <v>118</v>
      </c>
      <c r="C22" s="65">
        <f>C7/C6</f>
        <v>5.463941028953568E-2</v>
      </c>
    </row>
    <row r="23" spans="2:3" x14ac:dyDescent="0.25">
      <c r="B23" t="s">
        <v>119</v>
      </c>
      <c r="C23" t="s">
        <v>120</v>
      </c>
    </row>
    <row r="24" spans="2:3" x14ac:dyDescent="0.25">
      <c r="B24" t="s">
        <v>116</v>
      </c>
      <c r="C24" s="65">
        <f>C22*(1-C8)</f>
        <v>4.3165134128733192E-2</v>
      </c>
    </row>
    <row r="26" spans="2:3" x14ac:dyDescent="0.25">
      <c r="B26" s="3" t="s">
        <v>121</v>
      </c>
    </row>
    <row r="27" spans="2:3" ht="18" x14ac:dyDescent="0.35">
      <c r="B27" t="s">
        <v>115</v>
      </c>
      <c r="C27" t="s">
        <v>122</v>
      </c>
    </row>
    <row r="28" spans="2:3" x14ac:dyDescent="0.25">
      <c r="B28" t="s">
        <v>116</v>
      </c>
      <c r="C28" s="20">
        <f>(C13*C19)+(C14*C24)</f>
        <v>5.4307500686247602E-2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7" customFormat="1" ht="33.75" x14ac:dyDescent="0.5">
      <c r="A1" s="26" t="s">
        <v>0</v>
      </c>
    </row>
    <row r="3" spans="1:26" s="1" customFormat="1" ht="21" x14ac:dyDescent="0.35">
      <c r="A3" s="2" t="s">
        <v>63</v>
      </c>
    </row>
    <row r="5" spans="1:26" x14ac:dyDescent="0.25">
      <c r="A5" s="35" t="s">
        <v>1</v>
      </c>
      <c r="B5" s="36"/>
      <c r="C5" s="37"/>
      <c r="P5" t="s">
        <v>58</v>
      </c>
    </row>
    <row r="6" spans="1:26" x14ac:dyDescent="0.25">
      <c r="A6" s="38" t="s">
        <v>2</v>
      </c>
      <c r="B6" s="29">
        <v>0.21</v>
      </c>
      <c r="C6" s="39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8" t="s">
        <v>3</v>
      </c>
      <c r="B7" s="30">
        <f>'WACC Input'!C28</f>
        <v>5.4307500686247602E-2</v>
      </c>
      <c r="C7" s="39"/>
      <c r="P7">
        <v>2026</v>
      </c>
      <c r="Q7" s="25">
        <f>D28</f>
        <v>12371600000</v>
      </c>
      <c r="R7" s="25"/>
      <c r="S7" t="s">
        <v>41</v>
      </c>
      <c r="T7" s="15">
        <f>B40</f>
        <v>26.826309406495717</v>
      </c>
    </row>
    <row r="8" spans="1:26" x14ac:dyDescent="0.25">
      <c r="A8" s="38" t="s">
        <v>4</v>
      </c>
      <c r="B8" s="30">
        <v>1.4999999999999999E-2</v>
      </c>
      <c r="C8" s="39"/>
      <c r="P8">
        <v>2027</v>
      </c>
      <c r="Q8" s="25">
        <f>E28</f>
        <v>13113896000</v>
      </c>
      <c r="R8" s="25"/>
      <c r="S8" t="s">
        <v>55</v>
      </c>
      <c r="T8" s="15">
        <v>3.83</v>
      </c>
    </row>
    <row r="9" spans="1:26" x14ac:dyDescent="0.25">
      <c r="A9" s="38" t="s">
        <v>5</v>
      </c>
      <c r="B9" s="31" t="s">
        <v>83</v>
      </c>
      <c r="C9" s="39"/>
      <c r="P9">
        <v>2028</v>
      </c>
      <c r="Q9" s="25">
        <f>F28</f>
        <v>14031868720</v>
      </c>
      <c r="R9" s="25"/>
      <c r="S9" t="s">
        <v>8</v>
      </c>
      <c r="T9" s="15">
        <f>B12</f>
        <v>23</v>
      </c>
    </row>
    <row r="10" spans="1:26" x14ac:dyDescent="0.25">
      <c r="A10" s="38" t="s">
        <v>6</v>
      </c>
      <c r="B10" s="32">
        <v>46185</v>
      </c>
      <c r="C10" s="39"/>
      <c r="P10">
        <v>2029</v>
      </c>
      <c r="Q10" s="25">
        <f>G28</f>
        <v>15294736904.800003</v>
      </c>
      <c r="R10" s="25"/>
    </row>
    <row r="11" spans="1:26" x14ac:dyDescent="0.25">
      <c r="A11" s="38" t="s">
        <v>7</v>
      </c>
      <c r="B11" s="32">
        <v>46387</v>
      </c>
      <c r="C11" s="39"/>
      <c r="P11">
        <v>2030</v>
      </c>
      <c r="Q11" s="25">
        <f>H28</f>
        <v>16977157964.328007</v>
      </c>
      <c r="R11" s="25"/>
    </row>
    <row r="12" spans="1:26" x14ac:dyDescent="0.25">
      <c r="A12" s="38" t="s">
        <v>8</v>
      </c>
      <c r="B12" s="33">
        <v>23</v>
      </c>
      <c r="C12" s="39" t="s">
        <v>84</v>
      </c>
      <c r="P12">
        <v>2031</v>
      </c>
      <c r="Q12" s="25">
        <f>I28</f>
        <v>19014416920.047367</v>
      </c>
      <c r="R12" s="25"/>
    </row>
    <row r="13" spans="1:26" x14ac:dyDescent="0.25">
      <c r="A13" s="38" t="s">
        <v>9</v>
      </c>
      <c r="B13" s="34">
        <v>6950000000</v>
      </c>
      <c r="C13" s="39"/>
    </row>
    <row r="14" spans="1:26" x14ac:dyDescent="0.25">
      <c r="A14" s="38" t="s">
        <v>10</v>
      </c>
      <c r="B14" s="33">
        <v>131590000000</v>
      </c>
      <c r="C14" s="39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8" t="s">
        <v>11</v>
      </c>
      <c r="B15" s="33">
        <v>11960000000</v>
      </c>
      <c r="C15" s="39"/>
      <c r="P15" s="52">
        <v>44348</v>
      </c>
      <c r="Q15" s="53">
        <v>21.64</v>
      </c>
      <c r="R15" s="6">
        <v>4352.34</v>
      </c>
      <c r="S15" s="6">
        <v>14639.33</v>
      </c>
      <c r="T15" s="6">
        <v>34433.839999999997</v>
      </c>
      <c r="U15" s="52">
        <v>44348</v>
      </c>
      <c r="V15" s="54">
        <f t="shared" ref="V15" si="0">(Q15/$Q$15)*100</f>
        <v>100</v>
      </c>
      <c r="W15" s="54">
        <f>(R15/$R$15)*100</f>
        <v>100</v>
      </c>
      <c r="X15" s="54">
        <f>(S15/$S$15)*100</f>
        <v>100</v>
      </c>
      <c r="Y15" s="54">
        <f>(T15/$T$15)*100</f>
        <v>100</v>
      </c>
      <c r="Z15" t="s">
        <v>69</v>
      </c>
    </row>
    <row r="16" spans="1:26" x14ac:dyDescent="0.25">
      <c r="A16" s="38" t="s">
        <v>12</v>
      </c>
      <c r="B16" s="33" t="s">
        <v>82</v>
      </c>
      <c r="C16" s="39"/>
      <c r="P16" s="52">
        <v>44378</v>
      </c>
      <c r="Q16" s="6">
        <v>21.4</v>
      </c>
      <c r="R16" s="6">
        <v>4395.26</v>
      </c>
      <c r="S16" s="6">
        <v>14672.68</v>
      </c>
      <c r="T16" s="6">
        <v>35061.550000000003</v>
      </c>
      <c r="U16" s="52">
        <v>44378</v>
      </c>
      <c r="V16" s="55">
        <f>(Q16/$Q$15)*100</f>
        <v>98.890942698706084</v>
      </c>
      <c r="W16" s="55">
        <f>(R16/$R$15)*100</f>
        <v>100.98613619340402</v>
      </c>
      <c r="X16" s="55">
        <f>(S16/$S$15)*100</f>
        <v>100.22781097222347</v>
      </c>
      <c r="Y16" s="55">
        <f>(T16/$T$15)*100</f>
        <v>101.82294510284071</v>
      </c>
      <c r="Z16" t="s">
        <v>75</v>
      </c>
    </row>
    <row r="17" spans="1:25" x14ac:dyDescent="0.25">
      <c r="A17" s="40" t="s">
        <v>87</v>
      </c>
      <c r="B17" s="41"/>
      <c r="C17" s="42"/>
      <c r="P17" s="52">
        <v>44409</v>
      </c>
      <c r="Q17" s="6">
        <v>20.82</v>
      </c>
      <c r="R17" s="6">
        <v>4509.37</v>
      </c>
      <c r="S17" s="6">
        <v>14714.66</v>
      </c>
      <c r="T17" s="6">
        <v>35120.080000000002</v>
      </c>
      <c r="U17" s="52">
        <v>44409</v>
      </c>
      <c r="V17" s="55">
        <f>(Q17/$Q$15)*100</f>
        <v>96.210720887245841</v>
      </c>
      <c r="W17" s="55">
        <f>(R17/$R$15)*100</f>
        <v>103.60794423229802</v>
      </c>
      <c r="X17" s="55">
        <f>(S17/$S$15)*100</f>
        <v>100.5145727297629</v>
      </c>
      <c r="Y17" s="55">
        <f>(T17/$T$15)*100</f>
        <v>101.9929232406261</v>
      </c>
    </row>
    <row r="18" spans="1:25" x14ac:dyDescent="0.25">
      <c r="P18" s="52">
        <v>44440</v>
      </c>
      <c r="Q18" s="6">
        <v>20.49</v>
      </c>
      <c r="R18" s="6">
        <v>4455.4799999999996</v>
      </c>
      <c r="S18" s="6">
        <v>15047.7</v>
      </c>
      <c r="T18" s="6">
        <v>34326.46</v>
      </c>
      <c r="U18" s="52">
        <v>44440</v>
      </c>
      <c r="V18" s="55">
        <f t="shared" ref="V18:V75" si="1">(Q18/$Q$15)*100</f>
        <v>94.685767097966718</v>
      </c>
      <c r="W18" s="55">
        <f t="shared" ref="W18:W75" si="2">(R18/$R$15)*100</f>
        <v>102.36975971546339</v>
      </c>
      <c r="X18" s="55">
        <f t="shared" ref="X18:X75" si="3">(S18/$S$15)*100</f>
        <v>102.78954023169094</v>
      </c>
      <c r="Y18" s="55">
        <f t="shared" ref="Y18:Y75" si="4">(T18/$T$15)*100</f>
        <v>99.688155605067578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2">
        <v>44470</v>
      </c>
      <c r="Q19" s="6">
        <v>19.25</v>
      </c>
      <c r="R19" s="6">
        <v>4544.8999999999996</v>
      </c>
      <c r="S19" s="6">
        <v>15498.39</v>
      </c>
      <c r="T19" s="6">
        <v>35677.019999999997</v>
      </c>
      <c r="U19" s="52">
        <v>44470</v>
      </c>
      <c r="V19" s="55">
        <f t="shared" si="1"/>
        <v>88.955637707948242</v>
      </c>
      <c r="W19" s="55">
        <f t="shared" si="2"/>
        <v>104.42428670554229</v>
      </c>
      <c r="X19" s="55">
        <f t="shared" si="3"/>
        <v>105.86816473158265</v>
      </c>
      <c r="Y19" s="55">
        <f t="shared" si="4"/>
        <v>103.61034377809737</v>
      </c>
    </row>
    <row r="20" spans="1:25" x14ac:dyDescent="0.25">
      <c r="A20" t="s">
        <v>16</v>
      </c>
      <c r="C20" s="7">
        <v>46185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2">
        <f>I28*(1+B8)/(B7-B8)</f>
        <v>490991104417.90009</v>
      </c>
      <c r="P20" s="52">
        <v>44501</v>
      </c>
      <c r="Q20" s="6">
        <v>18.23</v>
      </c>
      <c r="R20" s="6">
        <v>4594.62</v>
      </c>
      <c r="S20" s="6">
        <v>15085.47</v>
      </c>
      <c r="T20" s="6">
        <v>34889.339999999997</v>
      </c>
      <c r="U20" s="52">
        <v>44501</v>
      </c>
      <c r="V20" s="55">
        <f t="shared" si="1"/>
        <v>84.242144177449163</v>
      </c>
      <c r="W20" s="55">
        <f t="shared" si="2"/>
        <v>105.56666069286867</v>
      </c>
      <c r="X20" s="55">
        <f t="shared" si="3"/>
        <v>103.04754384251191</v>
      </c>
      <c r="Y20" s="55">
        <f t="shared" si="4"/>
        <v>101.32282661474873</v>
      </c>
    </row>
    <row r="21" spans="1:25" x14ac:dyDescent="0.25">
      <c r="A21" t="s">
        <v>18</v>
      </c>
      <c r="B21" t="s">
        <v>72</v>
      </c>
      <c r="D21" s="5">
        <v>125600000000</v>
      </c>
      <c r="E21" s="5">
        <f>D21*1.06</f>
        <v>133136000000</v>
      </c>
      <c r="F21" s="5">
        <f>E21*1.07</f>
        <v>142455520000</v>
      </c>
      <c r="G21" s="5">
        <f>F21*1.09</f>
        <v>155276516800</v>
      </c>
      <c r="H21" s="5">
        <f>G21*1.11</f>
        <v>172356933648</v>
      </c>
      <c r="I21" s="5">
        <f>H21*1.12</f>
        <v>193039765685.76001</v>
      </c>
      <c r="L21" t="s">
        <v>19</v>
      </c>
      <c r="M21" s="12">
        <f>(I22+I25)*5.5</f>
        <v>339749987606.93762</v>
      </c>
      <c r="P21" s="52">
        <v>44531</v>
      </c>
      <c r="Q21" s="6">
        <v>17.96</v>
      </c>
      <c r="R21" s="6">
        <v>4766.18</v>
      </c>
      <c r="S21" s="6">
        <v>15653.37</v>
      </c>
      <c r="T21" s="6">
        <v>35950.559999999998</v>
      </c>
      <c r="U21" s="52">
        <v>44531</v>
      </c>
      <c r="V21" s="55">
        <f t="shared" si="1"/>
        <v>82.994454713493539</v>
      </c>
      <c r="W21" s="55">
        <f t="shared" si="2"/>
        <v>109.50844832894488</v>
      </c>
      <c r="X21" s="55">
        <f t="shared" si="3"/>
        <v>106.92681973833503</v>
      </c>
      <c r="Y21" s="55">
        <f t="shared" si="4"/>
        <v>104.40473673572276</v>
      </c>
    </row>
    <row r="22" spans="1:25" x14ac:dyDescent="0.25">
      <c r="A22" t="s">
        <v>79</v>
      </c>
      <c r="B22" t="s">
        <v>91</v>
      </c>
      <c r="C22" s="24">
        <v>0.15</v>
      </c>
      <c r="D22" s="5">
        <f>D21*$C$22</f>
        <v>18840000000</v>
      </c>
      <c r="E22" s="5">
        <f t="shared" ref="E22:I22" si="5">E21*$C$22</f>
        <v>19970400000</v>
      </c>
      <c r="F22" s="5">
        <f t="shared" si="5"/>
        <v>21368328000</v>
      </c>
      <c r="G22" s="5">
        <f t="shared" si="5"/>
        <v>23291477520</v>
      </c>
      <c r="H22" s="5">
        <f t="shared" si="5"/>
        <v>25853540047.200001</v>
      </c>
      <c r="I22" s="5">
        <f t="shared" si="5"/>
        <v>28955964852.864002</v>
      </c>
      <c r="L22" t="s">
        <v>20</v>
      </c>
      <c r="M22" s="12">
        <f>(M20+M21)/2</f>
        <v>415370546012.41882</v>
      </c>
      <c r="P22" s="52">
        <v>44562</v>
      </c>
      <c r="Q22" s="6">
        <v>20.53</v>
      </c>
      <c r="R22" s="6">
        <v>4500.53</v>
      </c>
      <c r="S22" s="6">
        <v>13770.57</v>
      </c>
      <c r="T22" s="6">
        <v>34725.47</v>
      </c>
      <c r="U22" s="52">
        <v>44562</v>
      </c>
      <c r="V22" s="55">
        <f t="shared" si="1"/>
        <v>94.870609981515713</v>
      </c>
      <c r="W22" s="55">
        <f t="shared" si="2"/>
        <v>103.40483510019895</v>
      </c>
      <c r="X22" s="55">
        <f t="shared" si="3"/>
        <v>94.065575405431801</v>
      </c>
      <c r="Y22" s="55">
        <f t="shared" si="4"/>
        <v>100.84692848662829</v>
      </c>
    </row>
    <row r="23" spans="1:25" x14ac:dyDescent="0.25">
      <c r="A23" t="s">
        <v>21</v>
      </c>
      <c r="B23" t="s">
        <v>22</v>
      </c>
      <c r="C23" s="24"/>
      <c r="D23" s="5">
        <f>D22*$B$6</f>
        <v>3956400000</v>
      </c>
      <c r="E23" s="5">
        <f t="shared" ref="E23:I23" si="6">E22*$B$6</f>
        <v>4193784000</v>
      </c>
      <c r="F23" s="5">
        <f t="shared" si="6"/>
        <v>4487348880</v>
      </c>
      <c r="G23" s="5">
        <f t="shared" si="6"/>
        <v>4891210279.1999998</v>
      </c>
      <c r="H23" s="5">
        <f t="shared" si="6"/>
        <v>5429243409.9119997</v>
      </c>
      <c r="I23" s="5">
        <f t="shared" si="6"/>
        <v>6080752619.1014404</v>
      </c>
      <c r="P23" s="52">
        <v>44593</v>
      </c>
      <c r="Q23" s="6">
        <v>18.059999999999999</v>
      </c>
      <c r="R23" s="6">
        <v>4384.6499999999996</v>
      </c>
      <c r="S23" s="6">
        <v>13313.44</v>
      </c>
      <c r="T23" s="6">
        <v>34058.75</v>
      </c>
      <c r="U23" s="52">
        <v>44593</v>
      </c>
      <c r="V23" s="55">
        <f t="shared" si="1"/>
        <v>83.456561922365978</v>
      </c>
      <c r="W23" s="55">
        <f t="shared" si="2"/>
        <v>100.74235928259282</v>
      </c>
      <c r="X23" s="55">
        <f t="shared" si="3"/>
        <v>90.942959821248664</v>
      </c>
      <c r="Y23" s="55">
        <f t="shared" si="4"/>
        <v>98.910693666463004</v>
      </c>
    </row>
    <row r="24" spans="1:25" x14ac:dyDescent="0.25">
      <c r="A24" t="s">
        <v>23</v>
      </c>
      <c r="B24" t="s">
        <v>24</v>
      </c>
      <c r="C24" s="24"/>
      <c r="D24" s="5">
        <f>D22*(1-$B$6)</f>
        <v>14883600000</v>
      </c>
      <c r="E24" s="5">
        <f t="shared" ref="E24:I24" si="7">E22*(1-$B$6)</f>
        <v>15776616000</v>
      </c>
      <c r="F24" s="5">
        <f t="shared" si="7"/>
        <v>16880979120</v>
      </c>
      <c r="G24" s="5">
        <f t="shared" si="7"/>
        <v>18400267240.799999</v>
      </c>
      <c r="H24" s="5">
        <f t="shared" si="7"/>
        <v>20424296637.288002</v>
      </c>
      <c r="I24" s="5">
        <f t="shared" si="7"/>
        <v>22875212233.762562</v>
      </c>
      <c r="P24" s="52">
        <v>44621</v>
      </c>
      <c r="Q24" s="6">
        <v>17.54</v>
      </c>
      <c r="R24" s="6">
        <v>4543.0600000000004</v>
      </c>
      <c r="S24" s="6">
        <v>14169.3</v>
      </c>
      <c r="T24" s="6">
        <v>34861.24</v>
      </c>
      <c r="U24" s="52">
        <v>44621</v>
      </c>
      <c r="V24" s="55">
        <f t="shared" si="1"/>
        <v>81.053604436229193</v>
      </c>
      <c r="W24" s="55">
        <f t="shared" si="2"/>
        <v>104.38201059659862</v>
      </c>
      <c r="X24" s="55">
        <f t="shared" si="3"/>
        <v>96.789265628959782</v>
      </c>
      <c r="Y24" s="55">
        <f t="shared" si="4"/>
        <v>101.24122084554033</v>
      </c>
    </row>
    <row r="25" spans="1:25" x14ac:dyDescent="0.25">
      <c r="A25" s="4" t="s">
        <v>25</v>
      </c>
      <c r="B25" s="8" t="s">
        <v>98</v>
      </c>
      <c r="C25" s="24">
        <v>0.17</v>
      </c>
      <c r="D25" s="11">
        <f>D21*$C$25</f>
        <v>21352000000</v>
      </c>
      <c r="E25" s="11">
        <f t="shared" ref="E25:I25" si="8">E21*$C$25</f>
        <v>22633120000</v>
      </c>
      <c r="F25" s="11">
        <f t="shared" si="8"/>
        <v>24217438400</v>
      </c>
      <c r="G25" s="11">
        <f t="shared" si="8"/>
        <v>26397007856</v>
      </c>
      <c r="H25" s="11">
        <f t="shared" si="8"/>
        <v>29300678720.160004</v>
      </c>
      <c r="I25" s="11">
        <f t="shared" si="8"/>
        <v>32816760166.579205</v>
      </c>
      <c r="P25" s="52">
        <v>44652</v>
      </c>
      <c r="Q25" s="6">
        <v>19.52</v>
      </c>
      <c r="R25" s="6">
        <v>4271.78</v>
      </c>
      <c r="S25" s="6">
        <v>12839.29</v>
      </c>
      <c r="T25" s="6">
        <v>33811.4</v>
      </c>
      <c r="U25" s="52">
        <v>44652</v>
      </c>
      <c r="V25" s="55">
        <f t="shared" si="1"/>
        <v>90.203327171903879</v>
      </c>
      <c r="W25" s="55">
        <f t="shared" si="2"/>
        <v>98.149041664943454</v>
      </c>
      <c r="X25" s="55">
        <f t="shared" si="3"/>
        <v>87.704082085723883</v>
      </c>
      <c r="Y25" s="55">
        <f t="shared" si="4"/>
        <v>98.192359609035776</v>
      </c>
    </row>
    <row r="26" spans="1:25" x14ac:dyDescent="0.25">
      <c r="A26" t="s">
        <v>26</v>
      </c>
      <c r="B26" t="s">
        <v>80</v>
      </c>
      <c r="C26" s="24">
        <v>0.18</v>
      </c>
      <c r="D26" s="11">
        <f>D21*$C$26</f>
        <v>22608000000</v>
      </c>
      <c r="E26" s="11">
        <f t="shared" ref="E26:I26" si="9">E21*$C$26</f>
        <v>23964480000</v>
      </c>
      <c r="F26" s="11">
        <f t="shared" si="9"/>
        <v>25641993600</v>
      </c>
      <c r="G26" s="11">
        <f t="shared" si="9"/>
        <v>27949773024</v>
      </c>
      <c r="H26" s="11">
        <f t="shared" si="9"/>
        <v>31024248056.639999</v>
      </c>
      <c r="I26" s="11">
        <f t="shared" si="9"/>
        <v>34747157823.436798</v>
      </c>
      <c r="P26" s="52">
        <v>44682</v>
      </c>
      <c r="Q26" s="6">
        <v>20.399999999999999</v>
      </c>
      <c r="R26" s="6">
        <v>4158.24</v>
      </c>
      <c r="S26" s="6">
        <v>11354.62</v>
      </c>
      <c r="T26" s="6">
        <v>33212.959999999999</v>
      </c>
      <c r="U26" s="52">
        <v>44682</v>
      </c>
      <c r="V26" s="55">
        <f t="shared" si="1"/>
        <v>94.26987060998151</v>
      </c>
      <c r="W26" s="55">
        <f t="shared" si="2"/>
        <v>95.540330029363503</v>
      </c>
      <c r="X26" s="55">
        <f t="shared" si="3"/>
        <v>77.562429428122741</v>
      </c>
      <c r="Y26" s="55">
        <f t="shared" si="4"/>
        <v>96.454418095687274</v>
      </c>
    </row>
    <row r="27" spans="1:25" x14ac:dyDescent="0.25">
      <c r="A27" t="s">
        <v>27</v>
      </c>
      <c r="B27" t="s">
        <v>76</v>
      </c>
      <c r="C27" s="24">
        <v>0.01</v>
      </c>
      <c r="D27" s="11">
        <f>D21*$C$27</f>
        <v>1256000000</v>
      </c>
      <c r="E27" s="11">
        <f t="shared" ref="E27:I27" si="10">E21*$C$27</f>
        <v>1331360000</v>
      </c>
      <c r="F27" s="11">
        <f t="shared" si="10"/>
        <v>1424555200</v>
      </c>
      <c r="G27" s="11">
        <f t="shared" si="10"/>
        <v>1552765168</v>
      </c>
      <c r="H27" s="11">
        <f t="shared" si="10"/>
        <v>1723569336.48</v>
      </c>
      <c r="I27" s="11">
        <f t="shared" si="10"/>
        <v>1930397656.8576002</v>
      </c>
      <c r="P27" s="52">
        <v>44713</v>
      </c>
      <c r="Q27" s="55">
        <v>19.38</v>
      </c>
      <c r="R27" s="6">
        <v>3911.74</v>
      </c>
      <c r="S27" s="6">
        <v>11127.85</v>
      </c>
      <c r="T27" s="6">
        <v>31097.26</v>
      </c>
      <c r="U27" s="52">
        <v>44713</v>
      </c>
      <c r="V27" s="55">
        <f t="shared" si="1"/>
        <v>89.556377079482431</v>
      </c>
      <c r="W27" s="55">
        <f t="shared" si="2"/>
        <v>89.876709999678326</v>
      </c>
      <c r="X27" s="55">
        <f t="shared" si="3"/>
        <v>76.01338312614034</v>
      </c>
      <c r="Y27" s="55">
        <f t="shared" si="4"/>
        <v>90.310171621869657</v>
      </c>
    </row>
    <row r="28" spans="1:25" ht="30" x14ac:dyDescent="0.25">
      <c r="A28" s="8" t="s">
        <v>28</v>
      </c>
      <c r="B28" s="9" t="s">
        <v>29</v>
      </c>
      <c r="C28" s="17"/>
      <c r="D28" s="11">
        <f>D24+D25-D26-D27</f>
        <v>12371600000</v>
      </c>
      <c r="E28" s="11">
        <f t="shared" ref="E28:I28" si="11">E24+E25-E26-E27</f>
        <v>13113896000</v>
      </c>
      <c r="F28" s="11">
        <f t="shared" si="11"/>
        <v>14031868720</v>
      </c>
      <c r="G28" s="11">
        <f t="shared" si="11"/>
        <v>15294736904.800003</v>
      </c>
      <c r="H28" s="11">
        <f t="shared" si="11"/>
        <v>16977157964.328007</v>
      </c>
      <c r="I28" s="11">
        <f t="shared" si="11"/>
        <v>19014416920.047367</v>
      </c>
      <c r="P28" s="52">
        <v>44743</v>
      </c>
      <c r="Q28" s="6">
        <v>18.399999999999999</v>
      </c>
      <c r="R28" s="6">
        <v>4130.29</v>
      </c>
      <c r="S28" s="6">
        <v>12390.69</v>
      </c>
      <c r="T28" s="6">
        <v>32845.129999999997</v>
      </c>
      <c r="U28" s="52">
        <v>44743</v>
      </c>
      <c r="V28" s="55">
        <f t="shared" si="1"/>
        <v>85.027726432532333</v>
      </c>
      <c r="W28" s="55">
        <f t="shared" si="2"/>
        <v>94.898146744050322</v>
      </c>
      <c r="X28" s="55">
        <f t="shared" si="3"/>
        <v>84.63973419548573</v>
      </c>
      <c r="Y28" s="55">
        <f t="shared" si="4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2">
        <v>44774</v>
      </c>
      <c r="Q29" s="6">
        <v>18.43</v>
      </c>
      <c r="R29" s="6">
        <v>3924.26</v>
      </c>
      <c r="S29" s="6">
        <v>12141.71</v>
      </c>
      <c r="T29" s="6">
        <v>31318.44</v>
      </c>
      <c r="U29" s="52">
        <v>44774</v>
      </c>
      <c r="V29" s="55">
        <f t="shared" si="1"/>
        <v>85.166358595194083</v>
      </c>
      <c r="W29" s="55">
        <f t="shared" si="2"/>
        <v>90.164371349664791</v>
      </c>
      <c r="X29" s="55">
        <f t="shared" si="3"/>
        <v>82.938973300007575</v>
      </c>
      <c r="Y29" s="55">
        <f t="shared" si="4"/>
        <v>90.95250486149672</v>
      </c>
    </row>
    <row r="30" spans="1:25" x14ac:dyDescent="0.25">
      <c r="A30" t="s">
        <v>36</v>
      </c>
      <c r="C30" s="12">
        <f>-G39</f>
        <v>-279480000000</v>
      </c>
      <c r="D30" s="5">
        <f>D28</f>
        <v>12371600000</v>
      </c>
      <c r="E30" s="5">
        <f t="shared" ref="E30:I30" si="12">E28</f>
        <v>13113896000</v>
      </c>
      <c r="F30" s="5">
        <f t="shared" si="12"/>
        <v>14031868720</v>
      </c>
      <c r="G30" s="5">
        <f t="shared" si="12"/>
        <v>15294736904.800003</v>
      </c>
      <c r="H30" s="5">
        <f t="shared" si="12"/>
        <v>16977157964.328007</v>
      </c>
      <c r="I30" s="5">
        <f t="shared" si="12"/>
        <v>19014416920.047367</v>
      </c>
      <c r="J30" s="12">
        <f>I28+M22</f>
        <v>434384962932.46619</v>
      </c>
      <c r="K30" t="s">
        <v>38</v>
      </c>
      <c r="P30" s="52">
        <v>44805</v>
      </c>
      <c r="Q30" s="6">
        <v>16.739999999999998</v>
      </c>
      <c r="R30" s="6">
        <v>3585.62</v>
      </c>
      <c r="S30" s="6">
        <v>10867.93</v>
      </c>
      <c r="T30" s="6">
        <v>30822.42</v>
      </c>
      <c r="U30" s="52">
        <v>44805</v>
      </c>
      <c r="V30" s="55">
        <f t="shared" si="1"/>
        <v>77.356746765249525</v>
      </c>
      <c r="W30" s="55">
        <f t="shared" si="2"/>
        <v>82.383729212331744</v>
      </c>
      <c r="X30" s="55">
        <f t="shared" si="3"/>
        <v>74.237892034676463</v>
      </c>
      <c r="Y30" s="55">
        <f t="shared" si="4"/>
        <v>89.512003308373394</v>
      </c>
    </row>
    <row r="31" spans="1:25" x14ac:dyDescent="0.25">
      <c r="A31" t="s">
        <v>37</v>
      </c>
      <c r="D31" s="6">
        <f>1/(1+$B$7)^D29</f>
        <v>0.97390445369328293</v>
      </c>
      <c r="E31" s="6">
        <f t="shared" ref="E31:I31" si="13">1/(1+$B$7)^E29</f>
        <v>0.92373852321013517</v>
      </c>
      <c r="F31" s="6">
        <f t="shared" si="13"/>
        <v>0.87615664557908834</v>
      </c>
      <c r="G31" s="6">
        <f t="shared" si="13"/>
        <v>0.83102571594036745</v>
      </c>
      <c r="H31" s="6">
        <f t="shared" si="13"/>
        <v>0.78821948568084121</v>
      </c>
      <c r="I31" s="6">
        <f t="shared" si="13"/>
        <v>0.7676504675924003</v>
      </c>
      <c r="J31" t="s">
        <v>39</v>
      </c>
      <c r="P31" s="52">
        <v>44835</v>
      </c>
      <c r="Q31" s="6">
        <v>17.100000000000001</v>
      </c>
      <c r="R31" s="6">
        <v>3901.06</v>
      </c>
      <c r="S31" s="6">
        <v>11102.45</v>
      </c>
      <c r="T31" s="6">
        <v>32861.800000000003</v>
      </c>
      <c r="U31" s="52">
        <v>44835</v>
      </c>
      <c r="V31" s="55">
        <f t="shared" si="1"/>
        <v>79.020332717190385</v>
      </c>
      <c r="W31" s="55">
        <f t="shared" si="2"/>
        <v>89.631324758635571</v>
      </c>
      <c r="X31" s="55">
        <f t="shared" si="3"/>
        <v>75.839877917910187</v>
      </c>
      <c r="Y31" s="55">
        <f t="shared" si="4"/>
        <v>95.434607351372975</v>
      </c>
    </row>
    <row r="32" spans="1:25" x14ac:dyDescent="0.25">
      <c r="A32" t="s">
        <v>40</v>
      </c>
      <c r="C32" s="12">
        <f>-G39</f>
        <v>-279480000000</v>
      </c>
      <c r="D32" s="5">
        <f>D30*D31</f>
        <v>12048756339.311819</v>
      </c>
      <c r="E32" s="5">
        <f t="shared" ref="E32:I32" si="14">E30*E31</f>
        <v>12113810924.571299</v>
      </c>
      <c r="F32" s="5">
        <f t="shared" si="14"/>
        <v>12294115028.921335</v>
      </c>
      <c r="G32" s="5">
        <f t="shared" si="14"/>
        <v>12710319686.430983</v>
      </c>
      <c r="H32" s="5">
        <f t="shared" si="14"/>
        <v>13381726718.965019</v>
      </c>
      <c r="I32" s="5">
        <f t="shared" si="14"/>
        <v>14596426039.671209</v>
      </c>
      <c r="J32" s="13">
        <f>M22</f>
        <v>415370546012.41882</v>
      </c>
      <c r="P32" s="52">
        <v>44866</v>
      </c>
      <c r="Q32" s="6">
        <v>18.97</v>
      </c>
      <c r="R32" s="6">
        <v>4026.12</v>
      </c>
      <c r="S32" s="6">
        <v>11226.36</v>
      </c>
      <c r="T32" s="6">
        <v>34429.879999999997</v>
      </c>
      <c r="U32" s="52">
        <v>44866</v>
      </c>
      <c r="V32" s="55">
        <f t="shared" si="1"/>
        <v>87.661737523105359</v>
      </c>
      <c r="W32" s="55">
        <f t="shared" si="2"/>
        <v>92.504721598036909</v>
      </c>
      <c r="X32" s="55">
        <f t="shared" si="3"/>
        <v>76.686296435697543</v>
      </c>
      <c r="Y32" s="55">
        <f t="shared" si="4"/>
        <v>99.988499685193403</v>
      </c>
    </row>
    <row r="33" spans="1:25" x14ac:dyDescent="0.25">
      <c r="A33" t="s">
        <v>56</v>
      </c>
      <c r="C33" s="28">
        <v>-279480</v>
      </c>
      <c r="D33" s="23">
        <v>12049</v>
      </c>
      <c r="E33" s="23">
        <v>12114</v>
      </c>
      <c r="F33" s="23">
        <v>12294</v>
      </c>
      <c r="G33" s="23">
        <v>12710</v>
      </c>
      <c r="H33" s="23">
        <v>13382</v>
      </c>
      <c r="I33" s="23">
        <v>14596</v>
      </c>
      <c r="J33" s="23">
        <v>415371</v>
      </c>
      <c r="P33" s="52">
        <v>44896</v>
      </c>
      <c r="Q33" s="6">
        <v>18.489999999999998</v>
      </c>
      <c r="R33" s="6">
        <v>3839.5</v>
      </c>
      <c r="S33" s="6">
        <v>10466.48</v>
      </c>
      <c r="T33" s="6">
        <v>33203.93</v>
      </c>
      <c r="U33" s="52">
        <v>44896</v>
      </c>
      <c r="V33" s="55">
        <f t="shared" si="1"/>
        <v>85.443622920517555</v>
      </c>
      <c r="W33" s="55">
        <f t="shared" si="2"/>
        <v>88.216913200715013</v>
      </c>
      <c r="X33" s="55">
        <f t="shared" si="3"/>
        <v>71.495621725857674</v>
      </c>
      <c r="Y33" s="55">
        <f t="shared" si="4"/>
        <v>96.428193892984353</v>
      </c>
    </row>
    <row r="34" spans="1:25" x14ac:dyDescent="0.25">
      <c r="P34" s="52">
        <v>44927</v>
      </c>
      <c r="Q34" s="6">
        <v>19.23</v>
      </c>
      <c r="R34" s="6">
        <v>4070.56</v>
      </c>
      <c r="S34" s="6">
        <v>11140.43</v>
      </c>
      <c r="T34" s="6">
        <v>33375.49</v>
      </c>
      <c r="U34" s="52">
        <v>44927</v>
      </c>
      <c r="V34" s="55">
        <f t="shared" si="1"/>
        <v>88.863216266173751</v>
      </c>
      <c r="W34" s="55">
        <f t="shared" si="2"/>
        <v>93.525781533611791</v>
      </c>
      <c r="X34" s="55">
        <f t="shared" si="3"/>
        <v>76.099316020610232</v>
      </c>
      <c r="Y34" s="55">
        <f t="shared" si="4"/>
        <v>96.926424703140867</v>
      </c>
    </row>
    <row r="35" spans="1:25" x14ac:dyDescent="0.25">
      <c r="A35" s="3" t="s">
        <v>41</v>
      </c>
      <c r="F35" s="3" t="s">
        <v>31</v>
      </c>
      <c r="P35" s="52">
        <v>44958</v>
      </c>
      <c r="Q35" s="6">
        <v>19.440000000000001</v>
      </c>
      <c r="R35" s="6">
        <v>4045.64</v>
      </c>
      <c r="S35" s="6">
        <v>11689.01</v>
      </c>
      <c r="T35" s="6">
        <v>32816.92</v>
      </c>
      <c r="U35" s="52">
        <v>44958</v>
      </c>
      <c r="V35" s="55">
        <f t="shared" si="1"/>
        <v>89.833641404805917</v>
      </c>
      <c r="W35" s="55">
        <f t="shared" si="2"/>
        <v>92.953215971178722</v>
      </c>
      <c r="X35" s="55">
        <f t="shared" si="3"/>
        <v>79.846618663559056</v>
      </c>
      <c r="Y35" s="55">
        <f t="shared" si="4"/>
        <v>95.304270450231527</v>
      </c>
    </row>
    <row r="36" spans="1:25" x14ac:dyDescent="0.25">
      <c r="A36" s="12" t="s">
        <v>42</v>
      </c>
      <c r="B36" s="16">
        <f>SUM(D32:I32)</f>
        <v>77145154737.871658</v>
      </c>
      <c r="C36" t="s">
        <v>45</v>
      </c>
      <c r="F36" t="s">
        <v>33</v>
      </c>
      <c r="G36" s="14">
        <f>B13*B12</f>
        <v>159850000000</v>
      </c>
      <c r="H36" t="s">
        <v>34</v>
      </c>
      <c r="L36" s="3" t="s">
        <v>51</v>
      </c>
      <c r="P36" s="52">
        <v>44986</v>
      </c>
      <c r="Q36" s="6">
        <v>18.61</v>
      </c>
      <c r="R36" s="6">
        <v>3970.99</v>
      </c>
      <c r="S36" s="6">
        <v>11823.96</v>
      </c>
      <c r="T36" s="6">
        <v>33274.15</v>
      </c>
      <c r="U36" s="52">
        <v>44986</v>
      </c>
      <c r="V36" s="55">
        <f t="shared" si="1"/>
        <v>85.998151571164499</v>
      </c>
      <c r="W36" s="55">
        <f t="shared" si="2"/>
        <v>91.238046659957632</v>
      </c>
      <c r="X36" s="55">
        <f t="shared" si="3"/>
        <v>80.768450468703136</v>
      </c>
      <c r="Y36" s="55">
        <f t="shared" si="4"/>
        <v>96.63212119240842</v>
      </c>
    </row>
    <row r="37" spans="1:25" x14ac:dyDescent="0.25">
      <c r="A37" t="s">
        <v>11</v>
      </c>
      <c r="B37" s="18">
        <f>B15</f>
        <v>11960000000</v>
      </c>
      <c r="F37" t="s">
        <v>10</v>
      </c>
      <c r="G37" s="13">
        <f>B14</f>
        <v>131590000000</v>
      </c>
      <c r="L37" t="s">
        <v>52</v>
      </c>
      <c r="M37" s="20">
        <f>(B40/B12)-1</f>
        <v>0.16636127854329197</v>
      </c>
      <c r="P37" s="52">
        <v>45017</v>
      </c>
      <c r="Q37" s="6">
        <v>18.22</v>
      </c>
      <c r="R37" s="6">
        <v>4133.5200000000004</v>
      </c>
      <c r="S37" s="6">
        <v>12072.46</v>
      </c>
      <c r="T37" s="6">
        <v>33808.959999999999</v>
      </c>
      <c r="U37" s="52">
        <v>45017</v>
      </c>
      <c r="V37" s="55">
        <f t="shared" si="1"/>
        <v>84.195933456561917</v>
      </c>
      <c r="W37" s="55">
        <f t="shared" si="2"/>
        <v>94.972359696163451</v>
      </c>
      <c r="X37" s="55">
        <f t="shared" si="3"/>
        <v>82.46593252560055</v>
      </c>
      <c r="Y37" s="55">
        <f t="shared" si="4"/>
        <v>98.185273556478165</v>
      </c>
    </row>
    <row r="38" spans="1:25" x14ac:dyDescent="0.25">
      <c r="A38" t="s">
        <v>10</v>
      </c>
      <c r="B38" s="18">
        <f>B14</f>
        <v>131590000000</v>
      </c>
      <c r="C38" s="3"/>
      <c r="F38" t="s">
        <v>11</v>
      </c>
      <c r="G38" s="13">
        <f>B15</f>
        <v>11960000000</v>
      </c>
      <c r="L38" t="s">
        <v>53</v>
      </c>
      <c r="M38" s="22">
        <f>IRR(C33:J33)</f>
        <v>9.3022890854838725E-2</v>
      </c>
      <c r="N38" t="s">
        <v>57</v>
      </c>
      <c r="P38" s="52">
        <v>45047</v>
      </c>
      <c r="Q38" s="6">
        <v>16.309999999999999</v>
      </c>
      <c r="R38" s="6">
        <v>4282.37</v>
      </c>
      <c r="S38" s="6">
        <v>13240.77</v>
      </c>
      <c r="T38" s="6">
        <v>33093.339999999997</v>
      </c>
      <c r="U38" s="52">
        <v>45047</v>
      </c>
      <c r="V38" s="55">
        <f t="shared" si="1"/>
        <v>75.369685767097963</v>
      </c>
      <c r="W38" s="55">
        <f t="shared" si="2"/>
        <v>98.392359052831353</v>
      </c>
      <c r="X38" s="55">
        <f t="shared" si="3"/>
        <v>90.446557321953946</v>
      </c>
      <c r="Y38" s="55">
        <f t="shared" si="4"/>
        <v>96.107027273170814</v>
      </c>
    </row>
    <row r="39" spans="1:25" x14ac:dyDescent="0.25">
      <c r="A39" t="s">
        <v>44</v>
      </c>
      <c r="B39" s="16">
        <f>(((B36+B37)-B38)+(M22))/2</f>
        <v>186442850375.14523</v>
      </c>
      <c r="C39" t="s">
        <v>77</v>
      </c>
      <c r="F39" t="s">
        <v>30</v>
      </c>
      <c r="G39" s="12">
        <f>G36+G37-G38</f>
        <v>279480000000</v>
      </c>
      <c r="H39" t="s">
        <v>32</v>
      </c>
      <c r="P39" s="52">
        <v>45078</v>
      </c>
      <c r="Q39" s="6">
        <v>15.45</v>
      </c>
      <c r="R39" s="6">
        <v>4450.38</v>
      </c>
      <c r="S39" s="6">
        <v>13492.52</v>
      </c>
      <c r="T39" s="6">
        <v>33727.43</v>
      </c>
      <c r="U39" s="52">
        <v>45078</v>
      </c>
      <c r="V39" s="55">
        <f t="shared" si="1"/>
        <v>71.395563770794823</v>
      </c>
      <c r="W39" s="55">
        <f t="shared" si="2"/>
        <v>102.25258137002164</v>
      </c>
      <c r="X39" s="55">
        <f t="shared" si="3"/>
        <v>92.166239848408367</v>
      </c>
      <c r="Y39" s="55">
        <f t="shared" si="4"/>
        <v>97.9485006609777</v>
      </c>
    </row>
    <row r="40" spans="1:25" x14ac:dyDescent="0.25">
      <c r="A40" t="s">
        <v>73</v>
      </c>
      <c r="B40" s="19">
        <f>B39/B13</f>
        <v>26.826309406495717</v>
      </c>
      <c r="C40" t="s">
        <v>78</v>
      </c>
      <c r="F40" t="s">
        <v>48</v>
      </c>
      <c r="G40" s="15">
        <f>G39/B13</f>
        <v>40.212949640287768</v>
      </c>
      <c r="H40" t="s">
        <v>49</v>
      </c>
      <c r="L40" s="43" t="s">
        <v>99</v>
      </c>
      <c r="M40" s="44"/>
      <c r="P40" s="52">
        <v>45108</v>
      </c>
      <c r="Q40" s="6">
        <v>14.5</v>
      </c>
      <c r="R40" s="6">
        <v>4582.2299999999996</v>
      </c>
      <c r="S40" s="6">
        <v>14032.81</v>
      </c>
      <c r="T40" s="6">
        <v>35065.620000000003</v>
      </c>
      <c r="U40" s="52">
        <v>45108</v>
      </c>
      <c r="V40" s="55">
        <f t="shared" si="1"/>
        <v>67.005545286506461</v>
      </c>
      <c r="W40" s="55">
        <f t="shared" si="2"/>
        <v>105.28198624188367</v>
      </c>
      <c r="X40" s="55">
        <f t="shared" si="3"/>
        <v>95.856914216702535</v>
      </c>
      <c r="Y40" s="55">
        <f t="shared" si="4"/>
        <v>101.83476487083638</v>
      </c>
    </row>
    <row r="41" spans="1:25" x14ac:dyDescent="0.25">
      <c r="A41" t="s">
        <v>46</v>
      </c>
      <c r="B41" s="21">
        <f>(B40/B12)-1</f>
        <v>0.16636127854329197</v>
      </c>
      <c r="C41" t="s">
        <v>47</v>
      </c>
      <c r="F41" t="s">
        <v>46</v>
      </c>
      <c r="G41" s="20">
        <f>(G40/B12)-1</f>
        <v>0.74838911479512027</v>
      </c>
      <c r="H41" t="s">
        <v>50</v>
      </c>
      <c r="L41" s="45" t="s">
        <v>41</v>
      </c>
      <c r="M41" s="46">
        <f>B40</f>
        <v>26.826309406495717</v>
      </c>
      <c r="P41" s="52">
        <v>45139</v>
      </c>
      <c r="Q41" s="6">
        <v>14.05</v>
      </c>
      <c r="R41" s="6">
        <v>4515.7700000000004</v>
      </c>
      <c r="S41" s="6">
        <v>13590.65</v>
      </c>
      <c r="T41" s="6">
        <v>34837.71</v>
      </c>
      <c r="U41" s="52">
        <v>45139</v>
      </c>
      <c r="V41" s="55">
        <f t="shared" si="1"/>
        <v>64.926062846580407</v>
      </c>
      <c r="W41" s="55">
        <f t="shared" si="2"/>
        <v>103.75499156775436</v>
      </c>
      <c r="X41" s="55">
        <f t="shared" si="3"/>
        <v>92.836557410755816</v>
      </c>
      <c r="Y41" s="55">
        <f t="shared" si="4"/>
        <v>101.1728869042779</v>
      </c>
    </row>
    <row r="42" spans="1:25" x14ac:dyDescent="0.25">
      <c r="L42" s="45" t="s">
        <v>8</v>
      </c>
      <c r="M42" s="46">
        <f>B12</f>
        <v>23</v>
      </c>
      <c r="P42" s="52">
        <v>45170</v>
      </c>
      <c r="Q42" s="6">
        <v>15.23</v>
      </c>
      <c r="R42" s="6">
        <v>4320.0600000000004</v>
      </c>
      <c r="S42" s="6">
        <v>13211.81</v>
      </c>
      <c r="T42" s="6">
        <v>33507.5</v>
      </c>
      <c r="U42" s="52">
        <v>45170</v>
      </c>
      <c r="V42" s="55">
        <f t="shared" si="1"/>
        <v>70.378927911275412</v>
      </c>
      <c r="W42" s="55">
        <f t="shared" si="2"/>
        <v>99.258330001792146</v>
      </c>
      <c r="X42" s="55">
        <f t="shared" si="3"/>
        <v>90.248734060916718</v>
      </c>
      <c r="Y42" s="55">
        <f t="shared" si="4"/>
        <v>97.309797571226454</v>
      </c>
    </row>
    <row r="43" spans="1:25" x14ac:dyDescent="0.25">
      <c r="L43" s="45" t="s">
        <v>101</v>
      </c>
      <c r="M43" s="46">
        <f>(B40-B12)</f>
        <v>3.8263094064957173</v>
      </c>
      <c r="P43" s="52">
        <v>45200</v>
      </c>
      <c r="Q43" s="6">
        <v>15.38</v>
      </c>
      <c r="R43" s="6">
        <v>4117.37</v>
      </c>
      <c r="S43" s="6">
        <v>12643.01</v>
      </c>
      <c r="T43" s="6">
        <v>34061.32</v>
      </c>
      <c r="U43" s="52">
        <v>45200</v>
      </c>
      <c r="V43" s="55">
        <f t="shared" si="1"/>
        <v>71.072088724584106</v>
      </c>
      <c r="W43" s="55">
        <f t="shared" si="2"/>
        <v>94.601294935597863</v>
      </c>
      <c r="X43" s="55">
        <f t="shared" si="3"/>
        <v>86.363310342754758</v>
      </c>
      <c r="Y43" s="55">
        <f t="shared" si="4"/>
        <v>98.918157254607692</v>
      </c>
    </row>
    <row r="44" spans="1:25" x14ac:dyDescent="0.25">
      <c r="L44" s="45" t="s">
        <v>102</v>
      </c>
      <c r="M44" s="50">
        <f>((B40-B12)/(B12))</f>
        <v>0.16636127854329205</v>
      </c>
      <c r="P44" s="52">
        <v>45231</v>
      </c>
      <c r="Q44" s="6">
        <v>15.9</v>
      </c>
      <c r="R44" s="6">
        <v>4559.34</v>
      </c>
      <c r="S44" s="6">
        <v>14250.85</v>
      </c>
      <c r="T44" s="6">
        <v>36245.5</v>
      </c>
      <c r="U44" s="52">
        <v>45231</v>
      </c>
      <c r="V44" s="55">
        <f t="shared" si="1"/>
        <v>73.47504621072089</v>
      </c>
      <c r="W44" s="55">
        <f t="shared" si="2"/>
        <v>104.75606225616565</v>
      </c>
      <c r="X44" s="55">
        <f t="shared" si="3"/>
        <v>97.346326641997962</v>
      </c>
      <c r="Y44" s="55">
        <f t="shared" si="4"/>
        <v>105.26127785922222</v>
      </c>
    </row>
    <row r="45" spans="1:25" x14ac:dyDescent="0.25">
      <c r="L45" s="48"/>
      <c r="M45" s="47"/>
      <c r="P45" s="52">
        <v>45261</v>
      </c>
      <c r="Q45" s="6">
        <v>16.52</v>
      </c>
      <c r="R45" s="6">
        <v>4769.83</v>
      </c>
      <c r="S45" s="6">
        <v>14992.97</v>
      </c>
      <c r="T45" s="6">
        <v>37689.54</v>
      </c>
      <c r="U45" s="52">
        <v>45261</v>
      </c>
      <c r="V45" s="55">
        <f t="shared" si="1"/>
        <v>76.340110905730128</v>
      </c>
      <c r="W45" s="55">
        <f t="shared" si="2"/>
        <v>109.59231126244732</v>
      </c>
      <c r="X45" s="55">
        <f t="shared" si="3"/>
        <v>102.41568432435091</v>
      </c>
      <c r="Y45" s="55">
        <f t="shared" si="4"/>
        <v>109.45494316056532</v>
      </c>
    </row>
    <row r="46" spans="1:25" x14ac:dyDescent="0.25">
      <c r="L46" s="48" t="s">
        <v>54</v>
      </c>
      <c r="M46" s="46"/>
      <c r="P46" s="52">
        <v>45292</v>
      </c>
      <c r="Q46" s="6">
        <v>16.670000000000002</v>
      </c>
      <c r="R46" s="6">
        <v>4958.6099999999997</v>
      </c>
      <c r="S46" s="6">
        <v>15628.95</v>
      </c>
      <c r="T46" s="6">
        <v>38109.43</v>
      </c>
      <c r="U46" s="52">
        <v>45292</v>
      </c>
      <c r="V46" s="55">
        <f t="shared" si="1"/>
        <v>77.033271719038822</v>
      </c>
      <c r="W46" s="55">
        <f t="shared" si="2"/>
        <v>113.92974813548574</v>
      </c>
      <c r="X46" s="55">
        <f t="shared" si="3"/>
        <v>106.76000882554051</v>
      </c>
      <c r="Y46" s="55">
        <f t="shared" si="4"/>
        <v>110.67435406565171</v>
      </c>
    </row>
    <row r="47" spans="1:25" x14ac:dyDescent="0.25">
      <c r="L47" s="45" t="s">
        <v>41</v>
      </c>
      <c r="M47" s="46">
        <f>B40</f>
        <v>26.826309406495717</v>
      </c>
      <c r="P47" s="52">
        <v>45323</v>
      </c>
      <c r="Q47" s="6">
        <v>16.97</v>
      </c>
      <c r="R47" s="6">
        <v>5137.08</v>
      </c>
      <c r="S47" s="6">
        <v>16274.94</v>
      </c>
      <c r="T47" s="6">
        <v>39087.379999999997</v>
      </c>
      <c r="U47" s="52">
        <v>45323</v>
      </c>
      <c r="V47" s="55">
        <f t="shared" si="1"/>
        <v>78.419593345656182</v>
      </c>
      <c r="W47" s="55">
        <f t="shared" si="2"/>
        <v>118.03030094156246</v>
      </c>
      <c r="X47" s="55">
        <f t="shared" si="3"/>
        <v>111.17271077296571</v>
      </c>
      <c r="Y47" s="55">
        <f t="shared" si="4"/>
        <v>113.51443812249811</v>
      </c>
    </row>
    <row r="48" spans="1:25" x14ac:dyDescent="0.25">
      <c r="L48" s="45" t="s">
        <v>31</v>
      </c>
      <c r="M48" s="46">
        <f>G40</f>
        <v>40.212949640287768</v>
      </c>
      <c r="P48" s="52">
        <v>45352</v>
      </c>
      <c r="Q48" s="6">
        <v>16.98</v>
      </c>
      <c r="R48" s="6">
        <v>5234.18</v>
      </c>
      <c r="S48" s="6">
        <v>16428.82</v>
      </c>
      <c r="T48" s="6">
        <v>39807.370000000003</v>
      </c>
      <c r="U48" s="52">
        <v>45352</v>
      </c>
      <c r="V48" s="55">
        <f t="shared" si="1"/>
        <v>78.465804066543441</v>
      </c>
      <c r="W48" s="55">
        <f t="shared" si="2"/>
        <v>120.26128473418898</v>
      </c>
      <c r="X48" s="55">
        <f t="shared" si="3"/>
        <v>112.22385177463723</v>
      </c>
      <c r="Y48" s="55">
        <f t="shared" si="4"/>
        <v>115.60537540977134</v>
      </c>
    </row>
    <row r="49" spans="12:25" x14ac:dyDescent="0.25">
      <c r="L49" s="45" t="s">
        <v>101</v>
      </c>
      <c r="M49" s="46">
        <f>-(G40-B40)</f>
        <v>-13.38664023379205</v>
      </c>
      <c r="P49" s="52">
        <v>45383</v>
      </c>
      <c r="Q49" s="6">
        <v>16.510000000000002</v>
      </c>
      <c r="R49" s="6">
        <v>4967.2299999999996</v>
      </c>
      <c r="S49" s="6">
        <v>15282.01</v>
      </c>
      <c r="T49" s="6">
        <v>37986.400000000001</v>
      </c>
      <c r="U49" s="52">
        <v>45383</v>
      </c>
      <c r="V49" s="55">
        <f t="shared" si="1"/>
        <v>76.293900184842883</v>
      </c>
      <c r="W49" s="55">
        <f t="shared" si="2"/>
        <v>114.12780251542847</v>
      </c>
      <c r="X49" s="55">
        <f t="shared" si="3"/>
        <v>104.39009162304561</v>
      </c>
      <c r="Y49" s="55">
        <f t="shared" si="4"/>
        <v>110.31706019427403</v>
      </c>
    </row>
    <row r="50" spans="12:25" x14ac:dyDescent="0.25">
      <c r="L50" s="49" t="s">
        <v>102</v>
      </c>
      <c r="M50" s="51">
        <f>((B40-G40)/(G40))</f>
        <v>-0.33289376565355216</v>
      </c>
      <c r="P50" s="52">
        <v>45413</v>
      </c>
      <c r="Q50" s="6">
        <v>17.399999999999999</v>
      </c>
      <c r="R50" s="6">
        <v>5277.51</v>
      </c>
      <c r="S50" s="6">
        <v>16735.02</v>
      </c>
      <c r="T50" s="6">
        <v>38686.32</v>
      </c>
      <c r="U50" s="52">
        <v>45413</v>
      </c>
      <c r="V50" s="55">
        <f t="shared" si="1"/>
        <v>80.406654343807759</v>
      </c>
      <c r="W50" s="55">
        <f t="shared" si="2"/>
        <v>121.25684114752065</v>
      </c>
      <c r="X50" s="55">
        <f t="shared" si="3"/>
        <v>114.31547755259292</v>
      </c>
      <c r="Y50" s="55">
        <f t="shared" si="4"/>
        <v>112.34971179514106</v>
      </c>
    </row>
    <row r="51" spans="12:25" x14ac:dyDescent="0.25">
      <c r="P51" s="52">
        <v>45444</v>
      </c>
      <c r="Q51" s="6">
        <v>18.399999999999999</v>
      </c>
      <c r="R51" s="6">
        <v>5464.62</v>
      </c>
      <c r="S51" s="6">
        <v>17689.36</v>
      </c>
      <c r="T51" s="6">
        <v>39150.33</v>
      </c>
      <c r="U51" s="52">
        <v>45444</v>
      </c>
      <c r="V51" s="55">
        <f t="shared" si="1"/>
        <v>85.027726432532333</v>
      </c>
      <c r="W51" s="55">
        <f t="shared" si="2"/>
        <v>125.55590785646342</v>
      </c>
      <c r="X51" s="55">
        <f t="shared" si="3"/>
        <v>120.83449174244996</v>
      </c>
      <c r="Y51" s="55">
        <f t="shared" si="4"/>
        <v>113.69725247024441</v>
      </c>
    </row>
    <row r="52" spans="12:25" x14ac:dyDescent="0.25">
      <c r="P52" s="52">
        <v>45474</v>
      </c>
      <c r="Q52" s="6">
        <v>19.010000000000002</v>
      </c>
      <c r="R52" s="6">
        <v>5459.1</v>
      </c>
      <c r="S52" s="6">
        <v>17357.88</v>
      </c>
      <c r="T52" s="6">
        <v>40287.53</v>
      </c>
      <c r="U52" s="52">
        <v>45474</v>
      </c>
      <c r="V52" s="55">
        <f t="shared" si="1"/>
        <v>87.846580406654354</v>
      </c>
      <c r="W52" s="55">
        <f t="shared" si="2"/>
        <v>125.42907952963233</v>
      </c>
      <c r="X52" s="55">
        <f t="shared" si="3"/>
        <v>118.5701804659093</v>
      </c>
      <c r="Y52" s="55">
        <f t="shared" si="4"/>
        <v>116.99981762127025</v>
      </c>
    </row>
    <row r="53" spans="12:25" x14ac:dyDescent="0.25">
      <c r="P53" s="52">
        <v>45505</v>
      </c>
      <c r="Q53" s="6">
        <v>19.73</v>
      </c>
      <c r="R53" s="6">
        <v>5648.4</v>
      </c>
      <c r="S53" s="6">
        <v>17877.79</v>
      </c>
      <c r="T53" s="6">
        <v>41175.08</v>
      </c>
      <c r="U53" s="52">
        <v>45505</v>
      </c>
      <c r="V53" s="55">
        <f t="shared" si="1"/>
        <v>91.173752310536045</v>
      </c>
      <c r="W53" s="55">
        <f t="shared" si="2"/>
        <v>129.77846399867656</v>
      </c>
      <c r="X53" s="55">
        <f t="shared" si="3"/>
        <v>122.12164081279677</v>
      </c>
      <c r="Y53" s="55">
        <f t="shared" si="4"/>
        <v>119.57736923909737</v>
      </c>
    </row>
    <row r="54" spans="12:25" x14ac:dyDescent="0.25">
      <c r="P54" s="52">
        <v>45536</v>
      </c>
      <c r="Q54" s="6">
        <v>21.54</v>
      </c>
      <c r="R54" s="6">
        <v>5751.07</v>
      </c>
      <c r="S54" s="6">
        <v>18137.849999999999</v>
      </c>
      <c r="T54" s="6">
        <v>42313</v>
      </c>
      <c r="U54" s="52">
        <v>45536</v>
      </c>
      <c r="V54" s="55">
        <f t="shared" si="1"/>
        <v>99.537892791127533</v>
      </c>
      <c r="W54" s="55">
        <f t="shared" si="2"/>
        <v>132.13742492544242</v>
      </c>
      <c r="X54" s="55">
        <f t="shared" si="3"/>
        <v>123.89808823218003</v>
      </c>
      <c r="Y54" s="55">
        <f t="shared" si="4"/>
        <v>122.88202535645169</v>
      </c>
    </row>
    <row r="55" spans="12:25" x14ac:dyDescent="0.25">
      <c r="P55" s="52">
        <v>45566</v>
      </c>
      <c r="Q55" s="6">
        <v>21.85</v>
      </c>
      <c r="R55" s="6">
        <v>5728.8</v>
      </c>
      <c r="S55" s="6">
        <v>18518.61</v>
      </c>
      <c r="T55" s="6">
        <v>42052.19</v>
      </c>
      <c r="U55" s="52">
        <v>45566</v>
      </c>
      <c r="V55" s="55">
        <f t="shared" si="1"/>
        <v>100.97042513863217</v>
      </c>
      <c r="W55" s="55">
        <f t="shared" si="2"/>
        <v>131.62574615034671</v>
      </c>
      <c r="X55" s="55">
        <f t="shared" si="3"/>
        <v>126.49902693634203</v>
      </c>
      <c r="Y55" s="55">
        <f t="shared" si="4"/>
        <v>122.12460184516164</v>
      </c>
    </row>
    <row r="56" spans="12:25" x14ac:dyDescent="0.25">
      <c r="P56" s="52">
        <v>45597</v>
      </c>
      <c r="Q56" s="6">
        <v>23.18</v>
      </c>
      <c r="R56" s="6">
        <v>5969.34</v>
      </c>
      <c r="S56" s="6">
        <v>19003.650000000001</v>
      </c>
      <c r="T56" s="6">
        <v>44296.51</v>
      </c>
      <c r="U56" s="52">
        <v>45597</v>
      </c>
      <c r="V56" s="55">
        <f t="shared" si="1"/>
        <v>107.11645101663585</v>
      </c>
      <c r="W56" s="55">
        <f t="shared" si="2"/>
        <v>137.15242834888818</v>
      </c>
      <c r="X56" s="55">
        <f t="shared" si="3"/>
        <v>129.81229332216708</v>
      </c>
      <c r="Y56" s="55">
        <f t="shared" si="4"/>
        <v>128.64237622060162</v>
      </c>
    </row>
    <row r="57" spans="12:25" x14ac:dyDescent="0.25">
      <c r="P57" s="52">
        <v>45627</v>
      </c>
      <c r="Q57" s="6">
        <v>22.75</v>
      </c>
      <c r="R57" s="6">
        <v>5942.47</v>
      </c>
      <c r="S57" s="6">
        <v>19722.03</v>
      </c>
      <c r="T57" s="6">
        <v>42840.26</v>
      </c>
      <c r="U57" s="52">
        <v>45627</v>
      </c>
      <c r="V57" s="55">
        <f t="shared" si="1"/>
        <v>105.12939001848429</v>
      </c>
      <c r="W57" s="55">
        <f t="shared" si="2"/>
        <v>136.53505930143325</v>
      </c>
      <c r="X57" s="55">
        <f t="shared" si="3"/>
        <v>134.71948511304822</v>
      </c>
      <c r="Y57" s="55">
        <f t="shared" si="4"/>
        <v>124.41325161527151</v>
      </c>
    </row>
    <row r="58" spans="12:25" x14ac:dyDescent="0.25">
      <c r="P58" s="52">
        <v>45658</v>
      </c>
      <c r="Q58" s="6">
        <v>22.72</v>
      </c>
      <c r="R58" s="6">
        <v>6040.53</v>
      </c>
      <c r="S58" s="6">
        <v>19627.439999999999</v>
      </c>
      <c r="T58" s="6">
        <v>44424.25</v>
      </c>
      <c r="U58" s="52">
        <v>45658</v>
      </c>
      <c r="V58" s="55">
        <f t="shared" si="1"/>
        <v>104.99075785582255</v>
      </c>
      <c r="W58" s="55">
        <f t="shared" si="2"/>
        <v>138.78810019437819</v>
      </c>
      <c r="X58" s="55">
        <f t="shared" si="3"/>
        <v>134.07334898523359</v>
      </c>
      <c r="Y58" s="55">
        <f t="shared" si="4"/>
        <v>129.01334849671139</v>
      </c>
    </row>
    <row r="59" spans="12:25" x14ac:dyDescent="0.25">
      <c r="P59" s="52">
        <v>45689</v>
      </c>
      <c r="Q59" s="6">
        <v>26.62</v>
      </c>
      <c r="R59" s="6">
        <v>5954.5</v>
      </c>
      <c r="S59" s="6">
        <v>19524.009999999998</v>
      </c>
      <c r="T59" s="6">
        <v>43840.91</v>
      </c>
      <c r="U59" s="52">
        <v>45689</v>
      </c>
      <c r="V59" s="55">
        <f t="shared" si="1"/>
        <v>123.01293900184842</v>
      </c>
      <c r="W59" s="55">
        <f t="shared" si="2"/>
        <v>136.81146233979882</v>
      </c>
      <c r="X59" s="55">
        <f t="shared" si="3"/>
        <v>133.36682758022397</v>
      </c>
      <c r="Y59" s="55">
        <f t="shared" si="4"/>
        <v>127.31925919386281</v>
      </c>
    </row>
    <row r="60" spans="12:25" x14ac:dyDescent="0.25">
      <c r="P60" s="52">
        <v>45717</v>
      </c>
      <c r="Q60" s="6">
        <v>27.02</v>
      </c>
      <c r="R60" s="6">
        <v>5074.08</v>
      </c>
      <c r="S60" s="6">
        <v>15587.79</v>
      </c>
      <c r="T60" s="6">
        <v>38314.86</v>
      </c>
      <c r="U60" s="52">
        <v>45717</v>
      </c>
      <c r="V60" s="55">
        <f t="shared" si="1"/>
        <v>124.86136783733825</v>
      </c>
      <c r="W60" s="55">
        <f t="shared" si="2"/>
        <v>116.58280373316423</v>
      </c>
      <c r="X60" s="55">
        <f t="shared" si="3"/>
        <v>106.47884841724316</v>
      </c>
      <c r="Y60" s="55">
        <f t="shared" si="4"/>
        <v>111.27094741684344</v>
      </c>
    </row>
    <row r="61" spans="12:25" x14ac:dyDescent="0.25">
      <c r="P61" s="52">
        <v>45748</v>
      </c>
      <c r="Q61" s="6">
        <v>27.15</v>
      </c>
      <c r="R61" s="6">
        <v>5282.7</v>
      </c>
      <c r="S61" s="6">
        <v>16286.45</v>
      </c>
      <c r="T61" s="6">
        <v>39142.230000000003</v>
      </c>
      <c r="U61" s="52">
        <v>45748</v>
      </c>
      <c r="V61" s="55">
        <f t="shared" si="1"/>
        <v>125.46210720887245</v>
      </c>
      <c r="W61" s="55">
        <f t="shared" si="2"/>
        <v>121.37608734611725</v>
      </c>
      <c r="X61" s="55">
        <f t="shared" si="3"/>
        <v>111.25133458976606</v>
      </c>
      <c r="Y61" s="55">
        <f t="shared" si="4"/>
        <v>113.6737290990491</v>
      </c>
    </row>
    <row r="62" spans="12:25" x14ac:dyDescent="0.25">
      <c r="P62" s="52">
        <v>45778</v>
      </c>
      <c r="Q62" s="6">
        <v>27.72</v>
      </c>
      <c r="R62" s="6">
        <v>5802.82</v>
      </c>
      <c r="S62" s="6">
        <v>19113.77</v>
      </c>
      <c r="T62" s="6">
        <v>41603.07</v>
      </c>
      <c r="U62" s="52">
        <v>45778</v>
      </c>
      <c r="V62" s="55">
        <f t="shared" si="1"/>
        <v>128.09611829944546</v>
      </c>
      <c r="W62" s="55">
        <f t="shared" si="2"/>
        <v>133.32644048948382</v>
      </c>
      <c r="X62" s="55">
        <f t="shared" si="3"/>
        <v>130.56451353989561</v>
      </c>
      <c r="Y62" s="55">
        <f t="shared" si="4"/>
        <v>120.82030351537907</v>
      </c>
    </row>
    <row r="63" spans="12:25" x14ac:dyDescent="0.25">
      <c r="P63" s="52">
        <v>45809</v>
      </c>
      <c r="Q63" s="6">
        <v>28.19</v>
      </c>
      <c r="R63" s="6">
        <v>6279.35</v>
      </c>
      <c r="S63" s="6">
        <v>19447.41</v>
      </c>
      <c r="T63" s="6">
        <v>42206.82</v>
      </c>
      <c r="U63" s="52">
        <v>45809</v>
      </c>
      <c r="V63" s="55">
        <f t="shared" si="1"/>
        <v>130.26802218114602</v>
      </c>
      <c r="W63" s="55">
        <f t="shared" si="2"/>
        <v>144.27526342151577</v>
      </c>
      <c r="X63" s="55">
        <f t="shared" si="3"/>
        <v>132.84357959004956</v>
      </c>
      <c r="Y63" s="55">
        <f t="shared" si="4"/>
        <v>122.57366590540005</v>
      </c>
    </row>
    <row r="64" spans="12:25" x14ac:dyDescent="0.25">
      <c r="P64" s="52">
        <v>45839</v>
      </c>
      <c r="Q64" s="6">
        <v>28</v>
      </c>
      <c r="R64" s="6">
        <v>6238.01</v>
      </c>
      <c r="S64" s="6">
        <v>20650.13</v>
      </c>
      <c r="T64" s="6">
        <v>44901.919999999998</v>
      </c>
      <c r="U64" s="52">
        <v>45839</v>
      </c>
      <c r="V64" s="55">
        <f t="shared" si="1"/>
        <v>129.39001848428836</v>
      </c>
      <c r="W64" s="55">
        <f t="shared" si="2"/>
        <v>143.32542953905255</v>
      </c>
      <c r="X64" s="55">
        <f t="shared" si="3"/>
        <v>141.05925612715885</v>
      </c>
      <c r="Y64" s="55">
        <f t="shared" si="4"/>
        <v>130.40055944965766</v>
      </c>
    </row>
    <row r="65" spans="16:25" x14ac:dyDescent="0.25">
      <c r="P65" s="52">
        <v>45870</v>
      </c>
      <c r="Q65" s="6">
        <v>28.77</v>
      </c>
      <c r="R65" s="6">
        <v>6460.26</v>
      </c>
      <c r="S65" s="6">
        <v>21496.54</v>
      </c>
      <c r="T65" s="6">
        <v>45544.88</v>
      </c>
      <c r="U65" s="52">
        <v>45870</v>
      </c>
      <c r="V65" s="55">
        <f t="shared" si="1"/>
        <v>132.94824399260628</v>
      </c>
      <c r="W65" s="55">
        <f t="shared" si="2"/>
        <v>148.43187802423523</v>
      </c>
      <c r="X65" s="55">
        <f t="shared" si="3"/>
        <v>146.84100980031192</v>
      </c>
      <c r="Y65" s="55">
        <f t="shared" si="4"/>
        <v>132.26779238098337</v>
      </c>
    </row>
    <row r="66" spans="16:25" x14ac:dyDescent="0.25">
      <c r="P66" s="52">
        <v>45901</v>
      </c>
      <c r="Q66" s="6">
        <v>29.01</v>
      </c>
      <c r="R66" s="6">
        <v>6715.79</v>
      </c>
      <c r="S66" s="6">
        <v>22780.51</v>
      </c>
      <c r="T66" s="6">
        <v>46758.28</v>
      </c>
      <c r="U66" s="52">
        <v>45901</v>
      </c>
      <c r="V66" s="55">
        <f t="shared" si="1"/>
        <v>134.0573012939002</v>
      </c>
      <c r="W66" s="55">
        <f t="shared" si="2"/>
        <v>154.30297265379082</v>
      </c>
      <c r="X66" s="55">
        <f t="shared" si="3"/>
        <v>155.61169807634639</v>
      </c>
      <c r="Y66" s="55">
        <f t="shared" si="4"/>
        <v>135.7916514684392</v>
      </c>
    </row>
    <row r="67" spans="16:25" x14ac:dyDescent="0.25">
      <c r="P67" s="52">
        <v>45931</v>
      </c>
      <c r="Q67" s="6">
        <v>26.34</v>
      </c>
      <c r="R67" s="6">
        <v>6840.2</v>
      </c>
      <c r="S67" s="6">
        <v>23204.87</v>
      </c>
      <c r="T67" s="6">
        <v>47207.12</v>
      </c>
      <c r="U67" s="52">
        <v>45931</v>
      </c>
      <c r="V67" s="55">
        <f t="shared" si="1"/>
        <v>121.71903881700554</v>
      </c>
      <c r="W67" s="55">
        <f t="shared" si="2"/>
        <v>157.16143499818486</v>
      </c>
      <c r="X67" s="55">
        <f t="shared" si="3"/>
        <v>158.5104646182578</v>
      </c>
      <c r="Y67" s="55">
        <f t="shared" si="4"/>
        <v>137.09513664464959</v>
      </c>
    </row>
    <row r="68" spans="16:25" x14ac:dyDescent="0.25">
      <c r="P68" s="52">
        <v>45962</v>
      </c>
      <c r="Q68" s="6">
        <v>25.59</v>
      </c>
      <c r="R68" s="6">
        <v>6849.09</v>
      </c>
      <c r="S68" s="6">
        <v>23365.69</v>
      </c>
      <c r="T68" s="6">
        <v>46245.41</v>
      </c>
      <c r="U68" s="52">
        <v>45962</v>
      </c>
      <c r="V68" s="55">
        <f t="shared" si="1"/>
        <v>118.2532347504621</v>
      </c>
      <c r="W68" s="55">
        <f t="shared" si="2"/>
        <v>157.3656929375922</v>
      </c>
      <c r="X68" s="55">
        <f t="shared" si="3"/>
        <v>159.60901216107567</v>
      </c>
      <c r="Y68" s="55">
        <f t="shared" si="4"/>
        <v>134.30221549498984</v>
      </c>
    </row>
    <row r="69" spans="16:25" x14ac:dyDescent="0.25">
      <c r="P69" s="52">
        <v>45992</v>
      </c>
      <c r="Q69" s="6">
        <v>24.15</v>
      </c>
      <c r="R69" s="6">
        <v>6929.94</v>
      </c>
      <c r="S69" s="6">
        <v>23593.1</v>
      </c>
      <c r="T69" s="6">
        <v>48134.89</v>
      </c>
      <c r="U69" s="52">
        <v>45992</v>
      </c>
      <c r="V69" s="55">
        <f t="shared" si="1"/>
        <v>111.5988909426987</v>
      </c>
      <c r="W69" s="55">
        <f t="shared" si="2"/>
        <v>159.22331435503659</v>
      </c>
      <c r="X69" s="55">
        <f t="shared" si="3"/>
        <v>161.16243024783236</v>
      </c>
      <c r="Y69" s="55">
        <f t="shared" si="4"/>
        <v>139.78949196488105</v>
      </c>
    </row>
    <row r="70" spans="16:25" x14ac:dyDescent="0.25">
      <c r="P70" s="52">
        <v>46023</v>
      </c>
      <c r="Q70" s="6">
        <v>23.49</v>
      </c>
      <c r="R70" s="6">
        <v>6939.03</v>
      </c>
      <c r="S70" s="6">
        <v>23461.82</v>
      </c>
      <c r="T70" s="6">
        <v>49098.71</v>
      </c>
      <c r="U70" s="52">
        <v>46023</v>
      </c>
      <c r="V70" s="55">
        <f t="shared" si="1"/>
        <v>108.54898336414047</v>
      </c>
      <c r="W70" s="55">
        <f t="shared" si="2"/>
        <v>159.4321675236769</v>
      </c>
      <c r="X70" s="55">
        <f t="shared" si="3"/>
        <v>160.26566789600344</v>
      </c>
      <c r="Y70" s="55">
        <f t="shared" si="4"/>
        <v>142.58854080753122</v>
      </c>
    </row>
    <row r="71" spans="16:25" x14ac:dyDescent="0.25">
      <c r="P71" s="52">
        <v>46054</v>
      </c>
      <c r="Q71" s="6">
        <v>28.69</v>
      </c>
      <c r="R71" s="6">
        <v>6909.51</v>
      </c>
      <c r="S71" s="6">
        <v>22668.21</v>
      </c>
      <c r="T71" s="6">
        <v>48977.919999999998</v>
      </c>
      <c r="U71" s="52">
        <v>46054</v>
      </c>
      <c r="V71" s="55">
        <f t="shared" si="1"/>
        <v>132.57855822550832</v>
      </c>
      <c r="W71" s="55">
        <f t="shared" si="2"/>
        <v>158.75391168888459</v>
      </c>
      <c r="X71" s="55">
        <f t="shared" si="3"/>
        <v>154.84458646673036</v>
      </c>
      <c r="Y71" s="55">
        <f t="shared" si="4"/>
        <v>142.23775216473098</v>
      </c>
    </row>
    <row r="72" spans="16:25" x14ac:dyDescent="0.25">
      <c r="P72" s="52">
        <v>46082</v>
      </c>
      <c r="Q72" s="6">
        <v>28.31</v>
      </c>
      <c r="R72" s="6">
        <v>6368.85</v>
      </c>
      <c r="S72" s="6">
        <v>20948.36</v>
      </c>
      <c r="T72" s="6">
        <v>45577.47</v>
      </c>
      <c r="U72" s="52">
        <v>46082</v>
      </c>
      <c r="V72" s="55">
        <f t="shared" si="1"/>
        <v>130.82255083179297</v>
      </c>
      <c r="W72" s="55">
        <f t="shared" si="2"/>
        <v>146.3316285032879</v>
      </c>
      <c r="X72" s="55">
        <f t="shared" si="3"/>
        <v>143.09643952284702</v>
      </c>
      <c r="Y72" s="55">
        <f t="shared" si="4"/>
        <v>132.36243764854575</v>
      </c>
    </row>
    <row r="73" spans="16:25" x14ac:dyDescent="0.25">
      <c r="P73" s="52">
        <v>46113</v>
      </c>
      <c r="Q73" s="6">
        <v>26.51</v>
      </c>
      <c r="R73" s="6">
        <v>7123.06</v>
      </c>
      <c r="S73" s="6">
        <v>24468.48</v>
      </c>
      <c r="T73" s="6">
        <v>49447.43</v>
      </c>
      <c r="U73" s="52">
        <v>46113</v>
      </c>
      <c r="V73" s="55">
        <f t="shared" si="1"/>
        <v>122.50462107208872</v>
      </c>
      <c r="W73" s="55">
        <f t="shared" si="2"/>
        <v>163.66046770243133</v>
      </c>
      <c r="X73" s="55">
        <f t="shared" si="3"/>
        <v>167.14207549115977</v>
      </c>
      <c r="Y73" s="55">
        <f t="shared" si="4"/>
        <v>143.60126549928793</v>
      </c>
    </row>
    <row r="74" spans="16:25" x14ac:dyDescent="0.25">
      <c r="P74" s="52">
        <v>46143</v>
      </c>
      <c r="Q74" s="6">
        <v>24.03</v>
      </c>
      <c r="R74" s="6">
        <v>7473.47</v>
      </c>
      <c r="S74" s="6">
        <v>26343.97</v>
      </c>
      <c r="T74" s="6">
        <v>50579.7</v>
      </c>
      <c r="U74" s="52">
        <v>46143</v>
      </c>
      <c r="V74" s="55">
        <f t="shared" si="1"/>
        <v>111.04436229205177</v>
      </c>
      <c r="W74" s="55">
        <f t="shared" si="2"/>
        <v>171.71153908012701</v>
      </c>
      <c r="X74" s="55">
        <f t="shared" si="3"/>
        <v>179.95338584484401</v>
      </c>
      <c r="Y74" s="55">
        <f t="shared" si="4"/>
        <v>146.88951333920352</v>
      </c>
    </row>
    <row r="75" spans="16:25" x14ac:dyDescent="0.25">
      <c r="P75" s="52">
        <v>46174</v>
      </c>
      <c r="Q75" s="56">
        <v>23.51</v>
      </c>
      <c r="R75" s="6">
        <v>7425.29</v>
      </c>
      <c r="S75" s="6">
        <v>25883.49</v>
      </c>
      <c r="T75" s="6">
        <v>51200.15</v>
      </c>
      <c r="U75" s="52">
        <v>46174</v>
      </c>
      <c r="V75" s="55">
        <f t="shared" si="1"/>
        <v>108.64140480591497</v>
      </c>
      <c r="W75" s="55">
        <f t="shared" si="2"/>
        <v>170.60454835789483</v>
      </c>
      <c r="X75" s="55">
        <f t="shared" si="3"/>
        <v>176.80788669973288</v>
      </c>
      <c r="Y75" s="55">
        <f t="shared" si="4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9438-EE38-4A02-9980-CDBE3359569C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7" customFormat="1" ht="33.75" x14ac:dyDescent="0.5">
      <c r="A1" s="26" t="s">
        <v>0</v>
      </c>
    </row>
    <row r="3" spans="1:26" s="1" customFormat="1" ht="21" x14ac:dyDescent="0.35">
      <c r="A3" s="2" t="s">
        <v>63</v>
      </c>
    </row>
    <row r="5" spans="1:26" x14ac:dyDescent="0.25">
      <c r="A5" s="35" t="s">
        <v>1</v>
      </c>
      <c r="B5" s="36"/>
      <c r="C5" s="37"/>
      <c r="P5" t="s">
        <v>58</v>
      </c>
    </row>
    <row r="6" spans="1:26" x14ac:dyDescent="0.25">
      <c r="A6" s="38" t="s">
        <v>2</v>
      </c>
      <c r="B6" s="29">
        <v>0.22</v>
      </c>
      <c r="C6" s="39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8" t="s">
        <v>3</v>
      </c>
      <c r="B7" s="30">
        <v>6.4299999999999996E-2</v>
      </c>
      <c r="C7" s="39"/>
      <c r="P7">
        <v>2026</v>
      </c>
      <c r="Q7" s="25">
        <f>D28</f>
        <v>3391200000</v>
      </c>
      <c r="R7" s="25"/>
      <c r="S7" t="s">
        <v>41</v>
      </c>
      <c r="T7" s="15">
        <f>B40</f>
        <v>2.6217874630608824</v>
      </c>
    </row>
    <row r="8" spans="1:26" x14ac:dyDescent="0.25">
      <c r="A8" s="38" t="s">
        <v>4</v>
      </c>
      <c r="B8" s="30">
        <v>0.01</v>
      </c>
      <c r="C8" s="39"/>
      <c r="P8">
        <v>2027</v>
      </c>
      <c r="Q8" s="25">
        <f>E28</f>
        <v>3492936000</v>
      </c>
      <c r="R8" s="25"/>
      <c r="S8" t="s">
        <v>74</v>
      </c>
      <c r="T8" s="15">
        <v>20.38</v>
      </c>
    </row>
    <row r="9" spans="1:26" x14ac:dyDescent="0.25">
      <c r="A9" s="38" t="s">
        <v>5</v>
      </c>
      <c r="B9" s="31" t="s">
        <v>90</v>
      </c>
      <c r="C9" s="39"/>
      <c r="P9">
        <v>2028</v>
      </c>
      <c r="Q9" s="25">
        <f>F28</f>
        <v>3667582800</v>
      </c>
      <c r="R9" s="25"/>
      <c r="S9" t="s">
        <v>8</v>
      </c>
      <c r="T9" s="15">
        <f>B12</f>
        <v>23</v>
      </c>
    </row>
    <row r="10" spans="1:26" x14ac:dyDescent="0.25">
      <c r="A10" s="38" t="s">
        <v>6</v>
      </c>
      <c r="B10" s="32">
        <v>46185</v>
      </c>
      <c r="C10" s="39"/>
      <c r="P10">
        <v>2029</v>
      </c>
      <c r="Q10" s="25">
        <f>G28</f>
        <v>3850961940</v>
      </c>
      <c r="R10" s="25"/>
    </row>
    <row r="11" spans="1:26" x14ac:dyDescent="0.25">
      <c r="A11" s="38" t="s">
        <v>7</v>
      </c>
      <c r="B11" s="32">
        <v>46387</v>
      </c>
      <c r="C11" s="39"/>
      <c r="P11">
        <v>2030</v>
      </c>
      <c r="Q11" s="25">
        <f>H28</f>
        <v>4082019656.4000015</v>
      </c>
      <c r="R11" s="25"/>
    </row>
    <row r="12" spans="1:26" x14ac:dyDescent="0.25">
      <c r="A12" s="38" t="s">
        <v>8</v>
      </c>
      <c r="B12" s="33">
        <v>23</v>
      </c>
      <c r="C12" s="39" t="s">
        <v>84</v>
      </c>
      <c r="P12">
        <v>2031</v>
      </c>
      <c r="Q12" s="25">
        <f>I28</f>
        <v>4204480246.0919971</v>
      </c>
      <c r="R12" s="25"/>
    </row>
    <row r="13" spans="1:26" x14ac:dyDescent="0.25">
      <c r="A13" s="38" t="s">
        <v>9</v>
      </c>
      <c r="B13" s="34">
        <v>6950000000</v>
      </c>
      <c r="C13" s="39"/>
    </row>
    <row r="14" spans="1:26" x14ac:dyDescent="0.25">
      <c r="A14" s="38" t="s">
        <v>10</v>
      </c>
      <c r="B14" s="33">
        <v>131590000000</v>
      </c>
      <c r="C14" s="39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8" t="s">
        <v>11</v>
      </c>
      <c r="B15" s="33">
        <v>11960000000</v>
      </c>
      <c r="C15" s="39"/>
      <c r="P15" s="52">
        <v>44348</v>
      </c>
      <c r="Q15" s="53">
        <v>21.64</v>
      </c>
      <c r="R15" s="6">
        <v>4352.34</v>
      </c>
      <c r="S15" s="6">
        <v>14639.33</v>
      </c>
      <c r="T15" s="6">
        <v>34433.839999999997</v>
      </c>
      <c r="U15" s="52">
        <v>44348</v>
      </c>
      <c r="V15" s="54">
        <f t="shared" ref="V15" si="0">(Q15/$Q$15)*100</f>
        <v>100</v>
      </c>
      <c r="W15" s="54">
        <f>(R15/$R$15)*100</f>
        <v>100</v>
      </c>
      <c r="X15" s="54">
        <f>(S15/$S$15)*100</f>
        <v>100</v>
      </c>
      <c r="Y15" s="54">
        <f>(T15/$T$15)*100</f>
        <v>100</v>
      </c>
      <c r="Z15" t="s">
        <v>69</v>
      </c>
    </row>
    <row r="16" spans="1:26" x14ac:dyDescent="0.25">
      <c r="A16" s="38" t="s">
        <v>12</v>
      </c>
      <c r="B16" s="33" t="s">
        <v>94</v>
      </c>
      <c r="C16" s="39"/>
      <c r="P16" s="52">
        <v>44378</v>
      </c>
      <c r="Q16" s="6">
        <v>21.4</v>
      </c>
      <c r="R16" s="6">
        <v>4395.26</v>
      </c>
      <c r="S16" s="6">
        <v>14672.68</v>
      </c>
      <c r="T16" s="6">
        <v>35061.550000000003</v>
      </c>
      <c r="U16" s="52">
        <v>44378</v>
      </c>
      <c r="V16" s="55">
        <f>(Q16/$Q$15)*100</f>
        <v>98.890942698706084</v>
      </c>
      <c r="W16" s="55">
        <f>(R16/$R$15)*100</f>
        <v>100.98613619340402</v>
      </c>
      <c r="X16" s="55">
        <f>(S16/$S$15)*100</f>
        <v>100.22781097222347</v>
      </c>
      <c r="Y16" s="55">
        <f>(T16/$T$15)*100</f>
        <v>101.82294510284071</v>
      </c>
      <c r="Z16" t="s">
        <v>75</v>
      </c>
    </row>
    <row r="17" spans="1:25" x14ac:dyDescent="0.25">
      <c r="A17" s="40" t="s">
        <v>88</v>
      </c>
      <c r="B17" s="41"/>
      <c r="C17" s="42"/>
      <c r="P17" s="52">
        <v>44409</v>
      </c>
      <c r="Q17" s="6">
        <v>20.82</v>
      </c>
      <c r="R17" s="6">
        <v>4509.37</v>
      </c>
      <c r="S17" s="6">
        <v>14714.66</v>
      </c>
      <c r="T17" s="6">
        <v>35120.080000000002</v>
      </c>
      <c r="U17" s="52">
        <v>44409</v>
      </c>
      <c r="V17" s="55">
        <f>(Q17/$Q$15)*100</f>
        <v>96.210720887245841</v>
      </c>
      <c r="W17" s="55">
        <f>(R17/$R$15)*100</f>
        <v>103.60794423229802</v>
      </c>
      <c r="X17" s="55">
        <f>(S17/$S$15)*100</f>
        <v>100.5145727297629</v>
      </c>
      <c r="Y17" s="55">
        <f>(T17/$T$15)*100</f>
        <v>101.9929232406261</v>
      </c>
    </row>
    <row r="18" spans="1:25" x14ac:dyDescent="0.25">
      <c r="P18" s="52">
        <v>44440</v>
      </c>
      <c r="Q18" s="6">
        <v>20.49</v>
      </c>
      <c r="R18" s="6">
        <v>4455.4799999999996</v>
      </c>
      <c r="S18" s="6">
        <v>15047.7</v>
      </c>
      <c r="T18" s="6">
        <v>34326.46</v>
      </c>
      <c r="U18" s="52">
        <v>44440</v>
      </c>
      <c r="V18" s="55">
        <f t="shared" ref="V18:V75" si="1">(Q18/$Q$15)*100</f>
        <v>94.685767097966718</v>
      </c>
      <c r="W18" s="55">
        <f t="shared" ref="W18:W75" si="2">(R18/$R$15)*100</f>
        <v>102.36975971546339</v>
      </c>
      <c r="X18" s="55">
        <f t="shared" ref="X18:X75" si="3">(S18/$S$15)*100</f>
        <v>102.78954023169094</v>
      </c>
      <c r="Y18" s="55">
        <f t="shared" ref="Y18:Y75" si="4">(T18/$T$15)*100</f>
        <v>99.688155605067578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2">
        <v>44470</v>
      </c>
      <c r="Q19" s="6">
        <v>19.25</v>
      </c>
      <c r="R19" s="6">
        <v>4544.8999999999996</v>
      </c>
      <c r="S19" s="6">
        <v>15498.39</v>
      </c>
      <c r="T19" s="6">
        <v>35677.019999999997</v>
      </c>
      <c r="U19" s="52">
        <v>44470</v>
      </c>
      <c r="V19" s="55">
        <f t="shared" si="1"/>
        <v>88.955637707948242</v>
      </c>
      <c r="W19" s="55">
        <f t="shared" si="2"/>
        <v>104.42428670554229</v>
      </c>
      <c r="X19" s="55">
        <f t="shared" si="3"/>
        <v>105.86816473158265</v>
      </c>
      <c r="Y19" s="55">
        <f t="shared" si="4"/>
        <v>103.61034377809737</v>
      </c>
    </row>
    <row r="20" spans="1:25" x14ac:dyDescent="0.25">
      <c r="A20" t="s">
        <v>16</v>
      </c>
      <c r="C20" s="7">
        <v>46185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2">
        <f>I28*(1+B8)/(B7-B8)</f>
        <v>78204881188.819839</v>
      </c>
      <c r="P20" s="52">
        <v>44501</v>
      </c>
      <c r="Q20" s="6">
        <v>18.23</v>
      </c>
      <c r="R20" s="6">
        <v>4594.62</v>
      </c>
      <c r="S20" s="6">
        <v>15085.47</v>
      </c>
      <c r="T20" s="6">
        <v>34889.339999999997</v>
      </c>
      <c r="U20" s="52">
        <v>44501</v>
      </c>
      <c r="V20" s="55">
        <f t="shared" si="1"/>
        <v>84.242144177449163</v>
      </c>
      <c r="W20" s="55">
        <f t="shared" si="2"/>
        <v>105.56666069286867</v>
      </c>
      <c r="X20" s="55">
        <f t="shared" si="3"/>
        <v>103.04754384251191</v>
      </c>
      <c r="Y20" s="55">
        <f t="shared" si="4"/>
        <v>101.32282661474873</v>
      </c>
    </row>
    <row r="21" spans="1:25" x14ac:dyDescent="0.25">
      <c r="A21" t="s">
        <v>18</v>
      </c>
      <c r="B21" t="s">
        <v>72</v>
      </c>
      <c r="D21" s="5">
        <v>125600000000</v>
      </c>
      <c r="E21" s="5">
        <f>D21*1.03</f>
        <v>129368000000</v>
      </c>
      <c r="F21" s="5">
        <f>E21*1.05</f>
        <v>135836400000</v>
      </c>
      <c r="G21" s="5">
        <f>F21*1.05</f>
        <v>142628220000</v>
      </c>
      <c r="H21" s="5">
        <f>G21*1.06</f>
        <v>151185913200</v>
      </c>
      <c r="I21" s="5">
        <f>H21*1.03</f>
        <v>155721490596</v>
      </c>
      <c r="L21" t="s">
        <v>19</v>
      </c>
      <c r="M21" s="12">
        <f>(I22+I25)*4.5</f>
        <v>196209078150.95999</v>
      </c>
      <c r="P21" s="52">
        <v>44531</v>
      </c>
      <c r="Q21" s="6">
        <v>17.96</v>
      </c>
      <c r="R21" s="6">
        <v>4766.18</v>
      </c>
      <c r="S21" s="6">
        <v>15653.37</v>
      </c>
      <c r="T21" s="6">
        <v>35950.559999999998</v>
      </c>
      <c r="U21" s="52">
        <v>44531</v>
      </c>
      <c r="V21" s="55">
        <f t="shared" si="1"/>
        <v>82.994454713493539</v>
      </c>
      <c r="W21" s="55">
        <f t="shared" si="2"/>
        <v>109.50844832894488</v>
      </c>
      <c r="X21" s="55">
        <f t="shared" si="3"/>
        <v>106.92681973833503</v>
      </c>
      <c r="Y21" s="55">
        <f t="shared" si="4"/>
        <v>104.40473673572276</v>
      </c>
    </row>
    <row r="22" spans="1:25" x14ac:dyDescent="0.25">
      <c r="A22" t="s">
        <v>79</v>
      </c>
      <c r="B22" t="s">
        <v>125</v>
      </c>
      <c r="C22" s="24">
        <v>0.15</v>
      </c>
      <c r="D22" s="5">
        <f>D21*$C$22</f>
        <v>18840000000</v>
      </c>
      <c r="E22" s="5">
        <f t="shared" ref="E22:I22" si="5">E21*$C$22</f>
        <v>19405200000</v>
      </c>
      <c r="F22" s="5">
        <f t="shared" si="5"/>
        <v>20375460000</v>
      </c>
      <c r="G22" s="5">
        <f t="shared" si="5"/>
        <v>21394233000</v>
      </c>
      <c r="H22" s="5">
        <f t="shared" si="5"/>
        <v>22677886980</v>
      </c>
      <c r="I22" s="5">
        <f t="shared" si="5"/>
        <v>23358223589.399998</v>
      </c>
      <c r="L22" t="s">
        <v>20</v>
      </c>
      <c r="M22" s="12">
        <f>(M20+M21)/2</f>
        <v>137206979669.88992</v>
      </c>
      <c r="P22" s="52">
        <v>44562</v>
      </c>
      <c r="Q22" s="6">
        <v>20.53</v>
      </c>
      <c r="R22" s="6">
        <v>4500.53</v>
      </c>
      <c r="S22" s="6">
        <v>13770.57</v>
      </c>
      <c r="T22" s="6">
        <v>34725.47</v>
      </c>
      <c r="U22" s="52">
        <v>44562</v>
      </c>
      <c r="V22" s="55">
        <f t="shared" si="1"/>
        <v>94.870609981515713</v>
      </c>
      <c r="W22" s="55">
        <f t="shared" si="2"/>
        <v>103.40483510019895</v>
      </c>
      <c r="X22" s="55">
        <f t="shared" si="3"/>
        <v>94.065575405431801</v>
      </c>
      <c r="Y22" s="55">
        <f t="shared" si="4"/>
        <v>100.84692848662829</v>
      </c>
    </row>
    <row r="23" spans="1:25" x14ac:dyDescent="0.25">
      <c r="A23" t="s">
        <v>21</v>
      </c>
      <c r="B23" t="s">
        <v>22</v>
      </c>
      <c r="C23" s="24"/>
      <c r="D23" s="5">
        <f>D22*$B$6</f>
        <v>4144800000</v>
      </c>
      <c r="E23" s="5">
        <f t="shared" ref="E23:I23" si="6">E22*$B$6</f>
        <v>4269144000</v>
      </c>
      <c r="F23" s="5">
        <f t="shared" si="6"/>
        <v>4482601200</v>
      </c>
      <c r="G23" s="5">
        <f t="shared" si="6"/>
        <v>4706731260</v>
      </c>
      <c r="H23" s="5">
        <f t="shared" si="6"/>
        <v>4989135135.6000004</v>
      </c>
      <c r="I23" s="5">
        <f t="shared" si="6"/>
        <v>5138809189.6679993</v>
      </c>
      <c r="P23" s="52">
        <v>44593</v>
      </c>
      <c r="Q23" s="6">
        <v>18.059999999999999</v>
      </c>
      <c r="R23" s="6">
        <v>4384.6499999999996</v>
      </c>
      <c r="S23" s="6">
        <v>13313.44</v>
      </c>
      <c r="T23" s="6">
        <v>34058.75</v>
      </c>
      <c r="U23" s="52">
        <v>44593</v>
      </c>
      <c r="V23" s="55">
        <f t="shared" si="1"/>
        <v>83.456561922365978</v>
      </c>
      <c r="W23" s="55">
        <f t="shared" si="2"/>
        <v>100.74235928259282</v>
      </c>
      <c r="X23" s="55">
        <f t="shared" si="3"/>
        <v>90.942959821248664</v>
      </c>
      <c r="Y23" s="55">
        <f t="shared" si="4"/>
        <v>98.910693666463004</v>
      </c>
    </row>
    <row r="24" spans="1:25" x14ac:dyDescent="0.25">
      <c r="A24" t="s">
        <v>23</v>
      </c>
      <c r="B24" t="s">
        <v>24</v>
      </c>
      <c r="C24" s="24"/>
      <c r="D24" s="5">
        <f>D22*(1-$B$6)</f>
        <v>14695200000</v>
      </c>
      <c r="E24" s="5">
        <f t="shared" ref="E24:I24" si="7">E22*(1-$B$6)</f>
        <v>15136056000</v>
      </c>
      <c r="F24" s="5">
        <f t="shared" si="7"/>
        <v>15892858800</v>
      </c>
      <c r="G24" s="5">
        <f t="shared" si="7"/>
        <v>16687501740</v>
      </c>
      <c r="H24" s="5">
        <f t="shared" si="7"/>
        <v>17688751844.400002</v>
      </c>
      <c r="I24" s="5">
        <f t="shared" si="7"/>
        <v>18219414399.731998</v>
      </c>
      <c r="P24" s="52">
        <v>44621</v>
      </c>
      <c r="Q24" s="6">
        <v>17.54</v>
      </c>
      <c r="R24" s="6">
        <v>4543.0600000000004</v>
      </c>
      <c r="S24" s="6">
        <v>14169.3</v>
      </c>
      <c r="T24" s="6">
        <v>34861.24</v>
      </c>
      <c r="U24" s="52">
        <v>44621</v>
      </c>
      <c r="V24" s="55">
        <f t="shared" si="1"/>
        <v>81.053604436229193</v>
      </c>
      <c r="W24" s="55">
        <f t="shared" si="2"/>
        <v>104.38201059659862</v>
      </c>
      <c r="X24" s="55">
        <f t="shared" si="3"/>
        <v>96.789265628959782</v>
      </c>
      <c r="Y24" s="55">
        <f t="shared" si="4"/>
        <v>101.24122084554033</v>
      </c>
    </row>
    <row r="25" spans="1:25" x14ac:dyDescent="0.25">
      <c r="A25" s="4" t="s">
        <v>25</v>
      </c>
      <c r="B25" s="8" t="s">
        <v>81</v>
      </c>
      <c r="C25" s="24">
        <v>0.13</v>
      </c>
      <c r="D25" s="11">
        <f>D21*$C$25</f>
        <v>16328000000</v>
      </c>
      <c r="E25" s="11">
        <f t="shared" ref="E25:I25" si="8">E21*$C$25</f>
        <v>16817840000</v>
      </c>
      <c r="F25" s="11">
        <f t="shared" si="8"/>
        <v>17658732000</v>
      </c>
      <c r="G25" s="11">
        <f t="shared" si="8"/>
        <v>18541668600</v>
      </c>
      <c r="H25" s="11">
        <f t="shared" si="8"/>
        <v>19654168716</v>
      </c>
      <c r="I25" s="11">
        <f t="shared" si="8"/>
        <v>20243793777.48</v>
      </c>
      <c r="P25" s="52">
        <v>44652</v>
      </c>
      <c r="Q25" s="6">
        <v>19.52</v>
      </c>
      <c r="R25" s="6">
        <v>4271.78</v>
      </c>
      <c r="S25" s="6">
        <v>12839.29</v>
      </c>
      <c r="T25" s="6">
        <v>33811.4</v>
      </c>
      <c r="U25" s="52">
        <v>44652</v>
      </c>
      <c r="V25" s="55">
        <f t="shared" si="1"/>
        <v>90.203327171903879</v>
      </c>
      <c r="W25" s="55">
        <f t="shared" si="2"/>
        <v>98.149041664943454</v>
      </c>
      <c r="X25" s="55">
        <f t="shared" si="3"/>
        <v>87.704082085723883</v>
      </c>
      <c r="Y25" s="55">
        <f t="shared" si="4"/>
        <v>98.192359609035776</v>
      </c>
    </row>
    <row r="26" spans="1:25" x14ac:dyDescent="0.25">
      <c r="A26" t="s">
        <v>26</v>
      </c>
      <c r="B26" t="s">
        <v>92</v>
      </c>
      <c r="C26" s="24">
        <v>0.2</v>
      </c>
      <c r="D26" s="11">
        <f>D21*$C$26</f>
        <v>25120000000</v>
      </c>
      <c r="E26" s="11">
        <f t="shared" ref="E26:I26" si="9">E21*$C$26</f>
        <v>25873600000</v>
      </c>
      <c r="F26" s="11">
        <f t="shared" si="9"/>
        <v>27167280000</v>
      </c>
      <c r="G26" s="11">
        <f t="shared" si="9"/>
        <v>28525644000</v>
      </c>
      <c r="H26" s="11">
        <f t="shared" si="9"/>
        <v>30237182640</v>
      </c>
      <c r="I26" s="11">
        <f t="shared" si="9"/>
        <v>31144298119.200001</v>
      </c>
      <c r="P26" s="52">
        <v>44682</v>
      </c>
      <c r="Q26" s="6">
        <v>20.399999999999999</v>
      </c>
      <c r="R26" s="6">
        <v>4158.24</v>
      </c>
      <c r="S26" s="6">
        <v>11354.62</v>
      </c>
      <c r="T26" s="6">
        <v>33212.959999999999</v>
      </c>
      <c r="U26" s="52">
        <v>44682</v>
      </c>
      <c r="V26" s="55">
        <f t="shared" si="1"/>
        <v>94.26987060998151</v>
      </c>
      <c r="W26" s="55">
        <f t="shared" si="2"/>
        <v>95.540330029363503</v>
      </c>
      <c r="X26" s="55">
        <f t="shared" si="3"/>
        <v>77.562429428122741</v>
      </c>
      <c r="Y26" s="55">
        <f t="shared" si="4"/>
        <v>96.454418095687274</v>
      </c>
    </row>
    <row r="27" spans="1:25" x14ac:dyDescent="0.25">
      <c r="A27" t="s">
        <v>27</v>
      </c>
      <c r="B27" t="s">
        <v>93</v>
      </c>
      <c r="C27" s="24">
        <v>0.02</v>
      </c>
      <c r="D27" s="11">
        <f>D21*$C$27</f>
        <v>2512000000</v>
      </c>
      <c r="E27" s="11">
        <f t="shared" ref="E27:I27" si="10">E21*$C$27</f>
        <v>2587360000</v>
      </c>
      <c r="F27" s="11">
        <f t="shared" si="10"/>
        <v>2716728000</v>
      </c>
      <c r="G27" s="11">
        <f t="shared" si="10"/>
        <v>2852564400</v>
      </c>
      <c r="H27" s="11">
        <f t="shared" si="10"/>
        <v>3023718264</v>
      </c>
      <c r="I27" s="11">
        <f t="shared" si="10"/>
        <v>3114429811.9200001</v>
      </c>
      <c r="P27" s="52">
        <v>44713</v>
      </c>
      <c r="Q27" s="55">
        <v>19.38</v>
      </c>
      <c r="R27" s="6">
        <v>3911.74</v>
      </c>
      <c r="S27" s="6">
        <v>11127.85</v>
      </c>
      <c r="T27" s="6">
        <v>31097.26</v>
      </c>
      <c r="U27" s="52">
        <v>44713</v>
      </c>
      <c r="V27" s="55">
        <f t="shared" si="1"/>
        <v>89.556377079482431</v>
      </c>
      <c r="W27" s="55">
        <f t="shared" si="2"/>
        <v>89.876709999678326</v>
      </c>
      <c r="X27" s="55">
        <f t="shared" si="3"/>
        <v>76.01338312614034</v>
      </c>
      <c r="Y27" s="55">
        <f t="shared" si="4"/>
        <v>90.310171621869657</v>
      </c>
    </row>
    <row r="28" spans="1:25" ht="30" x14ac:dyDescent="0.25">
      <c r="A28" s="8" t="s">
        <v>28</v>
      </c>
      <c r="B28" s="9" t="s">
        <v>29</v>
      </c>
      <c r="C28" s="17"/>
      <c r="D28" s="11">
        <f>D24+D25-D26-D27</f>
        <v>3391200000</v>
      </c>
      <c r="E28" s="11">
        <f t="shared" ref="E28:I28" si="11">E24+E25-E26-E27</f>
        <v>3492936000</v>
      </c>
      <c r="F28" s="11">
        <f t="shared" si="11"/>
        <v>3667582800</v>
      </c>
      <c r="G28" s="11">
        <f t="shared" si="11"/>
        <v>3850961940</v>
      </c>
      <c r="H28" s="11">
        <f t="shared" si="11"/>
        <v>4082019656.4000015</v>
      </c>
      <c r="I28" s="11">
        <f t="shared" si="11"/>
        <v>4204480246.0919971</v>
      </c>
      <c r="P28" s="52">
        <v>44743</v>
      </c>
      <c r="Q28" s="6">
        <v>18.399999999999999</v>
      </c>
      <c r="R28" s="6">
        <v>4130.29</v>
      </c>
      <c r="S28" s="6">
        <v>12390.69</v>
      </c>
      <c r="T28" s="6">
        <v>32845.129999999997</v>
      </c>
      <c r="U28" s="52">
        <v>44743</v>
      </c>
      <c r="V28" s="55">
        <f t="shared" si="1"/>
        <v>85.027726432532333</v>
      </c>
      <c r="W28" s="55">
        <f t="shared" si="2"/>
        <v>94.898146744050322</v>
      </c>
      <c r="X28" s="55">
        <f t="shared" si="3"/>
        <v>84.63973419548573</v>
      </c>
      <c r="Y28" s="55">
        <f t="shared" si="4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2">
        <v>44774</v>
      </c>
      <c r="Q29" s="6">
        <v>18.43</v>
      </c>
      <c r="R29" s="6">
        <v>3924.26</v>
      </c>
      <c r="S29" s="6">
        <v>12141.71</v>
      </c>
      <c r="T29" s="6">
        <v>31318.44</v>
      </c>
      <c r="U29" s="52">
        <v>44774</v>
      </c>
      <c r="V29" s="55">
        <f t="shared" si="1"/>
        <v>85.166358595194083</v>
      </c>
      <c r="W29" s="55">
        <f t="shared" si="2"/>
        <v>90.164371349664791</v>
      </c>
      <c r="X29" s="55">
        <f t="shared" si="3"/>
        <v>82.938973300007575</v>
      </c>
      <c r="Y29" s="55">
        <f t="shared" si="4"/>
        <v>90.95250486149672</v>
      </c>
    </row>
    <row r="30" spans="1:25" x14ac:dyDescent="0.25">
      <c r="A30" t="s">
        <v>36</v>
      </c>
      <c r="C30" s="12">
        <f>-G39</f>
        <v>-279480000000</v>
      </c>
      <c r="D30" s="5">
        <f>D28</f>
        <v>3391200000</v>
      </c>
      <c r="E30" s="5">
        <f t="shared" ref="E30:I30" si="12">E28</f>
        <v>3492936000</v>
      </c>
      <c r="F30" s="5">
        <f t="shared" si="12"/>
        <v>3667582800</v>
      </c>
      <c r="G30" s="5">
        <f t="shared" si="12"/>
        <v>3850961940</v>
      </c>
      <c r="H30" s="5">
        <f t="shared" si="12"/>
        <v>4082019656.4000015</v>
      </c>
      <c r="I30" s="5">
        <f t="shared" si="12"/>
        <v>4204480246.0919971</v>
      </c>
      <c r="J30" s="12">
        <f>I28+M22</f>
        <v>141411459915.98193</v>
      </c>
      <c r="K30" t="s">
        <v>38</v>
      </c>
      <c r="P30" s="52">
        <v>44805</v>
      </c>
      <c r="Q30" s="6">
        <v>16.739999999999998</v>
      </c>
      <c r="R30" s="6">
        <v>3585.62</v>
      </c>
      <c r="S30" s="6">
        <v>10867.93</v>
      </c>
      <c r="T30" s="6">
        <v>30822.42</v>
      </c>
      <c r="U30" s="52">
        <v>44805</v>
      </c>
      <c r="V30" s="55">
        <f t="shared" si="1"/>
        <v>77.356746765249525</v>
      </c>
      <c r="W30" s="55">
        <f t="shared" si="2"/>
        <v>82.383729212331744</v>
      </c>
      <c r="X30" s="55">
        <f t="shared" si="3"/>
        <v>74.237892034676463</v>
      </c>
      <c r="Y30" s="55">
        <f t="shared" si="4"/>
        <v>89.512003308373394</v>
      </c>
    </row>
    <row r="31" spans="1:25" x14ac:dyDescent="0.25">
      <c r="A31" t="s">
        <v>37</v>
      </c>
      <c r="D31" s="6">
        <f>1/(1+$B$7)^D29</f>
        <v>0.96932177503707506</v>
      </c>
      <c r="E31" s="6">
        <f t="shared" ref="E31:I31" si="13">1/(1+$B$7)^E29</f>
        <v>0.91075991265345768</v>
      </c>
      <c r="F31" s="6">
        <f t="shared" si="13"/>
        <v>0.85573608254576505</v>
      </c>
      <c r="G31" s="6">
        <f t="shared" si="13"/>
        <v>0.8040365334452364</v>
      </c>
      <c r="H31" s="6">
        <f t="shared" si="13"/>
        <v>0.75546042792937729</v>
      </c>
      <c r="I31" s="6">
        <f t="shared" si="13"/>
        <v>0.73228424297077233</v>
      </c>
      <c r="J31" t="s">
        <v>39</v>
      </c>
      <c r="P31" s="52">
        <v>44835</v>
      </c>
      <c r="Q31" s="6">
        <v>17.100000000000001</v>
      </c>
      <c r="R31" s="6">
        <v>3901.06</v>
      </c>
      <c r="S31" s="6">
        <v>11102.45</v>
      </c>
      <c r="T31" s="6">
        <v>32861.800000000003</v>
      </c>
      <c r="U31" s="52">
        <v>44835</v>
      </c>
      <c r="V31" s="55">
        <f t="shared" si="1"/>
        <v>79.020332717190385</v>
      </c>
      <c r="W31" s="55">
        <f t="shared" si="2"/>
        <v>89.631324758635571</v>
      </c>
      <c r="X31" s="55">
        <f t="shared" si="3"/>
        <v>75.839877917910187</v>
      </c>
      <c r="Y31" s="55">
        <f t="shared" si="4"/>
        <v>95.434607351372975</v>
      </c>
    </row>
    <row r="32" spans="1:25" x14ac:dyDescent="0.25">
      <c r="A32" t="s">
        <v>40</v>
      </c>
      <c r="C32" s="12">
        <f>-G39</f>
        <v>-279480000000</v>
      </c>
      <c r="D32" s="5">
        <f>D30*D31</f>
        <v>3287164003.5057287</v>
      </c>
      <c r="E32" s="5">
        <f t="shared" ref="E32:I32" si="14">E30*E31</f>
        <v>3181226086.2641177</v>
      </c>
      <c r="F32" s="5">
        <f t="shared" si="14"/>
        <v>3138482937.6842279</v>
      </c>
      <c r="G32" s="5">
        <f t="shared" si="14"/>
        <v>3096314088.6671424</v>
      </c>
      <c r="H32" s="5">
        <f t="shared" si="14"/>
        <v>3083804316.4400749</v>
      </c>
      <c r="I32" s="5">
        <f t="shared" si="14"/>
        <v>3078874634.0950446</v>
      </c>
      <c r="J32" s="13">
        <f>M22</f>
        <v>137206979669.88992</v>
      </c>
      <c r="P32" s="52">
        <v>44866</v>
      </c>
      <c r="Q32" s="6">
        <v>18.97</v>
      </c>
      <c r="R32" s="6">
        <v>4026.12</v>
      </c>
      <c r="S32" s="6">
        <v>11226.36</v>
      </c>
      <c r="T32" s="6">
        <v>34429.879999999997</v>
      </c>
      <c r="U32" s="52">
        <v>44866</v>
      </c>
      <c r="V32" s="55">
        <f t="shared" si="1"/>
        <v>87.661737523105359</v>
      </c>
      <c r="W32" s="55">
        <f t="shared" si="2"/>
        <v>92.504721598036909</v>
      </c>
      <c r="X32" s="55">
        <f t="shared" si="3"/>
        <v>76.686296435697543</v>
      </c>
      <c r="Y32" s="55">
        <f t="shared" si="4"/>
        <v>99.988499685193403</v>
      </c>
    </row>
    <row r="33" spans="1:25" x14ac:dyDescent="0.25">
      <c r="A33" t="s">
        <v>56</v>
      </c>
      <c r="C33" s="28">
        <v>-279480</v>
      </c>
      <c r="D33" s="23">
        <v>3287</v>
      </c>
      <c r="E33" s="23">
        <v>3181</v>
      </c>
      <c r="F33" s="23">
        <v>3138</v>
      </c>
      <c r="G33" s="23">
        <v>3096</v>
      </c>
      <c r="H33" s="23">
        <v>3084</v>
      </c>
      <c r="I33" s="23">
        <v>3079</v>
      </c>
      <c r="J33" s="23">
        <v>137207</v>
      </c>
      <c r="P33" s="52">
        <v>44896</v>
      </c>
      <c r="Q33" s="6">
        <v>18.489999999999998</v>
      </c>
      <c r="R33" s="6">
        <v>3839.5</v>
      </c>
      <c r="S33" s="6">
        <v>10466.48</v>
      </c>
      <c r="T33" s="6">
        <v>33203.93</v>
      </c>
      <c r="U33" s="52">
        <v>44896</v>
      </c>
      <c r="V33" s="55">
        <f t="shared" si="1"/>
        <v>85.443622920517555</v>
      </c>
      <c r="W33" s="55">
        <f t="shared" si="2"/>
        <v>88.216913200715013</v>
      </c>
      <c r="X33" s="55">
        <f t="shared" si="3"/>
        <v>71.495621725857674</v>
      </c>
      <c r="Y33" s="55">
        <f t="shared" si="4"/>
        <v>96.428193892984353</v>
      </c>
    </row>
    <row r="34" spans="1:25" x14ac:dyDescent="0.25">
      <c r="P34" s="52">
        <v>44927</v>
      </c>
      <c r="Q34" s="6">
        <v>19.23</v>
      </c>
      <c r="R34" s="6">
        <v>4070.56</v>
      </c>
      <c r="S34" s="6">
        <v>11140.43</v>
      </c>
      <c r="T34" s="6">
        <v>33375.49</v>
      </c>
      <c r="U34" s="52">
        <v>44927</v>
      </c>
      <c r="V34" s="55">
        <f t="shared" si="1"/>
        <v>88.863216266173751</v>
      </c>
      <c r="W34" s="55">
        <f t="shared" si="2"/>
        <v>93.525781533611791</v>
      </c>
      <c r="X34" s="55">
        <f t="shared" si="3"/>
        <v>76.099316020610232</v>
      </c>
      <c r="Y34" s="55">
        <f t="shared" si="4"/>
        <v>96.926424703140867</v>
      </c>
    </row>
    <row r="35" spans="1:25" x14ac:dyDescent="0.25">
      <c r="A35" s="3" t="s">
        <v>41</v>
      </c>
      <c r="F35" s="3" t="s">
        <v>31</v>
      </c>
      <c r="P35" s="52">
        <v>44958</v>
      </c>
      <c r="Q35" s="6">
        <v>19.440000000000001</v>
      </c>
      <c r="R35" s="6">
        <v>4045.64</v>
      </c>
      <c r="S35" s="6">
        <v>11689.01</v>
      </c>
      <c r="T35" s="6">
        <v>32816.92</v>
      </c>
      <c r="U35" s="52">
        <v>44958</v>
      </c>
      <c r="V35" s="55">
        <f t="shared" si="1"/>
        <v>89.833641404805917</v>
      </c>
      <c r="W35" s="55">
        <f t="shared" si="2"/>
        <v>92.953215971178722</v>
      </c>
      <c r="X35" s="55">
        <f t="shared" si="3"/>
        <v>79.846618663559056</v>
      </c>
      <c r="Y35" s="55">
        <f t="shared" si="4"/>
        <v>95.304270450231527</v>
      </c>
    </row>
    <row r="36" spans="1:25" x14ac:dyDescent="0.25">
      <c r="A36" s="12" t="s">
        <v>42</v>
      </c>
      <c r="B36" s="16">
        <f>SUM(D32:I32)</f>
        <v>18865866066.656338</v>
      </c>
      <c r="C36" t="s">
        <v>45</v>
      </c>
      <c r="F36" t="s">
        <v>33</v>
      </c>
      <c r="G36" s="14">
        <f>B13*B12</f>
        <v>159850000000</v>
      </c>
      <c r="H36" t="s">
        <v>34</v>
      </c>
      <c r="L36" s="3" t="s">
        <v>51</v>
      </c>
      <c r="P36" s="52">
        <v>44986</v>
      </c>
      <c r="Q36" s="6">
        <v>18.61</v>
      </c>
      <c r="R36" s="6">
        <v>3970.99</v>
      </c>
      <c r="S36" s="6">
        <v>11823.96</v>
      </c>
      <c r="T36" s="6">
        <v>33274.15</v>
      </c>
      <c r="U36" s="52">
        <v>44986</v>
      </c>
      <c r="V36" s="55">
        <f t="shared" si="1"/>
        <v>85.998151571164499</v>
      </c>
      <c r="W36" s="55">
        <f t="shared" si="2"/>
        <v>91.238046659957632</v>
      </c>
      <c r="X36" s="55">
        <f t="shared" si="3"/>
        <v>80.768450468703136</v>
      </c>
      <c r="Y36" s="55">
        <f t="shared" si="4"/>
        <v>96.63212119240842</v>
      </c>
    </row>
    <row r="37" spans="1:25" x14ac:dyDescent="0.25">
      <c r="A37" t="s">
        <v>11</v>
      </c>
      <c r="B37" s="18">
        <f>B15</f>
        <v>11960000000</v>
      </c>
      <c r="F37" t="s">
        <v>10</v>
      </c>
      <c r="G37" s="13">
        <f>B14</f>
        <v>131590000000</v>
      </c>
      <c r="L37" t="s">
        <v>52</v>
      </c>
      <c r="M37" s="20">
        <f>(B40/B12)-1</f>
        <v>-0.88600924073648335</v>
      </c>
      <c r="P37" s="52">
        <v>45017</v>
      </c>
      <c r="Q37" s="6">
        <v>18.22</v>
      </c>
      <c r="R37" s="6">
        <v>4133.5200000000004</v>
      </c>
      <c r="S37" s="6">
        <v>12072.46</v>
      </c>
      <c r="T37" s="6">
        <v>33808.959999999999</v>
      </c>
      <c r="U37" s="52">
        <v>45017</v>
      </c>
      <c r="V37" s="55">
        <f t="shared" si="1"/>
        <v>84.195933456561917</v>
      </c>
      <c r="W37" s="55">
        <f t="shared" si="2"/>
        <v>94.972359696163451</v>
      </c>
      <c r="X37" s="55">
        <f t="shared" si="3"/>
        <v>82.46593252560055</v>
      </c>
      <c r="Y37" s="55">
        <f t="shared" si="4"/>
        <v>98.185273556478165</v>
      </c>
    </row>
    <row r="38" spans="1:25" x14ac:dyDescent="0.25">
      <c r="A38" t="s">
        <v>10</v>
      </c>
      <c r="B38" s="18">
        <f>B14</f>
        <v>131590000000</v>
      </c>
      <c r="C38" s="3"/>
      <c r="F38" t="s">
        <v>11</v>
      </c>
      <c r="G38" s="13">
        <f>B15</f>
        <v>11960000000</v>
      </c>
      <c r="L38" t="s">
        <v>53</v>
      </c>
      <c r="M38" s="22">
        <f>IRR(C33:J33)</f>
        <v>-8.4024138447005847E-2</v>
      </c>
      <c r="N38" t="s">
        <v>57</v>
      </c>
      <c r="P38" s="52">
        <v>45047</v>
      </c>
      <c r="Q38" s="6">
        <v>16.309999999999999</v>
      </c>
      <c r="R38" s="6">
        <v>4282.37</v>
      </c>
      <c r="S38" s="6">
        <v>13240.77</v>
      </c>
      <c r="T38" s="6">
        <v>33093.339999999997</v>
      </c>
      <c r="U38" s="52">
        <v>45047</v>
      </c>
      <c r="V38" s="55">
        <f t="shared" si="1"/>
        <v>75.369685767097963</v>
      </c>
      <c r="W38" s="55">
        <f t="shared" si="2"/>
        <v>98.392359052831353</v>
      </c>
      <c r="X38" s="55">
        <f t="shared" si="3"/>
        <v>90.446557321953946</v>
      </c>
      <c r="Y38" s="55">
        <f t="shared" si="4"/>
        <v>96.107027273170814</v>
      </c>
    </row>
    <row r="39" spans="1:25" x14ac:dyDescent="0.25">
      <c r="A39" t="s">
        <v>44</v>
      </c>
      <c r="B39" s="16">
        <f>(((B36+B37)-B38)+(M22))/2</f>
        <v>18221422868.273132</v>
      </c>
      <c r="C39" t="s">
        <v>77</v>
      </c>
      <c r="F39" t="s">
        <v>30</v>
      </c>
      <c r="G39" s="12">
        <f>G36+G37-G38</f>
        <v>279480000000</v>
      </c>
      <c r="H39" t="s">
        <v>32</v>
      </c>
      <c r="P39" s="52">
        <v>45078</v>
      </c>
      <c r="Q39" s="6">
        <v>15.45</v>
      </c>
      <c r="R39" s="6">
        <v>4450.38</v>
      </c>
      <c r="S39" s="6">
        <v>13492.52</v>
      </c>
      <c r="T39" s="6">
        <v>33727.43</v>
      </c>
      <c r="U39" s="52">
        <v>45078</v>
      </c>
      <c r="V39" s="55">
        <f t="shared" si="1"/>
        <v>71.395563770794823</v>
      </c>
      <c r="W39" s="55">
        <f t="shared" si="2"/>
        <v>102.25258137002164</v>
      </c>
      <c r="X39" s="55">
        <f t="shared" si="3"/>
        <v>92.166239848408367</v>
      </c>
      <c r="Y39" s="55">
        <f t="shared" si="4"/>
        <v>97.9485006609777</v>
      </c>
    </row>
    <row r="40" spans="1:25" x14ac:dyDescent="0.25">
      <c r="A40" t="s">
        <v>73</v>
      </c>
      <c r="B40" s="19">
        <f>B39/B13</f>
        <v>2.6217874630608824</v>
      </c>
      <c r="C40" t="s">
        <v>78</v>
      </c>
      <c r="F40" t="s">
        <v>48</v>
      </c>
      <c r="G40" s="15">
        <f>G39/B13</f>
        <v>40.212949640287768</v>
      </c>
      <c r="H40" t="s">
        <v>49</v>
      </c>
      <c r="L40" s="43" t="s">
        <v>99</v>
      </c>
      <c r="M40" s="44"/>
      <c r="P40" s="52">
        <v>45108</v>
      </c>
      <c r="Q40" s="6">
        <v>14.5</v>
      </c>
      <c r="R40" s="6">
        <v>4582.2299999999996</v>
      </c>
      <c r="S40" s="6">
        <v>14032.81</v>
      </c>
      <c r="T40" s="6">
        <v>35065.620000000003</v>
      </c>
      <c r="U40" s="52">
        <v>45108</v>
      </c>
      <c r="V40" s="55">
        <f t="shared" si="1"/>
        <v>67.005545286506461</v>
      </c>
      <c r="W40" s="55">
        <f t="shared" si="2"/>
        <v>105.28198624188367</v>
      </c>
      <c r="X40" s="55">
        <f t="shared" si="3"/>
        <v>95.856914216702535</v>
      </c>
      <c r="Y40" s="55">
        <f t="shared" si="4"/>
        <v>101.83476487083638</v>
      </c>
    </row>
    <row r="41" spans="1:25" x14ac:dyDescent="0.25">
      <c r="A41" t="s">
        <v>46</v>
      </c>
      <c r="B41" s="21">
        <f>(B40/B12)-1</f>
        <v>-0.88600924073648335</v>
      </c>
      <c r="C41" t="s">
        <v>47</v>
      </c>
      <c r="F41" t="s">
        <v>46</v>
      </c>
      <c r="G41" s="20">
        <f>(G40/B12)-1</f>
        <v>0.74838911479512027</v>
      </c>
      <c r="H41" t="s">
        <v>50</v>
      </c>
      <c r="L41" s="45" t="s">
        <v>41</v>
      </c>
      <c r="M41" s="46">
        <f>B40</f>
        <v>2.6217874630608824</v>
      </c>
      <c r="P41" s="52">
        <v>45139</v>
      </c>
      <c r="Q41" s="6">
        <v>14.05</v>
      </c>
      <c r="R41" s="6">
        <v>4515.7700000000004</v>
      </c>
      <c r="S41" s="6">
        <v>13590.65</v>
      </c>
      <c r="T41" s="6">
        <v>34837.71</v>
      </c>
      <c r="U41" s="52">
        <v>45139</v>
      </c>
      <c r="V41" s="55">
        <f t="shared" si="1"/>
        <v>64.926062846580407</v>
      </c>
      <c r="W41" s="55">
        <f t="shared" si="2"/>
        <v>103.75499156775436</v>
      </c>
      <c r="X41" s="55">
        <f t="shared" si="3"/>
        <v>92.836557410755816</v>
      </c>
      <c r="Y41" s="55">
        <f t="shared" si="4"/>
        <v>101.1728869042779</v>
      </c>
    </row>
    <row r="42" spans="1:25" x14ac:dyDescent="0.25">
      <c r="L42" s="45" t="s">
        <v>8</v>
      </c>
      <c r="M42" s="46">
        <f>B12</f>
        <v>23</v>
      </c>
      <c r="P42" s="52">
        <v>45170</v>
      </c>
      <c r="Q42" s="6">
        <v>15.23</v>
      </c>
      <c r="R42" s="6">
        <v>4320.0600000000004</v>
      </c>
      <c r="S42" s="6">
        <v>13211.81</v>
      </c>
      <c r="T42" s="6">
        <v>33507.5</v>
      </c>
      <c r="U42" s="52">
        <v>45170</v>
      </c>
      <c r="V42" s="55">
        <f t="shared" si="1"/>
        <v>70.378927911275412</v>
      </c>
      <c r="W42" s="55">
        <f t="shared" si="2"/>
        <v>99.258330001792146</v>
      </c>
      <c r="X42" s="55">
        <f t="shared" si="3"/>
        <v>90.248734060916718</v>
      </c>
      <c r="Y42" s="55">
        <f t="shared" si="4"/>
        <v>97.309797571226454</v>
      </c>
    </row>
    <row r="43" spans="1:25" x14ac:dyDescent="0.25">
      <c r="L43" s="45" t="s">
        <v>101</v>
      </c>
      <c r="M43" s="46">
        <f>(B40-B12)</f>
        <v>-20.378212536939117</v>
      </c>
      <c r="P43" s="52">
        <v>45200</v>
      </c>
      <c r="Q43" s="6">
        <v>15.38</v>
      </c>
      <c r="R43" s="6">
        <v>4117.37</v>
      </c>
      <c r="S43" s="6">
        <v>12643.01</v>
      </c>
      <c r="T43" s="6">
        <v>34061.32</v>
      </c>
      <c r="U43" s="52">
        <v>45200</v>
      </c>
      <c r="V43" s="55">
        <f t="shared" si="1"/>
        <v>71.072088724584106</v>
      </c>
      <c r="W43" s="55">
        <f t="shared" si="2"/>
        <v>94.601294935597863</v>
      </c>
      <c r="X43" s="55">
        <f t="shared" si="3"/>
        <v>86.363310342754758</v>
      </c>
      <c r="Y43" s="55">
        <f t="shared" si="4"/>
        <v>98.918157254607692</v>
      </c>
    </row>
    <row r="44" spans="1:25" x14ac:dyDescent="0.25">
      <c r="L44" s="45" t="s">
        <v>102</v>
      </c>
      <c r="M44" s="50">
        <f>((B40-B12)/(B12))</f>
        <v>-0.88600924073648335</v>
      </c>
      <c r="P44" s="52">
        <v>45231</v>
      </c>
      <c r="Q44" s="6">
        <v>15.9</v>
      </c>
      <c r="R44" s="6">
        <v>4559.34</v>
      </c>
      <c r="S44" s="6">
        <v>14250.85</v>
      </c>
      <c r="T44" s="6">
        <v>36245.5</v>
      </c>
      <c r="U44" s="52">
        <v>45231</v>
      </c>
      <c r="V44" s="55">
        <f t="shared" si="1"/>
        <v>73.47504621072089</v>
      </c>
      <c r="W44" s="55">
        <f t="shared" si="2"/>
        <v>104.75606225616565</v>
      </c>
      <c r="X44" s="55">
        <f t="shared" si="3"/>
        <v>97.346326641997962</v>
      </c>
      <c r="Y44" s="55">
        <f t="shared" si="4"/>
        <v>105.26127785922222</v>
      </c>
    </row>
    <row r="45" spans="1:25" x14ac:dyDescent="0.25">
      <c r="L45" s="48"/>
      <c r="M45" s="47"/>
      <c r="P45" s="52">
        <v>45261</v>
      </c>
      <c r="Q45" s="6">
        <v>16.52</v>
      </c>
      <c r="R45" s="6">
        <v>4769.83</v>
      </c>
      <c r="S45" s="6">
        <v>14992.97</v>
      </c>
      <c r="T45" s="6">
        <v>37689.54</v>
      </c>
      <c r="U45" s="52">
        <v>45261</v>
      </c>
      <c r="V45" s="55">
        <f t="shared" si="1"/>
        <v>76.340110905730128</v>
      </c>
      <c r="W45" s="55">
        <f t="shared" si="2"/>
        <v>109.59231126244732</v>
      </c>
      <c r="X45" s="55">
        <f t="shared" si="3"/>
        <v>102.41568432435091</v>
      </c>
      <c r="Y45" s="55">
        <f t="shared" si="4"/>
        <v>109.45494316056532</v>
      </c>
    </row>
    <row r="46" spans="1:25" x14ac:dyDescent="0.25">
      <c r="L46" s="48" t="s">
        <v>54</v>
      </c>
      <c r="M46" s="46"/>
      <c r="P46" s="52">
        <v>45292</v>
      </c>
      <c r="Q46" s="6">
        <v>16.670000000000002</v>
      </c>
      <c r="R46" s="6">
        <v>4958.6099999999997</v>
      </c>
      <c r="S46" s="6">
        <v>15628.95</v>
      </c>
      <c r="T46" s="6">
        <v>38109.43</v>
      </c>
      <c r="U46" s="52">
        <v>45292</v>
      </c>
      <c r="V46" s="55">
        <f t="shared" si="1"/>
        <v>77.033271719038822</v>
      </c>
      <c r="W46" s="55">
        <f t="shared" si="2"/>
        <v>113.92974813548574</v>
      </c>
      <c r="X46" s="55">
        <f t="shared" si="3"/>
        <v>106.76000882554051</v>
      </c>
      <c r="Y46" s="55">
        <f t="shared" si="4"/>
        <v>110.67435406565171</v>
      </c>
    </row>
    <row r="47" spans="1:25" x14ac:dyDescent="0.25">
      <c r="L47" s="45" t="s">
        <v>41</v>
      </c>
      <c r="M47" s="46">
        <f>B40</f>
        <v>2.6217874630608824</v>
      </c>
      <c r="P47" s="52">
        <v>45323</v>
      </c>
      <c r="Q47" s="6">
        <v>16.97</v>
      </c>
      <c r="R47" s="6">
        <v>5137.08</v>
      </c>
      <c r="S47" s="6">
        <v>16274.94</v>
      </c>
      <c r="T47" s="6">
        <v>39087.379999999997</v>
      </c>
      <c r="U47" s="52">
        <v>45323</v>
      </c>
      <c r="V47" s="55">
        <f t="shared" si="1"/>
        <v>78.419593345656182</v>
      </c>
      <c r="W47" s="55">
        <f t="shared" si="2"/>
        <v>118.03030094156246</v>
      </c>
      <c r="X47" s="55">
        <f t="shared" si="3"/>
        <v>111.17271077296571</v>
      </c>
      <c r="Y47" s="55">
        <f t="shared" si="4"/>
        <v>113.51443812249811</v>
      </c>
    </row>
    <row r="48" spans="1:25" x14ac:dyDescent="0.25">
      <c r="L48" s="45" t="s">
        <v>31</v>
      </c>
      <c r="M48" s="46">
        <f>G40</f>
        <v>40.212949640287768</v>
      </c>
      <c r="P48" s="52">
        <v>45352</v>
      </c>
      <c r="Q48" s="6">
        <v>16.98</v>
      </c>
      <c r="R48" s="6">
        <v>5234.18</v>
      </c>
      <c r="S48" s="6">
        <v>16428.82</v>
      </c>
      <c r="T48" s="6">
        <v>39807.370000000003</v>
      </c>
      <c r="U48" s="52">
        <v>45352</v>
      </c>
      <c r="V48" s="55">
        <f t="shared" si="1"/>
        <v>78.465804066543441</v>
      </c>
      <c r="W48" s="55">
        <f t="shared" si="2"/>
        <v>120.26128473418898</v>
      </c>
      <c r="X48" s="55">
        <f t="shared" si="3"/>
        <v>112.22385177463723</v>
      </c>
      <c r="Y48" s="55">
        <f t="shared" si="4"/>
        <v>115.60537540977134</v>
      </c>
    </row>
    <row r="49" spans="12:25" x14ac:dyDescent="0.25">
      <c r="L49" s="45" t="s">
        <v>101</v>
      </c>
      <c r="M49" s="46">
        <f>-(G40-B40)</f>
        <v>-37.591162177226884</v>
      </c>
      <c r="P49" s="52">
        <v>45383</v>
      </c>
      <c r="Q49" s="6">
        <v>16.510000000000002</v>
      </c>
      <c r="R49" s="6">
        <v>4967.2299999999996</v>
      </c>
      <c r="S49" s="6">
        <v>15282.01</v>
      </c>
      <c r="T49" s="6">
        <v>37986.400000000001</v>
      </c>
      <c r="U49" s="52">
        <v>45383</v>
      </c>
      <c r="V49" s="55">
        <f t="shared" si="1"/>
        <v>76.293900184842883</v>
      </c>
      <c r="W49" s="55">
        <f t="shared" si="2"/>
        <v>114.12780251542847</v>
      </c>
      <c r="X49" s="55">
        <f t="shared" si="3"/>
        <v>104.39009162304561</v>
      </c>
      <c r="Y49" s="55">
        <f t="shared" si="4"/>
        <v>110.31706019427403</v>
      </c>
    </row>
    <row r="50" spans="12:25" x14ac:dyDescent="0.25">
      <c r="L50" s="49" t="s">
        <v>102</v>
      </c>
      <c r="M50" s="51">
        <f>((B40-G40)/(G40))</f>
        <v>-0.93480240851483776</v>
      </c>
      <c r="P50" s="52">
        <v>45413</v>
      </c>
      <c r="Q50" s="6">
        <v>17.399999999999999</v>
      </c>
      <c r="R50" s="6">
        <v>5277.51</v>
      </c>
      <c r="S50" s="6">
        <v>16735.02</v>
      </c>
      <c r="T50" s="6">
        <v>38686.32</v>
      </c>
      <c r="U50" s="52">
        <v>45413</v>
      </c>
      <c r="V50" s="55">
        <f t="shared" si="1"/>
        <v>80.406654343807759</v>
      </c>
      <c r="W50" s="55">
        <f t="shared" si="2"/>
        <v>121.25684114752065</v>
      </c>
      <c r="X50" s="55">
        <f t="shared" si="3"/>
        <v>114.31547755259292</v>
      </c>
      <c r="Y50" s="55">
        <f t="shared" si="4"/>
        <v>112.34971179514106</v>
      </c>
    </row>
    <row r="51" spans="12:25" x14ac:dyDescent="0.25">
      <c r="P51" s="52">
        <v>45444</v>
      </c>
      <c r="Q51" s="6">
        <v>18.399999999999999</v>
      </c>
      <c r="R51" s="6">
        <v>5464.62</v>
      </c>
      <c r="S51" s="6">
        <v>17689.36</v>
      </c>
      <c r="T51" s="6">
        <v>39150.33</v>
      </c>
      <c r="U51" s="52">
        <v>45444</v>
      </c>
      <c r="V51" s="55">
        <f t="shared" si="1"/>
        <v>85.027726432532333</v>
      </c>
      <c r="W51" s="55">
        <f t="shared" si="2"/>
        <v>125.55590785646342</v>
      </c>
      <c r="X51" s="55">
        <f t="shared" si="3"/>
        <v>120.83449174244996</v>
      </c>
      <c r="Y51" s="55">
        <f t="shared" si="4"/>
        <v>113.69725247024441</v>
      </c>
    </row>
    <row r="52" spans="12:25" x14ac:dyDescent="0.25">
      <c r="P52" s="52">
        <v>45474</v>
      </c>
      <c r="Q52" s="6">
        <v>19.010000000000002</v>
      </c>
      <c r="R52" s="6">
        <v>5459.1</v>
      </c>
      <c r="S52" s="6">
        <v>17357.88</v>
      </c>
      <c r="T52" s="6">
        <v>40287.53</v>
      </c>
      <c r="U52" s="52">
        <v>45474</v>
      </c>
      <c r="V52" s="55">
        <f t="shared" si="1"/>
        <v>87.846580406654354</v>
      </c>
      <c r="W52" s="55">
        <f t="shared" si="2"/>
        <v>125.42907952963233</v>
      </c>
      <c r="X52" s="55">
        <f t="shared" si="3"/>
        <v>118.5701804659093</v>
      </c>
      <c r="Y52" s="55">
        <f t="shared" si="4"/>
        <v>116.99981762127025</v>
      </c>
    </row>
    <row r="53" spans="12:25" x14ac:dyDescent="0.25">
      <c r="P53" s="52">
        <v>45505</v>
      </c>
      <c r="Q53" s="6">
        <v>19.73</v>
      </c>
      <c r="R53" s="6">
        <v>5648.4</v>
      </c>
      <c r="S53" s="6">
        <v>17877.79</v>
      </c>
      <c r="T53" s="6">
        <v>41175.08</v>
      </c>
      <c r="U53" s="52">
        <v>45505</v>
      </c>
      <c r="V53" s="55">
        <f t="shared" si="1"/>
        <v>91.173752310536045</v>
      </c>
      <c r="W53" s="55">
        <f t="shared" si="2"/>
        <v>129.77846399867656</v>
      </c>
      <c r="X53" s="55">
        <f t="shared" si="3"/>
        <v>122.12164081279677</v>
      </c>
      <c r="Y53" s="55">
        <f t="shared" si="4"/>
        <v>119.57736923909737</v>
      </c>
    </row>
    <row r="54" spans="12:25" x14ac:dyDescent="0.25">
      <c r="P54" s="52">
        <v>45536</v>
      </c>
      <c r="Q54" s="6">
        <v>21.54</v>
      </c>
      <c r="R54" s="6">
        <v>5751.07</v>
      </c>
      <c r="S54" s="6">
        <v>18137.849999999999</v>
      </c>
      <c r="T54" s="6">
        <v>42313</v>
      </c>
      <c r="U54" s="52">
        <v>45536</v>
      </c>
      <c r="V54" s="55">
        <f t="shared" si="1"/>
        <v>99.537892791127533</v>
      </c>
      <c r="W54" s="55">
        <f t="shared" si="2"/>
        <v>132.13742492544242</v>
      </c>
      <c r="X54" s="55">
        <f t="shared" si="3"/>
        <v>123.89808823218003</v>
      </c>
      <c r="Y54" s="55">
        <f t="shared" si="4"/>
        <v>122.88202535645169</v>
      </c>
    </row>
    <row r="55" spans="12:25" x14ac:dyDescent="0.25">
      <c r="P55" s="52">
        <v>45566</v>
      </c>
      <c r="Q55" s="6">
        <v>21.85</v>
      </c>
      <c r="R55" s="6">
        <v>5728.8</v>
      </c>
      <c r="S55" s="6">
        <v>18518.61</v>
      </c>
      <c r="T55" s="6">
        <v>42052.19</v>
      </c>
      <c r="U55" s="52">
        <v>45566</v>
      </c>
      <c r="V55" s="55">
        <f t="shared" si="1"/>
        <v>100.97042513863217</v>
      </c>
      <c r="W55" s="55">
        <f t="shared" si="2"/>
        <v>131.62574615034671</v>
      </c>
      <c r="X55" s="55">
        <f t="shared" si="3"/>
        <v>126.49902693634203</v>
      </c>
      <c r="Y55" s="55">
        <f t="shared" si="4"/>
        <v>122.12460184516164</v>
      </c>
    </row>
    <row r="56" spans="12:25" x14ac:dyDescent="0.25">
      <c r="P56" s="52">
        <v>45597</v>
      </c>
      <c r="Q56" s="6">
        <v>23.18</v>
      </c>
      <c r="R56" s="6">
        <v>5969.34</v>
      </c>
      <c r="S56" s="6">
        <v>19003.650000000001</v>
      </c>
      <c r="T56" s="6">
        <v>44296.51</v>
      </c>
      <c r="U56" s="52">
        <v>45597</v>
      </c>
      <c r="V56" s="55">
        <f t="shared" si="1"/>
        <v>107.11645101663585</v>
      </c>
      <c r="W56" s="55">
        <f t="shared" si="2"/>
        <v>137.15242834888818</v>
      </c>
      <c r="X56" s="55">
        <f t="shared" si="3"/>
        <v>129.81229332216708</v>
      </c>
      <c r="Y56" s="55">
        <f t="shared" si="4"/>
        <v>128.64237622060162</v>
      </c>
    </row>
    <row r="57" spans="12:25" x14ac:dyDescent="0.25">
      <c r="P57" s="52">
        <v>45627</v>
      </c>
      <c r="Q57" s="6">
        <v>22.75</v>
      </c>
      <c r="R57" s="6">
        <v>5942.47</v>
      </c>
      <c r="S57" s="6">
        <v>19722.03</v>
      </c>
      <c r="T57" s="6">
        <v>42840.26</v>
      </c>
      <c r="U57" s="52">
        <v>45627</v>
      </c>
      <c r="V57" s="55">
        <f t="shared" si="1"/>
        <v>105.12939001848429</v>
      </c>
      <c r="W57" s="55">
        <f t="shared" si="2"/>
        <v>136.53505930143325</v>
      </c>
      <c r="X57" s="55">
        <f t="shared" si="3"/>
        <v>134.71948511304822</v>
      </c>
      <c r="Y57" s="55">
        <f t="shared" si="4"/>
        <v>124.41325161527151</v>
      </c>
    </row>
    <row r="58" spans="12:25" x14ac:dyDescent="0.25">
      <c r="P58" s="52">
        <v>45658</v>
      </c>
      <c r="Q58" s="6">
        <v>22.72</v>
      </c>
      <c r="R58" s="6">
        <v>6040.53</v>
      </c>
      <c r="S58" s="6">
        <v>19627.439999999999</v>
      </c>
      <c r="T58" s="6">
        <v>44424.25</v>
      </c>
      <c r="U58" s="52">
        <v>45658</v>
      </c>
      <c r="V58" s="55">
        <f t="shared" si="1"/>
        <v>104.99075785582255</v>
      </c>
      <c r="W58" s="55">
        <f t="shared" si="2"/>
        <v>138.78810019437819</v>
      </c>
      <c r="X58" s="55">
        <f t="shared" si="3"/>
        <v>134.07334898523359</v>
      </c>
      <c r="Y58" s="55">
        <f t="shared" si="4"/>
        <v>129.01334849671139</v>
      </c>
    </row>
    <row r="59" spans="12:25" x14ac:dyDescent="0.25">
      <c r="P59" s="52">
        <v>45689</v>
      </c>
      <c r="Q59" s="6">
        <v>26.62</v>
      </c>
      <c r="R59" s="6">
        <v>5954.5</v>
      </c>
      <c r="S59" s="6">
        <v>19524.009999999998</v>
      </c>
      <c r="T59" s="6">
        <v>43840.91</v>
      </c>
      <c r="U59" s="52">
        <v>45689</v>
      </c>
      <c r="V59" s="55">
        <f t="shared" si="1"/>
        <v>123.01293900184842</v>
      </c>
      <c r="W59" s="55">
        <f t="shared" si="2"/>
        <v>136.81146233979882</v>
      </c>
      <c r="X59" s="55">
        <f t="shared" si="3"/>
        <v>133.36682758022397</v>
      </c>
      <c r="Y59" s="55">
        <f t="shared" si="4"/>
        <v>127.31925919386281</v>
      </c>
    </row>
    <row r="60" spans="12:25" x14ac:dyDescent="0.25">
      <c r="P60" s="52">
        <v>45717</v>
      </c>
      <c r="Q60" s="6">
        <v>27.02</v>
      </c>
      <c r="R60" s="6">
        <v>5074.08</v>
      </c>
      <c r="S60" s="6">
        <v>15587.79</v>
      </c>
      <c r="T60" s="6">
        <v>38314.86</v>
      </c>
      <c r="U60" s="52">
        <v>45717</v>
      </c>
      <c r="V60" s="55">
        <f t="shared" si="1"/>
        <v>124.86136783733825</v>
      </c>
      <c r="W60" s="55">
        <f t="shared" si="2"/>
        <v>116.58280373316423</v>
      </c>
      <c r="X60" s="55">
        <f t="shared" si="3"/>
        <v>106.47884841724316</v>
      </c>
      <c r="Y60" s="55">
        <f t="shared" si="4"/>
        <v>111.27094741684344</v>
      </c>
    </row>
    <row r="61" spans="12:25" x14ac:dyDescent="0.25">
      <c r="P61" s="52">
        <v>45748</v>
      </c>
      <c r="Q61" s="6">
        <v>27.15</v>
      </c>
      <c r="R61" s="6">
        <v>5282.7</v>
      </c>
      <c r="S61" s="6">
        <v>16286.45</v>
      </c>
      <c r="T61" s="6">
        <v>39142.230000000003</v>
      </c>
      <c r="U61" s="52">
        <v>45748</v>
      </c>
      <c r="V61" s="55">
        <f t="shared" si="1"/>
        <v>125.46210720887245</v>
      </c>
      <c r="W61" s="55">
        <f t="shared" si="2"/>
        <v>121.37608734611725</v>
      </c>
      <c r="X61" s="55">
        <f t="shared" si="3"/>
        <v>111.25133458976606</v>
      </c>
      <c r="Y61" s="55">
        <f t="shared" si="4"/>
        <v>113.6737290990491</v>
      </c>
    </row>
    <row r="62" spans="12:25" x14ac:dyDescent="0.25">
      <c r="P62" s="52">
        <v>45778</v>
      </c>
      <c r="Q62" s="6">
        <v>27.72</v>
      </c>
      <c r="R62" s="6">
        <v>5802.82</v>
      </c>
      <c r="S62" s="6">
        <v>19113.77</v>
      </c>
      <c r="T62" s="6">
        <v>41603.07</v>
      </c>
      <c r="U62" s="52">
        <v>45778</v>
      </c>
      <c r="V62" s="55">
        <f t="shared" si="1"/>
        <v>128.09611829944546</v>
      </c>
      <c r="W62" s="55">
        <f t="shared" si="2"/>
        <v>133.32644048948382</v>
      </c>
      <c r="X62" s="55">
        <f t="shared" si="3"/>
        <v>130.56451353989561</v>
      </c>
      <c r="Y62" s="55">
        <f t="shared" si="4"/>
        <v>120.82030351537907</v>
      </c>
    </row>
    <row r="63" spans="12:25" x14ac:dyDescent="0.25">
      <c r="P63" s="52">
        <v>45809</v>
      </c>
      <c r="Q63" s="6">
        <v>28.19</v>
      </c>
      <c r="R63" s="6">
        <v>6279.35</v>
      </c>
      <c r="S63" s="6">
        <v>19447.41</v>
      </c>
      <c r="T63" s="6">
        <v>42206.82</v>
      </c>
      <c r="U63" s="52">
        <v>45809</v>
      </c>
      <c r="V63" s="55">
        <f t="shared" si="1"/>
        <v>130.26802218114602</v>
      </c>
      <c r="W63" s="55">
        <f t="shared" si="2"/>
        <v>144.27526342151577</v>
      </c>
      <c r="X63" s="55">
        <f t="shared" si="3"/>
        <v>132.84357959004956</v>
      </c>
      <c r="Y63" s="55">
        <f t="shared" si="4"/>
        <v>122.57366590540005</v>
      </c>
    </row>
    <row r="64" spans="12:25" x14ac:dyDescent="0.25">
      <c r="P64" s="52">
        <v>45839</v>
      </c>
      <c r="Q64" s="6">
        <v>28</v>
      </c>
      <c r="R64" s="6">
        <v>6238.01</v>
      </c>
      <c r="S64" s="6">
        <v>20650.13</v>
      </c>
      <c r="T64" s="6">
        <v>44901.919999999998</v>
      </c>
      <c r="U64" s="52">
        <v>45839</v>
      </c>
      <c r="V64" s="55">
        <f t="shared" si="1"/>
        <v>129.39001848428836</v>
      </c>
      <c r="W64" s="55">
        <f t="shared" si="2"/>
        <v>143.32542953905255</v>
      </c>
      <c r="X64" s="55">
        <f t="shared" si="3"/>
        <v>141.05925612715885</v>
      </c>
      <c r="Y64" s="55">
        <f t="shared" si="4"/>
        <v>130.40055944965766</v>
      </c>
    </row>
    <row r="65" spans="16:25" x14ac:dyDescent="0.25">
      <c r="P65" s="52">
        <v>45870</v>
      </c>
      <c r="Q65" s="6">
        <v>28.77</v>
      </c>
      <c r="R65" s="6">
        <v>6460.26</v>
      </c>
      <c r="S65" s="6">
        <v>21496.54</v>
      </c>
      <c r="T65" s="6">
        <v>45544.88</v>
      </c>
      <c r="U65" s="52">
        <v>45870</v>
      </c>
      <c r="V65" s="55">
        <f t="shared" si="1"/>
        <v>132.94824399260628</v>
      </c>
      <c r="W65" s="55">
        <f t="shared" si="2"/>
        <v>148.43187802423523</v>
      </c>
      <c r="X65" s="55">
        <f t="shared" si="3"/>
        <v>146.84100980031192</v>
      </c>
      <c r="Y65" s="55">
        <f t="shared" si="4"/>
        <v>132.26779238098337</v>
      </c>
    </row>
    <row r="66" spans="16:25" x14ac:dyDescent="0.25">
      <c r="P66" s="52">
        <v>45901</v>
      </c>
      <c r="Q66" s="6">
        <v>29.01</v>
      </c>
      <c r="R66" s="6">
        <v>6715.79</v>
      </c>
      <c r="S66" s="6">
        <v>22780.51</v>
      </c>
      <c r="T66" s="6">
        <v>46758.28</v>
      </c>
      <c r="U66" s="52">
        <v>45901</v>
      </c>
      <c r="V66" s="55">
        <f t="shared" si="1"/>
        <v>134.0573012939002</v>
      </c>
      <c r="W66" s="55">
        <f t="shared" si="2"/>
        <v>154.30297265379082</v>
      </c>
      <c r="X66" s="55">
        <f t="shared" si="3"/>
        <v>155.61169807634639</v>
      </c>
      <c r="Y66" s="55">
        <f t="shared" si="4"/>
        <v>135.7916514684392</v>
      </c>
    </row>
    <row r="67" spans="16:25" x14ac:dyDescent="0.25">
      <c r="P67" s="52">
        <v>45931</v>
      </c>
      <c r="Q67" s="6">
        <v>26.34</v>
      </c>
      <c r="R67" s="6">
        <v>6840.2</v>
      </c>
      <c r="S67" s="6">
        <v>23204.87</v>
      </c>
      <c r="T67" s="6">
        <v>47207.12</v>
      </c>
      <c r="U67" s="52">
        <v>45931</v>
      </c>
      <c r="V67" s="55">
        <f t="shared" si="1"/>
        <v>121.71903881700554</v>
      </c>
      <c r="W67" s="55">
        <f t="shared" si="2"/>
        <v>157.16143499818486</v>
      </c>
      <c r="X67" s="55">
        <f t="shared" si="3"/>
        <v>158.5104646182578</v>
      </c>
      <c r="Y67" s="55">
        <f t="shared" si="4"/>
        <v>137.09513664464959</v>
      </c>
    </row>
    <row r="68" spans="16:25" x14ac:dyDescent="0.25">
      <c r="P68" s="52">
        <v>45962</v>
      </c>
      <c r="Q68" s="6">
        <v>25.59</v>
      </c>
      <c r="R68" s="6">
        <v>6849.09</v>
      </c>
      <c r="S68" s="6">
        <v>23365.69</v>
      </c>
      <c r="T68" s="6">
        <v>46245.41</v>
      </c>
      <c r="U68" s="52">
        <v>45962</v>
      </c>
      <c r="V68" s="55">
        <f t="shared" si="1"/>
        <v>118.2532347504621</v>
      </c>
      <c r="W68" s="55">
        <f t="shared" si="2"/>
        <v>157.3656929375922</v>
      </c>
      <c r="X68" s="55">
        <f t="shared" si="3"/>
        <v>159.60901216107567</v>
      </c>
      <c r="Y68" s="55">
        <f t="shared" si="4"/>
        <v>134.30221549498984</v>
      </c>
    </row>
    <row r="69" spans="16:25" x14ac:dyDescent="0.25">
      <c r="P69" s="52">
        <v>45992</v>
      </c>
      <c r="Q69" s="6">
        <v>24.15</v>
      </c>
      <c r="R69" s="6">
        <v>6929.94</v>
      </c>
      <c r="S69" s="6">
        <v>23593.1</v>
      </c>
      <c r="T69" s="6">
        <v>48134.89</v>
      </c>
      <c r="U69" s="52">
        <v>45992</v>
      </c>
      <c r="V69" s="55">
        <f t="shared" si="1"/>
        <v>111.5988909426987</v>
      </c>
      <c r="W69" s="55">
        <f t="shared" si="2"/>
        <v>159.22331435503659</v>
      </c>
      <c r="X69" s="55">
        <f t="shared" si="3"/>
        <v>161.16243024783236</v>
      </c>
      <c r="Y69" s="55">
        <f t="shared" si="4"/>
        <v>139.78949196488105</v>
      </c>
    </row>
    <row r="70" spans="16:25" x14ac:dyDescent="0.25">
      <c r="P70" s="52">
        <v>46023</v>
      </c>
      <c r="Q70" s="6">
        <v>23.49</v>
      </c>
      <c r="R70" s="6">
        <v>6939.03</v>
      </c>
      <c r="S70" s="6">
        <v>23461.82</v>
      </c>
      <c r="T70" s="6">
        <v>49098.71</v>
      </c>
      <c r="U70" s="52">
        <v>46023</v>
      </c>
      <c r="V70" s="55">
        <f t="shared" si="1"/>
        <v>108.54898336414047</v>
      </c>
      <c r="W70" s="55">
        <f t="shared" si="2"/>
        <v>159.4321675236769</v>
      </c>
      <c r="X70" s="55">
        <f t="shared" si="3"/>
        <v>160.26566789600344</v>
      </c>
      <c r="Y70" s="55">
        <f t="shared" si="4"/>
        <v>142.58854080753122</v>
      </c>
    </row>
    <row r="71" spans="16:25" x14ac:dyDescent="0.25">
      <c r="P71" s="52">
        <v>46054</v>
      </c>
      <c r="Q71" s="6">
        <v>28.69</v>
      </c>
      <c r="R71" s="6">
        <v>6909.51</v>
      </c>
      <c r="S71" s="6">
        <v>22668.21</v>
      </c>
      <c r="T71" s="6">
        <v>48977.919999999998</v>
      </c>
      <c r="U71" s="52">
        <v>46054</v>
      </c>
      <c r="V71" s="55">
        <f t="shared" si="1"/>
        <v>132.57855822550832</v>
      </c>
      <c r="W71" s="55">
        <f t="shared" si="2"/>
        <v>158.75391168888459</v>
      </c>
      <c r="X71" s="55">
        <f t="shared" si="3"/>
        <v>154.84458646673036</v>
      </c>
      <c r="Y71" s="55">
        <f t="shared" si="4"/>
        <v>142.23775216473098</v>
      </c>
    </row>
    <row r="72" spans="16:25" x14ac:dyDescent="0.25">
      <c r="P72" s="52">
        <v>46082</v>
      </c>
      <c r="Q72" s="6">
        <v>28.31</v>
      </c>
      <c r="R72" s="6">
        <v>6368.85</v>
      </c>
      <c r="S72" s="6">
        <v>20948.36</v>
      </c>
      <c r="T72" s="6">
        <v>45577.47</v>
      </c>
      <c r="U72" s="52">
        <v>46082</v>
      </c>
      <c r="V72" s="55">
        <f t="shared" si="1"/>
        <v>130.82255083179297</v>
      </c>
      <c r="W72" s="55">
        <f t="shared" si="2"/>
        <v>146.3316285032879</v>
      </c>
      <c r="X72" s="55">
        <f t="shared" si="3"/>
        <v>143.09643952284702</v>
      </c>
      <c r="Y72" s="55">
        <f t="shared" si="4"/>
        <v>132.36243764854575</v>
      </c>
    </row>
    <row r="73" spans="16:25" x14ac:dyDescent="0.25">
      <c r="P73" s="52">
        <v>46113</v>
      </c>
      <c r="Q73" s="6">
        <v>26.51</v>
      </c>
      <c r="R73" s="6">
        <v>7123.06</v>
      </c>
      <c r="S73" s="6">
        <v>24468.48</v>
      </c>
      <c r="T73" s="6">
        <v>49447.43</v>
      </c>
      <c r="U73" s="52">
        <v>46113</v>
      </c>
      <c r="V73" s="55">
        <f t="shared" si="1"/>
        <v>122.50462107208872</v>
      </c>
      <c r="W73" s="55">
        <f t="shared" si="2"/>
        <v>163.66046770243133</v>
      </c>
      <c r="X73" s="55">
        <f t="shared" si="3"/>
        <v>167.14207549115977</v>
      </c>
      <c r="Y73" s="55">
        <f t="shared" si="4"/>
        <v>143.60126549928793</v>
      </c>
    </row>
    <row r="74" spans="16:25" x14ac:dyDescent="0.25">
      <c r="P74" s="52">
        <v>46143</v>
      </c>
      <c r="Q74" s="6">
        <v>24.03</v>
      </c>
      <c r="R74" s="6">
        <v>7473.47</v>
      </c>
      <c r="S74" s="6">
        <v>26343.97</v>
      </c>
      <c r="T74" s="6">
        <v>50579.7</v>
      </c>
      <c r="U74" s="52">
        <v>46143</v>
      </c>
      <c r="V74" s="55">
        <f t="shared" si="1"/>
        <v>111.04436229205177</v>
      </c>
      <c r="W74" s="55">
        <f t="shared" si="2"/>
        <v>171.71153908012701</v>
      </c>
      <c r="X74" s="55">
        <f t="shared" si="3"/>
        <v>179.95338584484401</v>
      </c>
      <c r="Y74" s="55">
        <f t="shared" si="4"/>
        <v>146.88951333920352</v>
      </c>
    </row>
    <row r="75" spans="16:25" x14ac:dyDescent="0.25">
      <c r="P75" s="52">
        <v>46174</v>
      </c>
      <c r="Q75" s="56">
        <v>23.51</v>
      </c>
      <c r="R75" s="6">
        <v>7425.29</v>
      </c>
      <c r="S75" s="6">
        <v>25883.49</v>
      </c>
      <c r="T75" s="6">
        <v>51200.15</v>
      </c>
      <c r="U75" s="52">
        <v>46174</v>
      </c>
      <c r="V75" s="55">
        <f t="shared" si="1"/>
        <v>108.64140480591497</v>
      </c>
      <c r="W75" s="55">
        <f t="shared" si="2"/>
        <v>170.60454835789483</v>
      </c>
      <c r="X75" s="55">
        <f t="shared" si="3"/>
        <v>176.80788669973288</v>
      </c>
      <c r="Y75" s="55">
        <f t="shared" si="4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8468-E016-4135-A06C-C293F5EA2842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7" customFormat="1" ht="33.75" x14ac:dyDescent="0.5">
      <c r="A1" s="26" t="s">
        <v>0</v>
      </c>
    </row>
    <row r="3" spans="1:26" s="1" customFormat="1" ht="21" x14ac:dyDescent="0.35">
      <c r="A3" s="2" t="s">
        <v>63</v>
      </c>
    </row>
    <row r="5" spans="1:26" x14ac:dyDescent="0.25">
      <c r="A5" s="35" t="s">
        <v>1</v>
      </c>
      <c r="B5" s="36"/>
      <c r="C5" s="37"/>
      <c r="P5" t="s">
        <v>58</v>
      </c>
    </row>
    <row r="6" spans="1:26" x14ac:dyDescent="0.25">
      <c r="A6" s="38" t="s">
        <v>2</v>
      </c>
      <c r="B6" s="29">
        <v>0.2</v>
      </c>
      <c r="C6" s="39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38" t="s">
        <v>3</v>
      </c>
      <c r="B7" s="30">
        <v>4.4299999999999999E-2</v>
      </c>
      <c r="C7" s="39"/>
      <c r="P7">
        <v>2026</v>
      </c>
      <c r="Q7" s="25">
        <f>D28</f>
        <v>21226400000</v>
      </c>
      <c r="R7" s="25"/>
      <c r="S7" t="s">
        <v>41</v>
      </c>
      <c r="T7" s="15">
        <f>B40</f>
        <v>68.158567461129493</v>
      </c>
    </row>
    <row r="8" spans="1:26" x14ac:dyDescent="0.25">
      <c r="A8" s="38" t="s">
        <v>4</v>
      </c>
      <c r="B8" s="30">
        <v>0.02</v>
      </c>
      <c r="C8" s="39"/>
      <c r="P8">
        <v>2027</v>
      </c>
      <c r="Q8" s="25">
        <f>E28</f>
        <v>23349040000</v>
      </c>
      <c r="R8" s="25"/>
      <c r="S8" t="s">
        <v>55</v>
      </c>
      <c r="T8" s="15">
        <v>45.16</v>
      </c>
    </row>
    <row r="9" spans="1:26" x14ac:dyDescent="0.25">
      <c r="A9" s="38" t="s">
        <v>5</v>
      </c>
      <c r="B9" s="31" t="s">
        <v>95</v>
      </c>
      <c r="C9" s="39"/>
      <c r="P9">
        <v>2028</v>
      </c>
      <c r="Q9" s="25">
        <f>F28</f>
        <v>25917434400</v>
      </c>
      <c r="R9" s="25"/>
      <c r="S9" t="s">
        <v>8</v>
      </c>
      <c r="T9" s="15">
        <f>B12</f>
        <v>23</v>
      </c>
    </row>
    <row r="10" spans="1:26" x14ac:dyDescent="0.25">
      <c r="A10" s="38" t="s">
        <v>6</v>
      </c>
      <c r="B10" s="32">
        <v>46185</v>
      </c>
      <c r="C10" s="39"/>
      <c r="P10">
        <v>2029</v>
      </c>
      <c r="Q10" s="25">
        <f>G28</f>
        <v>27731654808</v>
      </c>
      <c r="R10" s="25"/>
    </row>
    <row r="11" spans="1:26" x14ac:dyDescent="0.25">
      <c r="A11" s="38" t="s">
        <v>7</v>
      </c>
      <c r="B11" s="32">
        <v>46387</v>
      </c>
      <c r="C11" s="39"/>
      <c r="P11">
        <v>2030</v>
      </c>
      <c r="Q11" s="25">
        <f>H28</f>
        <v>31059453384.960007</v>
      </c>
      <c r="R11" s="25"/>
    </row>
    <row r="12" spans="1:26" x14ac:dyDescent="0.25">
      <c r="A12" s="38" t="s">
        <v>8</v>
      </c>
      <c r="B12" s="33">
        <v>23</v>
      </c>
      <c r="C12" s="39" t="s">
        <v>84</v>
      </c>
      <c r="P12">
        <v>2031</v>
      </c>
      <c r="Q12" s="25">
        <f>I28</f>
        <v>32923020588.05761</v>
      </c>
      <c r="R12" s="25"/>
    </row>
    <row r="13" spans="1:26" x14ac:dyDescent="0.25">
      <c r="A13" s="38" t="s">
        <v>9</v>
      </c>
      <c r="B13" s="34">
        <v>6950000000</v>
      </c>
      <c r="C13" s="39"/>
    </row>
    <row r="14" spans="1:26" x14ac:dyDescent="0.25">
      <c r="A14" s="38" t="s">
        <v>10</v>
      </c>
      <c r="B14" s="33">
        <v>131590000000</v>
      </c>
      <c r="C14" s="39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86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38" t="s">
        <v>11</v>
      </c>
      <c r="B15" s="33">
        <v>11960000000</v>
      </c>
      <c r="C15" s="39"/>
      <c r="P15" s="52">
        <v>44348</v>
      </c>
      <c r="Q15" s="53">
        <v>21.64</v>
      </c>
      <c r="R15" s="6">
        <v>4352.34</v>
      </c>
      <c r="S15" s="6">
        <v>14639.33</v>
      </c>
      <c r="T15" s="6">
        <v>34433.839999999997</v>
      </c>
      <c r="U15" s="52">
        <v>44348</v>
      </c>
      <c r="V15" s="54">
        <f t="shared" ref="V15" si="0">(Q15/$Q$15)*100</f>
        <v>100</v>
      </c>
      <c r="W15" s="54">
        <f>(R15/$R$15)*100</f>
        <v>100</v>
      </c>
      <c r="X15" s="54">
        <f>(S15/$S$15)*100</f>
        <v>100</v>
      </c>
      <c r="Y15" s="54">
        <f>(T15/$T$15)*100</f>
        <v>100</v>
      </c>
      <c r="Z15" t="s">
        <v>69</v>
      </c>
    </row>
    <row r="16" spans="1:26" x14ac:dyDescent="0.25">
      <c r="A16" s="38" t="s">
        <v>12</v>
      </c>
      <c r="B16" s="33" t="s">
        <v>124</v>
      </c>
      <c r="C16" s="39"/>
      <c r="P16" s="52">
        <v>44378</v>
      </c>
      <c r="Q16" s="6">
        <v>21.4</v>
      </c>
      <c r="R16" s="6">
        <v>4395.26</v>
      </c>
      <c r="S16" s="6">
        <v>14672.68</v>
      </c>
      <c r="T16" s="6">
        <v>35061.550000000003</v>
      </c>
      <c r="U16" s="52">
        <v>44378</v>
      </c>
      <c r="V16" s="55">
        <f>(Q16/$Q$15)*100</f>
        <v>98.890942698706084</v>
      </c>
      <c r="W16" s="55">
        <f>(R16/$R$15)*100</f>
        <v>100.98613619340402</v>
      </c>
      <c r="X16" s="55">
        <f>(S16/$S$15)*100</f>
        <v>100.22781097222347</v>
      </c>
      <c r="Y16" s="55">
        <f>(T16/$T$15)*100</f>
        <v>101.82294510284071</v>
      </c>
      <c r="Z16" t="s">
        <v>75</v>
      </c>
    </row>
    <row r="17" spans="1:25" x14ac:dyDescent="0.25">
      <c r="A17" s="40" t="s">
        <v>89</v>
      </c>
      <c r="B17" s="41"/>
      <c r="C17" s="42"/>
      <c r="P17" s="52">
        <v>44409</v>
      </c>
      <c r="Q17" s="6">
        <v>20.82</v>
      </c>
      <c r="R17" s="6">
        <v>4509.37</v>
      </c>
      <c r="S17" s="6">
        <v>14714.66</v>
      </c>
      <c r="T17" s="6">
        <v>35120.080000000002</v>
      </c>
      <c r="U17" s="52">
        <v>44409</v>
      </c>
      <c r="V17" s="55">
        <f>(Q17/$Q$15)*100</f>
        <v>96.210720887245841</v>
      </c>
      <c r="W17" s="55">
        <f>(R17/$R$15)*100</f>
        <v>103.60794423229802</v>
      </c>
      <c r="X17" s="55">
        <f>(S17/$S$15)*100</f>
        <v>100.5145727297629</v>
      </c>
      <c r="Y17" s="55">
        <f>(T17/$T$15)*100</f>
        <v>101.9929232406261</v>
      </c>
    </row>
    <row r="18" spans="1:25" x14ac:dyDescent="0.25">
      <c r="P18" s="52">
        <v>44440</v>
      </c>
      <c r="Q18" s="6">
        <v>20.49</v>
      </c>
      <c r="R18" s="6">
        <v>4455.4799999999996</v>
      </c>
      <c r="S18" s="6">
        <v>15047.7</v>
      </c>
      <c r="T18" s="6">
        <v>34326.46</v>
      </c>
      <c r="U18" s="52">
        <v>44440</v>
      </c>
      <c r="V18" s="55">
        <f t="shared" ref="V18:V75" si="1">(Q18/$Q$15)*100</f>
        <v>94.685767097966718</v>
      </c>
      <c r="W18" s="55">
        <f t="shared" ref="W18:W75" si="2">(R18/$R$15)*100</f>
        <v>102.36975971546339</v>
      </c>
      <c r="X18" s="55">
        <f t="shared" ref="X18:X75" si="3">(S18/$S$15)*100</f>
        <v>102.78954023169094</v>
      </c>
      <c r="Y18" s="55">
        <f t="shared" ref="Y18:Y75" si="4">(T18/$T$15)*100</f>
        <v>99.688155605067578</v>
      </c>
    </row>
    <row r="19" spans="1:25" x14ac:dyDescent="0.25">
      <c r="A19" s="10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2">
        <v>44470</v>
      </c>
      <c r="Q19" s="6">
        <v>19.25</v>
      </c>
      <c r="R19" s="6">
        <v>4544.8999999999996</v>
      </c>
      <c r="S19" s="6">
        <v>15498.39</v>
      </c>
      <c r="T19" s="6">
        <v>35677.019999999997</v>
      </c>
      <c r="U19" s="52">
        <v>44470</v>
      </c>
      <c r="V19" s="55">
        <f t="shared" si="1"/>
        <v>88.955637707948242</v>
      </c>
      <c r="W19" s="55">
        <f t="shared" si="2"/>
        <v>104.42428670554229</v>
      </c>
      <c r="X19" s="55">
        <f t="shared" si="3"/>
        <v>105.86816473158265</v>
      </c>
      <c r="Y19" s="55">
        <f t="shared" si="4"/>
        <v>103.61034377809737</v>
      </c>
    </row>
    <row r="20" spans="1:25" x14ac:dyDescent="0.25">
      <c r="A20" t="s">
        <v>16</v>
      </c>
      <c r="C20" s="7">
        <v>46185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2">
        <f>I28*(1+B8)/(B7-B8)</f>
        <v>1381953950609.8257</v>
      </c>
      <c r="P20" s="52">
        <v>44501</v>
      </c>
      <c r="Q20" s="6">
        <v>18.23</v>
      </c>
      <c r="R20" s="6">
        <v>4594.62</v>
      </c>
      <c r="S20" s="6">
        <v>15085.47</v>
      </c>
      <c r="T20" s="6">
        <v>34889.339999999997</v>
      </c>
      <c r="U20" s="52">
        <v>44501</v>
      </c>
      <c r="V20" s="55">
        <f t="shared" si="1"/>
        <v>84.242144177449163</v>
      </c>
      <c r="W20" s="55">
        <f t="shared" si="2"/>
        <v>105.56666069286867</v>
      </c>
      <c r="X20" s="55">
        <f t="shared" si="3"/>
        <v>103.04754384251191</v>
      </c>
      <c r="Y20" s="55">
        <f t="shared" si="4"/>
        <v>101.32282661474873</v>
      </c>
    </row>
    <row r="21" spans="1:25" x14ac:dyDescent="0.25">
      <c r="A21" t="s">
        <v>18</v>
      </c>
      <c r="B21" t="s">
        <v>72</v>
      </c>
      <c r="D21" s="5">
        <v>125600000000</v>
      </c>
      <c r="E21" s="5">
        <f>D21*1.1</f>
        <v>138160000000</v>
      </c>
      <c r="F21" s="5">
        <f>E21*1.11</f>
        <v>153357600000</v>
      </c>
      <c r="G21" s="5">
        <f>F21*1.07</f>
        <v>164092632000</v>
      </c>
      <c r="H21" s="5">
        <f>G21*1.12</f>
        <v>183783747840.00003</v>
      </c>
      <c r="I21" s="5">
        <f>H21*1.06</f>
        <v>194810772710.40005</v>
      </c>
      <c r="L21" t="s">
        <v>19</v>
      </c>
      <c r="M21" s="12">
        <f>(I22+I25)*6.5</f>
        <v>468519908368.51215</v>
      </c>
      <c r="P21" s="52">
        <v>44531</v>
      </c>
      <c r="Q21" s="6">
        <v>17.96</v>
      </c>
      <c r="R21" s="6">
        <v>4766.18</v>
      </c>
      <c r="S21" s="6">
        <v>15653.37</v>
      </c>
      <c r="T21" s="6">
        <v>35950.559999999998</v>
      </c>
      <c r="U21" s="52">
        <v>44531</v>
      </c>
      <c r="V21" s="55">
        <f t="shared" si="1"/>
        <v>82.994454713493539</v>
      </c>
      <c r="W21" s="55">
        <f t="shared" si="2"/>
        <v>109.50844832894488</v>
      </c>
      <c r="X21" s="55">
        <f t="shared" si="3"/>
        <v>106.92681973833503</v>
      </c>
      <c r="Y21" s="55">
        <f t="shared" si="4"/>
        <v>104.40473673572276</v>
      </c>
    </row>
    <row r="22" spans="1:25" x14ac:dyDescent="0.25">
      <c r="A22" t="s">
        <v>79</v>
      </c>
      <c r="B22" t="s">
        <v>128</v>
      </c>
      <c r="C22" s="24">
        <v>0.18</v>
      </c>
      <c r="D22" s="5">
        <f>D21*$C$22</f>
        <v>22608000000</v>
      </c>
      <c r="E22" s="5">
        <f t="shared" ref="E22:I22" si="5">E21*$C$22</f>
        <v>24868800000</v>
      </c>
      <c r="F22" s="5">
        <f t="shared" si="5"/>
        <v>27604368000</v>
      </c>
      <c r="G22" s="5">
        <f t="shared" si="5"/>
        <v>29536673760</v>
      </c>
      <c r="H22" s="5">
        <f t="shared" si="5"/>
        <v>33081074611.200005</v>
      </c>
      <c r="I22" s="5">
        <f t="shared" si="5"/>
        <v>35065939087.872009</v>
      </c>
      <c r="L22" t="s">
        <v>20</v>
      </c>
      <c r="M22" s="12">
        <f>(M20+M21)/2</f>
        <v>925236929489.16895</v>
      </c>
      <c r="P22" s="52">
        <v>44562</v>
      </c>
      <c r="Q22" s="6">
        <v>20.53</v>
      </c>
      <c r="R22" s="6">
        <v>4500.53</v>
      </c>
      <c r="S22" s="6">
        <v>13770.57</v>
      </c>
      <c r="T22" s="6">
        <v>34725.47</v>
      </c>
      <c r="U22" s="52">
        <v>44562</v>
      </c>
      <c r="V22" s="55">
        <f t="shared" si="1"/>
        <v>94.870609981515713</v>
      </c>
      <c r="W22" s="55">
        <f t="shared" si="2"/>
        <v>103.40483510019895</v>
      </c>
      <c r="X22" s="55">
        <f t="shared" si="3"/>
        <v>94.065575405431801</v>
      </c>
      <c r="Y22" s="55">
        <f t="shared" si="4"/>
        <v>100.84692848662829</v>
      </c>
    </row>
    <row r="23" spans="1:25" x14ac:dyDescent="0.25">
      <c r="A23" t="s">
        <v>21</v>
      </c>
      <c r="B23" t="s">
        <v>22</v>
      </c>
      <c r="C23" s="24"/>
      <c r="D23" s="5">
        <f>D22*$B$6</f>
        <v>4521600000</v>
      </c>
      <c r="E23" s="5">
        <f t="shared" ref="E23:I23" si="6">E22*$B$6</f>
        <v>4973760000</v>
      </c>
      <c r="F23" s="5">
        <f t="shared" si="6"/>
        <v>5520873600</v>
      </c>
      <c r="G23" s="5">
        <f t="shared" si="6"/>
        <v>5907334752</v>
      </c>
      <c r="H23" s="5">
        <f t="shared" si="6"/>
        <v>6616214922.2400017</v>
      </c>
      <c r="I23" s="5">
        <f t="shared" si="6"/>
        <v>7013187817.5744019</v>
      </c>
      <c r="P23" s="52">
        <v>44593</v>
      </c>
      <c r="Q23" s="6">
        <v>18.059999999999999</v>
      </c>
      <c r="R23" s="6">
        <v>4384.6499999999996</v>
      </c>
      <c r="S23" s="6">
        <v>13313.44</v>
      </c>
      <c r="T23" s="6">
        <v>34058.75</v>
      </c>
      <c r="U23" s="52">
        <v>44593</v>
      </c>
      <c r="V23" s="55">
        <f t="shared" si="1"/>
        <v>83.456561922365978</v>
      </c>
      <c r="W23" s="55">
        <f t="shared" si="2"/>
        <v>100.74235928259282</v>
      </c>
      <c r="X23" s="55">
        <f t="shared" si="3"/>
        <v>90.942959821248664</v>
      </c>
      <c r="Y23" s="55">
        <f t="shared" si="4"/>
        <v>98.910693666463004</v>
      </c>
    </row>
    <row r="24" spans="1:25" x14ac:dyDescent="0.25">
      <c r="A24" t="s">
        <v>23</v>
      </c>
      <c r="B24" t="s">
        <v>24</v>
      </c>
      <c r="C24" s="24"/>
      <c r="D24" s="5">
        <f>D22*(1-$B$6)</f>
        <v>18086400000</v>
      </c>
      <c r="E24" s="5">
        <f t="shared" ref="E24:I24" si="7">E22*(1-$B$6)</f>
        <v>19895040000</v>
      </c>
      <c r="F24" s="5">
        <f t="shared" si="7"/>
        <v>22083494400</v>
      </c>
      <c r="G24" s="5">
        <f t="shared" si="7"/>
        <v>23629339008</v>
      </c>
      <c r="H24" s="5">
        <f t="shared" si="7"/>
        <v>26464859688.960007</v>
      </c>
      <c r="I24" s="5">
        <f t="shared" si="7"/>
        <v>28052751270.297607</v>
      </c>
      <c r="P24" s="52">
        <v>44621</v>
      </c>
      <c r="Q24" s="6">
        <v>17.54</v>
      </c>
      <c r="R24" s="6">
        <v>4543.0600000000004</v>
      </c>
      <c r="S24" s="6">
        <v>14169.3</v>
      </c>
      <c r="T24" s="6">
        <v>34861.24</v>
      </c>
      <c r="U24" s="52">
        <v>44621</v>
      </c>
      <c r="V24" s="55">
        <f t="shared" si="1"/>
        <v>81.053604436229193</v>
      </c>
      <c r="W24" s="55">
        <f t="shared" si="2"/>
        <v>104.38201059659862</v>
      </c>
      <c r="X24" s="55">
        <f t="shared" si="3"/>
        <v>96.789265628959782</v>
      </c>
      <c r="Y24" s="55">
        <f t="shared" si="4"/>
        <v>101.24122084554033</v>
      </c>
    </row>
    <row r="25" spans="1:25" x14ac:dyDescent="0.25">
      <c r="A25" s="4" t="s">
        <v>25</v>
      </c>
      <c r="B25" s="8" t="s">
        <v>100</v>
      </c>
      <c r="C25" s="24">
        <v>0.19</v>
      </c>
      <c r="D25" s="11">
        <f>D21*$C$25</f>
        <v>23864000000</v>
      </c>
      <c r="E25" s="11">
        <f t="shared" ref="E25:I25" si="8">E21*$C$25</f>
        <v>26250400000</v>
      </c>
      <c r="F25" s="11">
        <f t="shared" si="8"/>
        <v>29137944000</v>
      </c>
      <c r="G25" s="11">
        <f t="shared" si="8"/>
        <v>31177600080</v>
      </c>
      <c r="H25" s="11">
        <f t="shared" si="8"/>
        <v>34918912089.600006</v>
      </c>
      <c r="I25" s="11">
        <f t="shared" si="8"/>
        <v>37014046814.976013</v>
      </c>
      <c r="P25" s="52">
        <v>44652</v>
      </c>
      <c r="Q25" s="6">
        <v>19.52</v>
      </c>
      <c r="R25" s="6">
        <v>4271.78</v>
      </c>
      <c r="S25" s="6">
        <v>12839.29</v>
      </c>
      <c r="T25" s="6">
        <v>33811.4</v>
      </c>
      <c r="U25" s="52">
        <v>44652</v>
      </c>
      <c r="V25" s="55">
        <f t="shared" si="1"/>
        <v>90.203327171903879</v>
      </c>
      <c r="W25" s="55">
        <f t="shared" si="2"/>
        <v>98.149041664943454</v>
      </c>
      <c r="X25" s="55">
        <f t="shared" si="3"/>
        <v>87.704082085723883</v>
      </c>
      <c r="Y25" s="55">
        <f t="shared" si="4"/>
        <v>98.192359609035776</v>
      </c>
    </row>
    <row r="26" spans="1:25" x14ac:dyDescent="0.25">
      <c r="A26" t="s">
        <v>26</v>
      </c>
      <c r="B26" t="s">
        <v>96</v>
      </c>
      <c r="C26" s="24">
        <v>0.16</v>
      </c>
      <c r="D26" s="11">
        <f>D21*$C$26</f>
        <v>20096000000</v>
      </c>
      <c r="E26" s="11">
        <f t="shared" ref="E26:I26" si="9">E21*$C$26</f>
        <v>22105600000</v>
      </c>
      <c r="F26" s="11">
        <f t="shared" si="9"/>
        <v>24537216000</v>
      </c>
      <c r="G26" s="11">
        <f t="shared" si="9"/>
        <v>26254821120</v>
      </c>
      <c r="H26" s="11">
        <f t="shared" si="9"/>
        <v>29405399654.400005</v>
      </c>
      <c r="I26" s="11">
        <f t="shared" si="9"/>
        <v>31169723633.664009</v>
      </c>
      <c r="P26" s="52">
        <v>44682</v>
      </c>
      <c r="Q26" s="6">
        <v>20.399999999999999</v>
      </c>
      <c r="R26" s="6">
        <v>4158.24</v>
      </c>
      <c r="S26" s="6">
        <v>11354.62</v>
      </c>
      <c r="T26" s="6">
        <v>33212.959999999999</v>
      </c>
      <c r="U26" s="52">
        <v>44682</v>
      </c>
      <c r="V26" s="55">
        <f t="shared" si="1"/>
        <v>94.26987060998151</v>
      </c>
      <c r="W26" s="55">
        <f t="shared" si="2"/>
        <v>95.540330029363503</v>
      </c>
      <c r="X26" s="55">
        <f t="shared" si="3"/>
        <v>77.562429428122741</v>
      </c>
      <c r="Y26" s="55">
        <f t="shared" si="4"/>
        <v>96.454418095687274</v>
      </c>
    </row>
    <row r="27" spans="1:25" x14ac:dyDescent="0.25">
      <c r="A27" t="s">
        <v>27</v>
      </c>
      <c r="B27" t="s">
        <v>97</v>
      </c>
      <c r="C27" s="24">
        <v>5.0000000000000001E-3</v>
      </c>
      <c r="D27" s="11">
        <f>D21*$C$27</f>
        <v>628000000</v>
      </c>
      <c r="E27" s="11">
        <f t="shared" ref="E27:I27" si="10">E21*$C$27</f>
        <v>690800000</v>
      </c>
      <c r="F27" s="11">
        <f t="shared" si="10"/>
        <v>766788000</v>
      </c>
      <c r="G27" s="11">
        <f t="shared" si="10"/>
        <v>820463160</v>
      </c>
      <c r="H27" s="11">
        <f t="shared" si="10"/>
        <v>918918739.20000017</v>
      </c>
      <c r="I27" s="11">
        <f t="shared" si="10"/>
        <v>974053863.55200028</v>
      </c>
      <c r="P27" s="52">
        <v>44713</v>
      </c>
      <c r="Q27" s="55">
        <v>19.38</v>
      </c>
      <c r="R27" s="6">
        <v>3911.74</v>
      </c>
      <c r="S27" s="6">
        <v>11127.85</v>
      </c>
      <c r="T27" s="6">
        <v>31097.26</v>
      </c>
      <c r="U27" s="52">
        <v>44713</v>
      </c>
      <c r="V27" s="55">
        <f t="shared" si="1"/>
        <v>89.556377079482431</v>
      </c>
      <c r="W27" s="55">
        <f t="shared" si="2"/>
        <v>89.876709999678326</v>
      </c>
      <c r="X27" s="55">
        <f t="shared" si="3"/>
        <v>76.01338312614034</v>
      </c>
      <c r="Y27" s="55">
        <f t="shared" si="4"/>
        <v>90.310171621869657</v>
      </c>
    </row>
    <row r="28" spans="1:25" ht="30" x14ac:dyDescent="0.25">
      <c r="A28" s="8" t="s">
        <v>28</v>
      </c>
      <c r="B28" s="9" t="s">
        <v>29</v>
      </c>
      <c r="C28" s="17"/>
      <c r="D28" s="11">
        <f>D24+D25-D26-D27</f>
        <v>21226400000</v>
      </c>
      <c r="E28" s="11">
        <f t="shared" ref="E28:I28" si="11">E24+E25-E26-E27</f>
        <v>23349040000</v>
      </c>
      <c r="F28" s="11">
        <f t="shared" si="11"/>
        <v>25917434400</v>
      </c>
      <c r="G28" s="11">
        <f t="shared" si="11"/>
        <v>27731654808</v>
      </c>
      <c r="H28" s="11">
        <f t="shared" si="11"/>
        <v>31059453384.960007</v>
      </c>
      <c r="I28" s="11">
        <f t="shared" si="11"/>
        <v>32923020588.05761</v>
      </c>
      <c r="P28" s="52">
        <v>44743</v>
      </c>
      <c r="Q28" s="6">
        <v>18.399999999999999</v>
      </c>
      <c r="R28" s="6">
        <v>4130.29</v>
      </c>
      <c r="S28" s="6">
        <v>12390.69</v>
      </c>
      <c r="T28" s="6">
        <v>32845.129999999997</v>
      </c>
      <c r="U28" s="52">
        <v>44743</v>
      </c>
      <c r="V28" s="55">
        <f t="shared" si="1"/>
        <v>85.027726432532333</v>
      </c>
      <c r="W28" s="55">
        <f t="shared" si="2"/>
        <v>94.898146744050322</v>
      </c>
      <c r="X28" s="55">
        <f t="shared" si="3"/>
        <v>84.63973419548573</v>
      </c>
      <c r="Y28" s="55">
        <f t="shared" si="4"/>
        <v>95.386195672629015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2">
        <v>44774</v>
      </c>
      <c r="Q29" s="6">
        <v>18.43</v>
      </c>
      <c r="R29" s="6">
        <v>3924.26</v>
      </c>
      <c r="S29" s="6">
        <v>12141.71</v>
      </c>
      <c r="T29" s="6">
        <v>31318.44</v>
      </c>
      <c r="U29" s="52">
        <v>44774</v>
      </c>
      <c r="V29" s="55">
        <f t="shared" si="1"/>
        <v>85.166358595194083</v>
      </c>
      <c r="W29" s="55">
        <f t="shared" si="2"/>
        <v>90.164371349664791</v>
      </c>
      <c r="X29" s="55">
        <f t="shared" si="3"/>
        <v>82.938973300007575</v>
      </c>
      <c r="Y29" s="55">
        <f t="shared" si="4"/>
        <v>90.95250486149672</v>
      </c>
    </row>
    <row r="30" spans="1:25" x14ac:dyDescent="0.25">
      <c r="A30" t="s">
        <v>36</v>
      </c>
      <c r="C30" s="12">
        <f>-G39</f>
        <v>-279480000000</v>
      </c>
      <c r="D30" s="5">
        <f>D28</f>
        <v>21226400000</v>
      </c>
      <c r="E30" s="5">
        <f t="shared" ref="E30:I30" si="12">E28</f>
        <v>23349040000</v>
      </c>
      <c r="F30" s="5">
        <f t="shared" si="12"/>
        <v>25917434400</v>
      </c>
      <c r="G30" s="5">
        <f t="shared" si="12"/>
        <v>27731654808</v>
      </c>
      <c r="H30" s="5">
        <f t="shared" si="12"/>
        <v>31059453384.960007</v>
      </c>
      <c r="I30" s="5">
        <f t="shared" si="12"/>
        <v>32923020588.05761</v>
      </c>
      <c r="J30" s="12">
        <f>I28+M22</f>
        <v>958159950077.22656</v>
      </c>
      <c r="K30" t="s">
        <v>38</v>
      </c>
      <c r="P30" s="52">
        <v>44805</v>
      </c>
      <c r="Q30" s="6">
        <v>16.739999999999998</v>
      </c>
      <c r="R30" s="6">
        <v>3585.62</v>
      </c>
      <c r="S30" s="6">
        <v>10867.93</v>
      </c>
      <c r="T30" s="6">
        <v>30822.42</v>
      </c>
      <c r="U30" s="52">
        <v>44805</v>
      </c>
      <c r="V30" s="55">
        <f t="shared" si="1"/>
        <v>77.356746765249525</v>
      </c>
      <c r="W30" s="55">
        <f t="shared" si="2"/>
        <v>82.383729212331744</v>
      </c>
      <c r="X30" s="55">
        <f t="shared" si="3"/>
        <v>74.237892034676463</v>
      </c>
      <c r="Y30" s="55">
        <f t="shared" si="4"/>
        <v>89.512003308373394</v>
      </c>
    </row>
    <row r="31" spans="1:25" x14ac:dyDescent="0.25">
      <c r="A31" t="s">
        <v>37</v>
      </c>
      <c r="D31" s="6">
        <f>1/(1+$B$7)^D29</f>
        <v>0.97855977828750129</v>
      </c>
      <c r="E31" s="6">
        <f t="shared" ref="E31:I31" si="13">1/(1+$B$7)^E29</f>
        <v>0.93704852847601383</v>
      </c>
      <c r="F31" s="6">
        <f t="shared" si="13"/>
        <v>0.89729821744327665</v>
      </c>
      <c r="G31" s="6">
        <f t="shared" si="13"/>
        <v>0.85923414482742189</v>
      </c>
      <c r="H31" s="6">
        <f t="shared" si="13"/>
        <v>0.82278477911272807</v>
      </c>
      <c r="I31" s="6">
        <f t="shared" si="13"/>
        <v>0.805144091026882</v>
      </c>
      <c r="J31" t="s">
        <v>39</v>
      </c>
      <c r="P31" s="52">
        <v>44835</v>
      </c>
      <c r="Q31" s="6">
        <v>17.100000000000001</v>
      </c>
      <c r="R31" s="6">
        <v>3901.06</v>
      </c>
      <c r="S31" s="6">
        <v>11102.45</v>
      </c>
      <c r="T31" s="6">
        <v>32861.800000000003</v>
      </c>
      <c r="U31" s="52">
        <v>44835</v>
      </c>
      <c r="V31" s="55">
        <f t="shared" si="1"/>
        <v>79.020332717190385</v>
      </c>
      <c r="W31" s="55">
        <f t="shared" si="2"/>
        <v>89.631324758635571</v>
      </c>
      <c r="X31" s="55">
        <f t="shared" si="3"/>
        <v>75.839877917910187</v>
      </c>
      <c r="Y31" s="55">
        <f t="shared" si="4"/>
        <v>95.434607351372975</v>
      </c>
    </row>
    <row r="32" spans="1:25" x14ac:dyDescent="0.25">
      <c r="A32" t="s">
        <v>40</v>
      </c>
      <c r="C32" s="12">
        <f>-G39</f>
        <v>-279480000000</v>
      </c>
      <c r="D32" s="5">
        <f>D30*D31</f>
        <v>20771301277.841816</v>
      </c>
      <c r="E32" s="5">
        <f t="shared" ref="E32:I32" si="14">E30*E31</f>
        <v>21879183573.327587</v>
      </c>
      <c r="F32" s="5">
        <f t="shared" si="14"/>
        <v>23255667687.823059</v>
      </c>
      <c r="G32" s="5">
        <f t="shared" si="14"/>
        <v>23827984703.601143</v>
      </c>
      <c r="H32" s="5">
        <f t="shared" si="14"/>
        <v>25555245492.706394</v>
      </c>
      <c r="I32" s="5">
        <f t="shared" si="14"/>
        <v>26507775485.230965</v>
      </c>
      <c r="J32" s="13">
        <f>M22</f>
        <v>925236929489.16895</v>
      </c>
      <c r="P32" s="52">
        <v>44866</v>
      </c>
      <c r="Q32" s="6">
        <v>18.97</v>
      </c>
      <c r="R32" s="6">
        <v>4026.12</v>
      </c>
      <c r="S32" s="6">
        <v>11226.36</v>
      </c>
      <c r="T32" s="6">
        <v>34429.879999999997</v>
      </c>
      <c r="U32" s="52">
        <v>44866</v>
      </c>
      <c r="V32" s="55">
        <f t="shared" si="1"/>
        <v>87.661737523105359</v>
      </c>
      <c r="W32" s="55">
        <f t="shared" si="2"/>
        <v>92.504721598036909</v>
      </c>
      <c r="X32" s="55">
        <f t="shared" si="3"/>
        <v>76.686296435697543</v>
      </c>
      <c r="Y32" s="55">
        <f t="shared" si="4"/>
        <v>99.988499685193403</v>
      </c>
    </row>
    <row r="33" spans="1:25" x14ac:dyDescent="0.25">
      <c r="A33" t="s">
        <v>56</v>
      </c>
      <c r="C33" s="28">
        <v>-279480</v>
      </c>
      <c r="D33" s="23">
        <v>20771</v>
      </c>
      <c r="E33" s="23">
        <v>21879</v>
      </c>
      <c r="F33" s="23">
        <v>23256</v>
      </c>
      <c r="G33" s="23">
        <v>23828</v>
      </c>
      <c r="H33" s="23">
        <v>25555</v>
      </c>
      <c r="I33" s="23">
        <v>26508</v>
      </c>
      <c r="J33" s="23">
        <v>925237</v>
      </c>
      <c r="P33" s="52">
        <v>44896</v>
      </c>
      <c r="Q33" s="6">
        <v>18.489999999999998</v>
      </c>
      <c r="R33" s="6">
        <v>3839.5</v>
      </c>
      <c r="S33" s="6">
        <v>10466.48</v>
      </c>
      <c r="T33" s="6">
        <v>33203.93</v>
      </c>
      <c r="U33" s="52">
        <v>44896</v>
      </c>
      <c r="V33" s="55">
        <f t="shared" si="1"/>
        <v>85.443622920517555</v>
      </c>
      <c r="W33" s="55">
        <f t="shared" si="2"/>
        <v>88.216913200715013</v>
      </c>
      <c r="X33" s="55">
        <f t="shared" si="3"/>
        <v>71.495621725857674</v>
      </c>
      <c r="Y33" s="55">
        <f t="shared" si="4"/>
        <v>96.428193892984353</v>
      </c>
    </row>
    <row r="34" spans="1:25" x14ac:dyDescent="0.25">
      <c r="P34" s="52">
        <v>44927</v>
      </c>
      <c r="Q34" s="6">
        <v>19.23</v>
      </c>
      <c r="R34" s="6">
        <v>4070.56</v>
      </c>
      <c r="S34" s="6">
        <v>11140.43</v>
      </c>
      <c r="T34" s="6">
        <v>33375.49</v>
      </c>
      <c r="U34" s="52">
        <v>44927</v>
      </c>
      <c r="V34" s="55">
        <f t="shared" si="1"/>
        <v>88.863216266173751</v>
      </c>
      <c r="W34" s="55">
        <f t="shared" si="2"/>
        <v>93.525781533611791</v>
      </c>
      <c r="X34" s="55">
        <f t="shared" si="3"/>
        <v>76.099316020610232</v>
      </c>
      <c r="Y34" s="55">
        <f t="shared" si="4"/>
        <v>96.926424703140867</v>
      </c>
    </row>
    <row r="35" spans="1:25" x14ac:dyDescent="0.25">
      <c r="A35" s="3" t="s">
        <v>41</v>
      </c>
      <c r="F35" s="3" t="s">
        <v>31</v>
      </c>
      <c r="P35" s="52">
        <v>44958</v>
      </c>
      <c r="Q35" s="6">
        <v>19.440000000000001</v>
      </c>
      <c r="R35" s="6">
        <v>4045.64</v>
      </c>
      <c r="S35" s="6">
        <v>11689.01</v>
      </c>
      <c r="T35" s="6">
        <v>32816.92</v>
      </c>
      <c r="U35" s="52">
        <v>44958</v>
      </c>
      <c r="V35" s="55">
        <f t="shared" si="1"/>
        <v>89.833641404805917</v>
      </c>
      <c r="W35" s="55">
        <f t="shared" si="2"/>
        <v>92.953215971178722</v>
      </c>
      <c r="X35" s="55">
        <f t="shared" si="3"/>
        <v>79.846618663559056</v>
      </c>
      <c r="Y35" s="55">
        <f t="shared" si="4"/>
        <v>95.304270450231527</v>
      </c>
    </row>
    <row r="36" spans="1:25" x14ac:dyDescent="0.25">
      <c r="A36" s="12" t="s">
        <v>42</v>
      </c>
      <c r="B36" s="16">
        <f>SUM(D32:I32)</f>
        <v>141797158220.53094</v>
      </c>
      <c r="C36" t="s">
        <v>45</v>
      </c>
      <c r="F36" t="s">
        <v>33</v>
      </c>
      <c r="G36" s="14">
        <f>B13*B12</f>
        <v>159850000000</v>
      </c>
      <c r="H36" t="s">
        <v>34</v>
      </c>
      <c r="L36" s="3" t="s">
        <v>51</v>
      </c>
      <c r="P36" s="52">
        <v>44986</v>
      </c>
      <c r="Q36" s="6">
        <v>18.61</v>
      </c>
      <c r="R36" s="6">
        <v>3970.99</v>
      </c>
      <c r="S36" s="6">
        <v>11823.96</v>
      </c>
      <c r="T36" s="6">
        <v>33274.15</v>
      </c>
      <c r="U36" s="52">
        <v>44986</v>
      </c>
      <c r="V36" s="55">
        <f t="shared" si="1"/>
        <v>85.998151571164499</v>
      </c>
      <c r="W36" s="55">
        <f t="shared" si="2"/>
        <v>91.238046659957632</v>
      </c>
      <c r="X36" s="55">
        <f t="shared" si="3"/>
        <v>80.768450468703136</v>
      </c>
      <c r="Y36" s="55">
        <f t="shared" si="4"/>
        <v>96.63212119240842</v>
      </c>
    </row>
    <row r="37" spans="1:25" x14ac:dyDescent="0.25">
      <c r="A37" t="s">
        <v>11</v>
      </c>
      <c r="B37" s="18">
        <f>B15</f>
        <v>11960000000</v>
      </c>
      <c r="F37" t="s">
        <v>10</v>
      </c>
      <c r="G37" s="13">
        <f>B14</f>
        <v>131590000000</v>
      </c>
      <c r="L37" t="s">
        <v>52</v>
      </c>
      <c r="M37" s="20">
        <f>(B40/B12)-1</f>
        <v>1.9634159765708477</v>
      </c>
      <c r="P37" s="52">
        <v>45017</v>
      </c>
      <c r="Q37" s="6">
        <v>18.22</v>
      </c>
      <c r="R37" s="6">
        <v>4133.5200000000004</v>
      </c>
      <c r="S37" s="6">
        <v>12072.46</v>
      </c>
      <c r="T37" s="6">
        <v>33808.959999999999</v>
      </c>
      <c r="U37" s="52">
        <v>45017</v>
      </c>
      <c r="V37" s="55">
        <f t="shared" si="1"/>
        <v>84.195933456561917</v>
      </c>
      <c r="W37" s="55">
        <f t="shared" si="2"/>
        <v>94.972359696163451</v>
      </c>
      <c r="X37" s="55">
        <f t="shared" si="3"/>
        <v>82.46593252560055</v>
      </c>
      <c r="Y37" s="55">
        <f t="shared" si="4"/>
        <v>98.185273556478165</v>
      </c>
    </row>
    <row r="38" spans="1:25" x14ac:dyDescent="0.25">
      <c r="A38" t="s">
        <v>10</v>
      </c>
      <c r="B38" s="18">
        <f>B14</f>
        <v>131590000000</v>
      </c>
      <c r="C38" s="3"/>
      <c r="F38" t="s">
        <v>11</v>
      </c>
      <c r="G38" s="13">
        <f>B15</f>
        <v>11960000000</v>
      </c>
      <c r="L38" t="s">
        <v>53</v>
      </c>
      <c r="M38" s="22">
        <f>IRR(C33:J33)</f>
        <v>0.23630902119281205</v>
      </c>
      <c r="N38" t="s">
        <v>57</v>
      </c>
      <c r="P38" s="52">
        <v>45047</v>
      </c>
      <c r="Q38" s="6">
        <v>16.309999999999999</v>
      </c>
      <c r="R38" s="6">
        <v>4282.37</v>
      </c>
      <c r="S38" s="6">
        <v>13240.77</v>
      </c>
      <c r="T38" s="6">
        <v>33093.339999999997</v>
      </c>
      <c r="U38" s="52">
        <v>45047</v>
      </c>
      <c r="V38" s="55">
        <f t="shared" si="1"/>
        <v>75.369685767097963</v>
      </c>
      <c r="W38" s="55">
        <f t="shared" si="2"/>
        <v>98.392359052831353</v>
      </c>
      <c r="X38" s="55">
        <f t="shared" si="3"/>
        <v>90.446557321953946</v>
      </c>
      <c r="Y38" s="55">
        <f t="shared" si="4"/>
        <v>96.107027273170814</v>
      </c>
    </row>
    <row r="39" spans="1:25" x14ac:dyDescent="0.25">
      <c r="A39" t="s">
        <v>44</v>
      </c>
      <c r="B39" s="16">
        <f>(((B36+B37)-B38)+(M22))/2</f>
        <v>473702043854.84998</v>
      </c>
      <c r="C39" t="s">
        <v>77</v>
      </c>
      <c r="F39" t="s">
        <v>30</v>
      </c>
      <c r="G39" s="12">
        <f>G36+G37-G38</f>
        <v>279480000000</v>
      </c>
      <c r="H39" t="s">
        <v>32</v>
      </c>
      <c r="P39" s="52">
        <v>45078</v>
      </c>
      <c r="Q39" s="6">
        <v>15.45</v>
      </c>
      <c r="R39" s="6">
        <v>4450.38</v>
      </c>
      <c r="S39" s="6">
        <v>13492.52</v>
      </c>
      <c r="T39" s="6">
        <v>33727.43</v>
      </c>
      <c r="U39" s="52">
        <v>45078</v>
      </c>
      <c r="V39" s="55">
        <f t="shared" si="1"/>
        <v>71.395563770794823</v>
      </c>
      <c r="W39" s="55">
        <f t="shared" si="2"/>
        <v>102.25258137002164</v>
      </c>
      <c r="X39" s="55">
        <f t="shared" si="3"/>
        <v>92.166239848408367</v>
      </c>
      <c r="Y39" s="55">
        <f t="shared" si="4"/>
        <v>97.9485006609777</v>
      </c>
    </row>
    <row r="40" spans="1:25" x14ac:dyDescent="0.25">
      <c r="A40" t="s">
        <v>73</v>
      </c>
      <c r="B40" s="19">
        <f>B39/B13</f>
        <v>68.158567461129493</v>
      </c>
      <c r="C40" t="s">
        <v>78</v>
      </c>
      <c r="F40" t="s">
        <v>48</v>
      </c>
      <c r="G40" s="15">
        <f>G39/B13</f>
        <v>40.212949640287768</v>
      </c>
      <c r="H40" t="s">
        <v>49</v>
      </c>
      <c r="L40" s="43" t="s">
        <v>99</v>
      </c>
      <c r="M40" s="44"/>
      <c r="P40" s="52">
        <v>45108</v>
      </c>
      <c r="Q40" s="6">
        <v>14.5</v>
      </c>
      <c r="R40" s="6">
        <v>4582.2299999999996</v>
      </c>
      <c r="S40" s="6">
        <v>14032.81</v>
      </c>
      <c r="T40" s="6">
        <v>35065.620000000003</v>
      </c>
      <c r="U40" s="52">
        <v>45108</v>
      </c>
      <c r="V40" s="55">
        <f t="shared" si="1"/>
        <v>67.005545286506461</v>
      </c>
      <c r="W40" s="55">
        <f t="shared" si="2"/>
        <v>105.28198624188367</v>
      </c>
      <c r="X40" s="55">
        <f t="shared" si="3"/>
        <v>95.856914216702535</v>
      </c>
      <c r="Y40" s="55">
        <f t="shared" si="4"/>
        <v>101.83476487083638</v>
      </c>
    </row>
    <row r="41" spans="1:25" x14ac:dyDescent="0.25">
      <c r="A41" t="s">
        <v>46</v>
      </c>
      <c r="B41" s="21">
        <f>(B40/B12)-1</f>
        <v>1.9634159765708477</v>
      </c>
      <c r="C41" t="s">
        <v>47</v>
      </c>
      <c r="F41" t="s">
        <v>46</v>
      </c>
      <c r="G41" s="20">
        <f>(G40/B12)-1</f>
        <v>0.74838911479512027</v>
      </c>
      <c r="H41" t="s">
        <v>50</v>
      </c>
      <c r="L41" s="45" t="s">
        <v>41</v>
      </c>
      <c r="M41" s="46">
        <f>B40</f>
        <v>68.158567461129493</v>
      </c>
      <c r="P41" s="52">
        <v>45139</v>
      </c>
      <c r="Q41" s="6">
        <v>14.05</v>
      </c>
      <c r="R41" s="6">
        <v>4515.7700000000004</v>
      </c>
      <c r="S41" s="6">
        <v>13590.65</v>
      </c>
      <c r="T41" s="6">
        <v>34837.71</v>
      </c>
      <c r="U41" s="52">
        <v>45139</v>
      </c>
      <c r="V41" s="55">
        <f t="shared" si="1"/>
        <v>64.926062846580407</v>
      </c>
      <c r="W41" s="55">
        <f t="shared" si="2"/>
        <v>103.75499156775436</v>
      </c>
      <c r="X41" s="55">
        <f t="shared" si="3"/>
        <v>92.836557410755816</v>
      </c>
      <c r="Y41" s="55">
        <f t="shared" si="4"/>
        <v>101.1728869042779</v>
      </c>
    </row>
    <row r="42" spans="1:25" x14ac:dyDescent="0.25">
      <c r="L42" s="45" t="s">
        <v>8</v>
      </c>
      <c r="M42" s="46">
        <f>B12</f>
        <v>23</v>
      </c>
      <c r="P42" s="52">
        <v>45170</v>
      </c>
      <c r="Q42" s="6">
        <v>15.23</v>
      </c>
      <c r="R42" s="6">
        <v>4320.0600000000004</v>
      </c>
      <c r="S42" s="6">
        <v>13211.81</v>
      </c>
      <c r="T42" s="6">
        <v>33507.5</v>
      </c>
      <c r="U42" s="52">
        <v>45170</v>
      </c>
      <c r="V42" s="55">
        <f t="shared" si="1"/>
        <v>70.378927911275412</v>
      </c>
      <c r="W42" s="55">
        <f t="shared" si="2"/>
        <v>99.258330001792146</v>
      </c>
      <c r="X42" s="55">
        <f t="shared" si="3"/>
        <v>90.248734060916718</v>
      </c>
      <c r="Y42" s="55">
        <f t="shared" si="4"/>
        <v>97.309797571226454</v>
      </c>
    </row>
    <row r="43" spans="1:25" x14ac:dyDescent="0.25">
      <c r="L43" s="45" t="s">
        <v>101</v>
      </c>
      <c r="M43" s="46">
        <f>(B40-B12)</f>
        <v>45.158567461129493</v>
      </c>
      <c r="P43" s="52">
        <v>45200</v>
      </c>
      <c r="Q43" s="6">
        <v>15.38</v>
      </c>
      <c r="R43" s="6">
        <v>4117.37</v>
      </c>
      <c r="S43" s="6">
        <v>12643.01</v>
      </c>
      <c r="T43" s="6">
        <v>34061.32</v>
      </c>
      <c r="U43" s="52">
        <v>45200</v>
      </c>
      <c r="V43" s="55">
        <f t="shared" si="1"/>
        <v>71.072088724584106</v>
      </c>
      <c r="W43" s="55">
        <f t="shared" si="2"/>
        <v>94.601294935597863</v>
      </c>
      <c r="X43" s="55">
        <f t="shared" si="3"/>
        <v>86.363310342754758</v>
      </c>
      <c r="Y43" s="55">
        <f t="shared" si="4"/>
        <v>98.918157254607692</v>
      </c>
    </row>
    <row r="44" spans="1:25" x14ac:dyDescent="0.25">
      <c r="L44" s="45" t="s">
        <v>102</v>
      </c>
      <c r="M44" s="50">
        <f>((B40-B12)/(B12))</f>
        <v>1.9634159765708474</v>
      </c>
      <c r="P44" s="52">
        <v>45231</v>
      </c>
      <c r="Q44" s="6">
        <v>15.9</v>
      </c>
      <c r="R44" s="6">
        <v>4559.34</v>
      </c>
      <c r="S44" s="6">
        <v>14250.85</v>
      </c>
      <c r="T44" s="6">
        <v>36245.5</v>
      </c>
      <c r="U44" s="52">
        <v>45231</v>
      </c>
      <c r="V44" s="55">
        <f t="shared" si="1"/>
        <v>73.47504621072089</v>
      </c>
      <c r="W44" s="55">
        <f t="shared" si="2"/>
        <v>104.75606225616565</v>
      </c>
      <c r="X44" s="55">
        <f t="shared" si="3"/>
        <v>97.346326641997962</v>
      </c>
      <c r="Y44" s="55">
        <f t="shared" si="4"/>
        <v>105.26127785922222</v>
      </c>
    </row>
    <row r="45" spans="1:25" x14ac:dyDescent="0.25">
      <c r="L45" s="48"/>
      <c r="M45" s="47"/>
      <c r="P45" s="52">
        <v>45261</v>
      </c>
      <c r="Q45" s="6">
        <v>16.52</v>
      </c>
      <c r="R45" s="6">
        <v>4769.83</v>
      </c>
      <c r="S45" s="6">
        <v>14992.97</v>
      </c>
      <c r="T45" s="6">
        <v>37689.54</v>
      </c>
      <c r="U45" s="52">
        <v>45261</v>
      </c>
      <c r="V45" s="55">
        <f t="shared" si="1"/>
        <v>76.340110905730128</v>
      </c>
      <c r="W45" s="55">
        <f t="shared" si="2"/>
        <v>109.59231126244732</v>
      </c>
      <c r="X45" s="55">
        <f t="shared" si="3"/>
        <v>102.41568432435091</v>
      </c>
      <c r="Y45" s="55">
        <f t="shared" si="4"/>
        <v>109.45494316056532</v>
      </c>
    </row>
    <row r="46" spans="1:25" x14ac:dyDescent="0.25">
      <c r="L46" s="48" t="s">
        <v>54</v>
      </c>
      <c r="M46" s="46"/>
      <c r="P46" s="52">
        <v>45292</v>
      </c>
      <c r="Q46" s="6">
        <v>16.670000000000002</v>
      </c>
      <c r="R46" s="6">
        <v>4958.6099999999997</v>
      </c>
      <c r="S46" s="6">
        <v>15628.95</v>
      </c>
      <c r="T46" s="6">
        <v>38109.43</v>
      </c>
      <c r="U46" s="52">
        <v>45292</v>
      </c>
      <c r="V46" s="55">
        <f t="shared" si="1"/>
        <v>77.033271719038822</v>
      </c>
      <c r="W46" s="55">
        <f t="shared" si="2"/>
        <v>113.92974813548574</v>
      </c>
      <c r="X46" s="55">
        <f t="shared" si="3"/>
        <v>106.76000882554051</v>
      </c>
      <c r="Y46" s="55">
        <f t="shared" si="4"/>
        <v>110.67435406565171</v>
      </c>
    </row>
    <row r="47" spans="1:25" x14ac:dyDescent="0.25">
      <c r="L47" s="45" t="s">
        <v>41</v>
      </c>
      <c r="M47" s="46">
        <f>B40</f>
        <v>68.158567461129493</v>
      </c>
      <c r="P47" s="52">
        <v>45323</v>
      </c>
      <c r="Q47" s="6">
        <v>16.97</v>
      </c>
      <c r="R47" s="6">
        <v>5137.08</v>
      </c>
      <c r="S47" s="6">
        <v>16274.94</v>
      </c>
      <c r="T47" s="6">
        <v>39087.379999999997</v>
      </c>
      <c r="U47" s="52">
        <v>45323</v>
      </c>
      <c r="V47" s="55">
        <f t="shared" si="1"/>
        <v>78.419593345656182</v>
      </c>
      <c r="W47" s="55">
        <f t="shared" si="2"/>
        <v>118.03030094156246</v>
      </c>
      <c r="X47" s="55">
        <f t="shared" si="3"/>
        <v>111.17271077296571</v>
      </c>
      <c r="Y47" s="55">
        <f t="shared" si="4"/>
        <v>113.51443812249811</v>
      </c>
    </row>
    <row r="48" spans="1:25" x14ac:dyDescent="0.25">
      <c r="L48" s="45" t="s">
        <v>31</v>
      </c>
      <c r="M48" s="46">
        <f>G40</f>
        <v>40.212949640287768</v>
      </c>
      <c r="P48" s="52">
        <v>45352</v>
      </c>
      <c r="Q48" s="6">
        <v>16.98</v>
      </c>
      <c r="R48" s="6">
        <v>5234.18</v>
      </c>
      <c r="S48" s="6">
        <v>16428.82</v>
      </c>
      <c r="T48" s="6">
        <v>39807.370000000003</v>
      </c>
      <c r="U48" s="52">
        <v>45352</v>
      </c>
      <c r="V48" s="55">
        <f t="shared" si="1"/>
        <v>78.465804066543441</v>
      </c>
      <c r="W48" s="55">
        <f t="shared" si="2"/>
        <v>120.26128473418898</v>
      </c>
      <c r="X48" s="55">
        <f t="shared" si="3"/>
        <v>112.22385177463723</v>
      </c>
      <c r="Y48" s="55">
        <f t="shared" si="4"/>
        <v>115.60537540977134</v>
      </c>
    </row>
    <row r="49" spans="12:25" x14ac:dyDescent="0.25">
      <c r="L49" s="45" t="s">
        <v>101</v>
      </c>
      <c r="M49" s="46">
        <f>-(G40-B40)</f>
        <v>27.945617820841726</v>
      </c>
      <c r="P49" s="52">
        <v>45383</v>
      </c>
      <c r="Q49" s="6">
        <v>16.510000000000002</v>
      </c>
      <c r="R49" s="6">
        <v>4967.2299999999996</v>
      </c>
      <c r="S49" s="6">
        <v>15282.01</v>
      </c>
      <c r="T49" s="6">
        <v>37986.400000000001</v>
      </c>
      <c r="U49" s="52">
        <v>45383</v>
      </c>
      <c r="V49" s="55">
        <f t="shared" si="1"/>
        <v>76.293900184842883</v>
      </c>
      <c r="W49" s="55">
        <f t="shared" si="2"/>
        <v>114.12780251542847</v>
      </c>
      <c r="X49" s="55">
        <f t="shared" si="3"/>
        <v>104.39009162304561</v>
      </c>
      <c r="Y49" s="55">
        <f t="shared" si="4"/>
        <v>110.31706019427403</v>
      </c>
    </row>
    <row r="50" spans="12:25" x14ac:dyDescent="0.25">
      <c r="L50" s="49" t="s">
        <v>102</v>
      </c>
      <c r="M50" s="51">
        <f>((B40-G40)/(G40))</f>
        <v>0.69494076089469725</v>
      </c>
      <c r="P50" s="52">
        <v>45413</v>
      </c>
      <c r="Q50" s="6">
        <v>17.399999999999999</v>
      </c>
      <c r="R50" s="6">
        <v>5277.51</v>
      </c>
      <c r="S50" s="6">
        <v>16735.02</v>
      </c>
      <c r="T50" s="6">
        <v>38686.32</v>
      </c>
      <c r="U50" s="52">
        <v>45413</v>
      </c>
      <c r="V50" s="55">
        <f t="shared" si="1"/>
        <v>80.406654343807759</v>
      </c>
      <c r="W50" s="55">
        <f t="shared" si="2"/>
        <v>121.25684114752065</v>
      </c>
      <c r="X50" s="55">
        <f t="shared" si="3"/>
        <v>114.31547755259292</v>
      </c>
      <c r="Y50" s="55">
        <f t="shared" si="4"/>
        <v>112.34971179514106</v>
      </c>
    </row>
    <row r="51" spans="12:25" x14ac:dyDescent="0.25">
      <c r="P51" s="52">
        <v>45444</v>
      </c>
      <c r="Q51" s="6">
        <v>18.399999999999999</v>
      </c>
      <c r="R51" s="6">
        <v>5464.62</v>
      </c>
      <c r="S51" s="6">
        <v>17689.36</v>
      </c>
      <c r="T51" s="6">
        <v>39150.33</v>
      </c>
      <c r="U51" s="52">
        <v>45444</v>
      </c>
      <c r="V51" s="55">
        <f t="shared" si="1"/>
        <v>85.027726432532333</v>
      </c>
      <c r="W51" s="55">
        <f t="shared" si="2"/>
        <v>125.55590785646342</v>
      </c>
      <c r="X51" s="55">
        <f t="shared" si="3"/>
        <v>120.83449174244996</v>
      </c>
      <c r="Y51" s="55">
        <f t="shared" si="4"/>
        <v>113.69725247024441</v>
      </c>
    </row>
    <row r="52" spans="12:25" x14ac:dyDescent="0.25">
      <c r="P52" s="52">
        <v>45474</v>
      </c>
      <c r="Q52" s="6">
        <v>19.010000000000002</v>
      </c>
      <c r="R52" s="6">
        <v>5459.1</v>
      </c>
      <c r="S52" s="6">
        <v>17357.88</v>
      </c>
      <c r="T52" s="6">
        <v>40287.53</v>
      </c>
      <c r="U52" s="52">
        <v>45474</v>
      </c>
      <c r="V52" s="55">
        <f t="shared" si="1"/>
        <v>87.846580406654354</v>
      </c>
      <c r="W52" s="55">
        <f t="shared" si="2"/>
        <v>125.42907952963233</v>
      </c>
      <c r="X52" s="55">
        <f t="shared" si="3"/>
        <v>118.5701804659093</v>
      </c>
      <c r="Y52" s="55">
        <f t="shared" si="4"/>
        <v>116.99981762127025</v>
      </c>
    </row>
    <row r="53" spans="12:25" x14ac:dyDescent="0.25">
      <c r="P53" s="52">
        <v>45505</v>
      </c>
      <c r="Q53" s="6">
        <v>19.73</v>
      </c>
      <c r="R53" s="6">
        <v>5648.4</v>
      </c>
      <c r="S53" s="6">
        <v>17877.79</v>
      </c>
      <c r="T53" s="6">
        <v>41175.08</v>
      </c>
      <c r="U53" s="52">
        <v>45505</v>
      </c>
      <c r="V53" s="55">
        <f t="shared" si="1"/>
        <v>91.173752310536045</v>
      </c>
      <c r="W53" s="55">
        <f t="shared" si="2"/>
        <v>129.77846399867656</v>
      </c>
      <c r="X53" s="55">
        <f t="shared" si="3"/>
        <v>122.12164081279677</v>
      </c>
      <c r="Y53" s="55">
        <f t="shared" si="4"/>
        <v>119.57736923909737</v>
      </c>
    </row>
    <row r="54" spans="12:25" x14ac:dyDescent="0.25">
      <c r="P54" s="52">
        <v>45536</v>
      </c>
      <c r="Q54" s="6">
        <v>21.54</v>
      </c>
      <c r="R54" s="6">
        <v>5751.07</v>
      </c>
      <c r="S54" s="6">
        <v>18137.849999999999</v>
      </c>
      <c r="T54" s="6">
        <v>42313</v>
      </c>
      <c r="U54" s="52">
        <v>45536</v>
      </c>
      <c r="V54" s="55">
        <f t="shared" si="1"/>
        <v>99.537892791127533</v>
      </c>
      <c r="W54" s="55">
        <f t="shared" si="2"/>
        <v>132.13742492544242</v>
      </c>
      <c r="X54" s="55">
        <f t="shared" si="3"/>
        <v>123.89808823218003</v>
      </c>
      <c r="Y54" s="55">
        <f t="shared" si="4"/>
        <v>122.88202535645169</v>
      </c>
    </row>
    <row r="55" spans="12:25" x14ac:dyDescent="0.25">
      <c r="P55" s="52">
        <v>45566</v>
      </c>
      <c r="Q55" s="6">
        <v>21.85</v>
      </c>
      <c r="R55" s="6">
        <v>5728.8</v>
      </c>
      <c r="S55" s="6">
        <v>18518.61</v>
      </c>
      <c r="T55" s="6">
        <v>42052.19</v>
      </c>
      <c r="U55" s="52">
        <v>45566</v>
      </c>
      <c r="V55" s="55">
        <f t="shared" si="1"/>
        <v>100.97042513863217</v>
      </c>
      <c r="W55" s="55">
        <f t="shared" si="2"/>
        <v>131.62574615034671</v>
      </c>
      <c r="X55" s="55">
        <f t="shared" si="3"/>
        <v>126.49902693634203</v>
      </c>
      <c r="Y55" s="55">
        <f t="shared" si="4"/>
        <v>122.12460184516164</v>
      </c>
    </row>
    <row r="56" spans="12:25" x14ac:dyDescent="0.25">
      <c r="P56" s="52">
        <v>45597</v>
      </c>
      <c r="Q56" s="6">
        <v>23.18</v>
      </c>
      <c r="R56" s="6">
        <v>5969.34</v>
      </c>
      <c r="S56" s="6">
        <v>19003.650000000001</v>
      </c>
      <c r="T56" s="6">
        <v>44296.51</v>
      </c>
      <c r="U56" s="52">
        <v>45597</v>
      </c>
      <c r="V56" s="55">
        <f t="shared" si="1"/>
        <v>107.11645101663585</v>
      </c>
      <c r="W56" s="55">
        <f t="shared" si="2"/>
        <v>137.15242834888818</v>
      </c>
      <c r="X56" s="55">
        <f t="shared" si="3"/>
        <v>129.81229332216708</v>
      </c>
      <c r="Y56" s="55">
        <f t="shared" si="4"/>
        <v>128.64237622060162</v>
      </c>
    </row>
    <row r="57" spans="12:25" x14ac:dyDescent="0.25">
      <c r="P57" s="52">
        <v>45627</v>
      </c>
      <c r="Q57" s="6">
        <v>22.75</v>
      </c>
      <c r="R57" s="6">
        <v>5942.47</v>
      </c>
      <c r="S57" s="6">
        <v>19722.03</v>
      </c>
      <c r="T57" s="6">
        <v>42840.26</v>
      </c>
      <c r="U57" s="52">
        <v>45627</v>
      </c>
      <c r="V57" s="55">
        <f t="shared" si="1"/>
        <v>105.12939001848429</v>
      </c>
      <c r="W57" s="55">
        <f t="shared" si="2"/>
        <v>136.53505930143325</v>
      </c>
      <c r="X57" s="55">
        <f t="shared" si="3"/>
        <v>134.71948511304822</v>
      </c>
      <c r="Y57" s="55">
        <f t="shared" si="4"/>
        <v>124.41325161527151</v>
      </c>
    </row>
    <row r="58" spans="12:25" x14ac:dyDescent="0.25">
      <c r="P58" s="52">
        <v>45658</v>
      </c>
      <c r="Q58" s="6">
        <v>22.72</v>
      </c>
      <c r="R58" s="6">
        <v>6040.53</v>
      </c>
      <c r="S58" s="6">
        <v>19627.439999999999</v>
      </c>
      <c r="T58" s="6">
        <v>44424.25</v>
      </c>
      <c r="U58" s="52">
        <v>45658</v>
      </c>
      <c r="V58" s="55">
        <f t="shared" si="1"/>
        <v>104.99075785582255</v>
      </c>
      <c r="W58" s="55">
        <f t="shared" si="2"/>
        <v>138.78810019437819</v>
      </c>
      <c r="X58" s="55">
        <f t="shared" si="3"/>
        <v>134.07334898523359</v>
      </c>
      <c r="Y58" s="55">
        <f t="shared" si="4"/>
        <v>129.01334849671139</v>
      </c>
    </row>
    <row r="59" spans="12:25" x14ac:dyDescent="0.25">
      <c r="P59" s="52">
        <v>45689</v>
      </c>
      <c r="Q59" s="6">
        <v>26.62</v>
      </c>
      <c r="R59" s="6">
        <v>5954.5</v>
      </c>
      <c r="S59" s="6">
        <v>19524.009999999998</v>
      </c>
      <c r="T59" s="6">
        <v>43840.91</v>
      </c>
      <c r="U59" s="52">
        <v>45689</v>
      </c>
      <c r="V59" s="55">
        <f t="shared" si="1"/>
        <v>123.01293900184842</v>
      </c>
      <c r="W59" s="55">
        <f t="shared" si="2"/>
        <v>136.81146233979882</v>
      </c>
      <c r="X59" s="55">
        <f t="shared" si="3"/>
        <v>133.36682758022397</v>
      </c>
      <c r="Y59" s="55">
        <f t="shared" si="4"/>
        <v>127.31925919386281</v>
      </c>
    </row>
    <row r="60" spans="12:25" x14ac:dyDescent="0.25">
      <c r="P60" s="52">
        <v>45717</v>
      </c>
      <c r="Q60" s="6">
        <v>27.02</v>
      </c>
      <c r="R60" s="6">
        <v>5074.08</v>
      </c>
      <c r="S60" s="6">
        <v>15587.79</v>
      </c>
      <c r="T60" s="6">
        <v>38314.86</v>
      </c>
      <c r="U60" s="52">
        <v>45717</v>
      </c>
      <c r="V60" s="55">
        <f t="shared" si="1"/>
        <v>124.86136783733825</v>
      </c>
      <c r="W60" s="55">
        <f t="shared" si="2"/>
        <v>116.58280373316423</v>
      </c>
      <c r="X60" s="55">
        <f t="shared" si="3"/>
        <v>106.47884841724316</v>
      </c>
      <c r="Y60" s="55">
        <f t="shared" si="4"/>
        <v>111.27094741684344</v>
      </c>
    </row>
    <row r="61" spans="12:25" x14ac:dyDescent="0.25">
      <c r="P61" s="52">
        <v>45748</v>
      </c>
      <c r="Q61" s="6">
        <v>27.15</v>
      </c>
      <c r="R61" s="6">
        <v>5282.7</v>
      </c>
      <c r="S61" s="6">
        <v>16286.45</v>
      </c>
      <c r="T61" s="6">
        <v>39142.230000000003</v>
      </c>
      <c r="U61" s="52">
        <v>45748</v>
      </c>
      <c r="V61" s="55">
        <f t="shared" si="1"/>
        <v>125.46210720887245</v>
      </c>
      <c r="W61" s="55">
        <f t="shared" si="2"/>
        <v>121.37608734611725</v>
      </c>
      <c r="X61" s="55">
        <f t="shared" si="3"/>
        <v>111.25133458976606</v>
      </c>
      <c r="Y61" s="55">
        <f t="shared" si="4"/>
        <v>113.6737290990491</v>
      </c>
    </row>
    <row r="62" spans="12:25" x14ac:dyDescent="0.25">
      <c r="P62" s="52">
        <v>45778</v>
      </c>
      <c r="Q62" s="6">
        <v>27.72</v>
      </c>
      <c r="R62" s="6">
        <v>5802.82</v>
      </c>
      <c r="S62" s="6">
        <v>19113.77</v>
      </c>
      <c r="T62" s="6">
        <v>41603.07</v>
      </c>
      <c r="U62" s="52">
        <v>45778</v>
      </c>
      <c r="V62" s="55">
        <f t="shared" si="1"/>
        <v>128.09611829944546</v>
      </c>
      <c r="W62" s="55">
        <f t="shared" si="2"/>
        <v>133.32644048948382</v>
      </c>
      <c r="X62" s="55">
        <f t="shared" si="3"/>
        <v>130.56451353989561</v>
      </c>
      <c r="Y62" s="55">
        <f t="shared" si="4"/>
        <v>120.82030351537907</v>
      </c>
    </row>
    <row r="63" spans="12:25" x14ac:dyDescent="0.25">
      <c r="P63" s="52">
        <v>45809</v>
      </c>
      <c r="Q63" s="6">
        <v>28.19</v>
      </c>
      <c r="R63" s="6">
        <v>6279.35</v>
      </c>
      <c r="S63" s="6">
        <v>19447.41</v>
      </c>
      <c r="T63" s="6">
        <v>42206.82</v>
      </c>
      <c r="U63" s="52">
        <v>45809</v>
      </c>
      <c r="V63" s="55">
        <f t="shared" si="1"/>
        <v>130.26802218114602</v>
      </c>
      <c r="W63" s="55">
        <f t="shared" si="2"/>
        <v>144.27526342151577</v>
      </c>
      <c r="X63" s="55">
        <f t="shared" si="3"/>
        <v>132.84357959004956</v>
      </c>
      <c r="Y63" s="55">
        <f t="shared" si="4"/>
        <v>122.57366590540005</v>
      </c>
    </row>
    <row r="64" spans="12:25" x14ac:dyDescent="0.25">
      <c r="P64" s="52">
        <v>45839</v>
      </c>
      <c r="Q64" s="6">
        <v>28</v>
      </c>
      <c r="R64" s="6">
        <v>6238.01</v>
      </c>
      <c r="S64" s="6">
        <v>20650.13</v>
      </c>
      <c r="T64" s="6">
        <v>44901.919999999998</v>
      </c>
      <c r="U64" s="52">
        <v>45839</v>
      </c>
      <c r="V64" s="55">
        <f t="shared" si="1"/>
        <v>129.39001848428836</v>
      </c>
      <c r="W64" s="55">
        <f t="shared" si="2"/>
        <v>143.32542953905255</v>
      </c>
      <c r="X64" s="55">
        <f t="shared" si="3"/>
        <v>141.05925612715885</v>
      </c>
      <c r="Y64" s="55">
        <f t="shared" si="4"/>
        <v>130.40055944965766</v>
      </c>
    </row>
    <row r="65" spans="16:25" x14ac:dyDescent="0.25">
      <c r="P65" s="52">
        <v>45870</v>
      </c>
      <c r="Q65" s="6">
        <v>28.77</v>
      </c>
      <c r="R65" s="6">
        <v>6460.26</v>
      </c>
      <c r="S65" s="6">
        <v>21496.54</v>
      </c>
      <c r="T65" s="6">
        <v>45544.88</v>
      </c>
      <c r="U65" s="52">
        <v>45870</v>
      </c>
      <c r="V65" s="55">
        <f t="shared" si="1"/>
        <v>132.94824399260628</v>
      </c>
      <c r="W65" s="55">
        <f t="shared" si="2"/>
        <v>148.43187802423523</v>
      </c>
      <c r="X65" s="55">
        <f t="shared" si="3"/>
        <v>146.84100980031192</v>
      </c>
      <c r="Y65" s="55">
        <f t="shared" si="4"/>
        <v>132.26779238098337</v>
      </c>
    </row>
    <row r="66" spans="16:25" x14ac:dyDescent="0.25">
      <c r="P66" s="52">
        <v>45901</v>
      </c>
      <c r="Q66" s="6">
        <v>29.01</v>
      </c>
      <c r="R66" s="6">
        <v>6715.79</v>
      </c>
      <c r="S66" s="6">
        <v>22780.51</v>
      </c>
      <c r="T66" s="6">
        <v>46758.28</v>
      </c>
      <c r="U66" s="52">
        <v>45901</v>
      </c>
      <c r="V66" s="55">
        <f t="shared" si="1"/>
        <v>134.0573012939002</v>
      </c>
      <c r="W66" s="55">
        <f t="shared" si="2"/>
        <v>154.30297265379082</v>
      </c>
      <c r="X66" s="55">
        <f t="shared" si="3"/>
        <v>155.61169807634639</v>
      </c>
      <c r="Y66" s="55">
        <f t="shared" si="4"/>
        <v>135.7916514684392</v>
      </c>
    </row>
    <row r="67" spans="16:25" x14ac:dyDescent="0.25">
      <c r="P67" s="52">
        <v>45931</v>
      </c>
      <c r="Q67" s="6">
        <v>26.34</v>
      </c>
      <c r="R67" s="6">
        <v>6840.2</v>
      </c>
      <c r="S67" s="6">
        <v>23204.87</v>
      </c>
      <c r="T67" s="6">
        <v>47207.12</v>
      </c>
      <c r="U67" s="52">
        <v>45931</v>
      </c>
      <c r="V67" s="55">
        <f t="shared" si="1"/>
        <v>121.71903881700554</v>
      </c>
      <c r="W67" s="55">
        <f t="shared" si="2"/>
        <v>157.16143499818486</v>
      </c>
      <c r="X67" s="55">
        <f t="shared" si="3"/>
        <v>158.5104646182578</v>
      </c>
      <c r="Y67" s="55">
        <f t="shared" si="4"/>
        <v>137.09513664464959</v>
      </c>
    </row>
    <row r="68" spans="16:25" x14ac:dyDescent="0.25">
      <c r="P68" s="52">
        <v>45962</v>
      </c>
      <c r="Q68" s="6">
        <v>25.59</v>
      </c>
      <c r="R68" s="6">
        <v>6849.09</v>
      </c>
      <c r="S68" s="6">
        <v>23365.69</v>
      </c>
      <c r="T68" s="6">
        <v>46245.41</v>
      </c>
      <c r="U68" s="52">
        <v>45962</v>
      </c>
      <c r="V68" s="55">
        <f t="shared" si="1"/>
        <v>118.2532347504621</v>
      </c>
      <c r="W68" s="55">
        <f t="shared" si="2"/>
        <v>157.3656929375922</v>
      </c>
      <c r="X68" s="55">
        <f t="shared" si="3"/>
        <v>159.60901216107567</v>
      </c>
      <c r="Y68" s="55">
        <f t="shared" si="4"/>
        <v>134.30221549498984</v>
      </c>
    </row>
    <row r="69" spans="16:25" x14ac:dyDescent="0.25">
      <c r="P69" s="52">
        <v>45992</v>
      </c>
      <c r="Q69" s="6">
        <v>24.15</v>
      </c>
      <c r="R69" s="6">
        <v>6929.94</v>
      </c>
      <c r="S69" s="6">
        <v>23593.1</v>
      </c>
      <c r="T69" s="6">
        <v>48134.89</v>
      </c>
      <c r="U69" s="52">
        <v>45992</v>
      </c>
      <c r="V69" s="55">
        <f t="shared" si="1"/>
        <v>111.5988909426987</v>
      </c>
      <c r="W69" s="55">
        <f t="shared" si="2"/>
        <v>159.22331435503659</v>
      </c>
      <c r="X69" s="55">
        <f t="shared" si="3"/>
        <v>161.16243024783236</v>
      </c>
      <c r="Y69" s="55">
        <f t="shared" si="4"/>
        <v>139.78949196488105</v>
      </c>
    </row>
    <row r="70" spans="16:25" x14ac:dyDescent="0.25">
      <c r="P70" s="52">
        <v>46023</v>
      </c>
      <c r="Q70" s="6">
        <v>23.49</v>
      </c>
      <c r="R70" s="6">
        <v>6939.03</v>
      </c>
      <c r="S70" s="6">
        <v>23461.82</v>
      </c>
      <c r="T70" s="6">
        <v>49098.71</v>
      </c>
      <c r="U70" s="52">
        <v>46023</v>
      </c>
      <c r="V70" s="55">
        <f t="shared" si="1"/>
        <v>108.54898336414047</v>
      </c>
      <c r="W70" s="55">
        <f t="shared" si="2"/>
        <v>159.4321675236769</v>
      </c>
      <c r="X70" s="55">
        <f t="shared" si="3"/>
        <v>160.26566789600344</v>
      </c>
      <c r="Y70" s="55">
        <f t="shared" si="4"/>
        <v>142.58854080753122</v>
      </c>
    </row>
    <row r="71" spans="16:25" x14ac:dyDescent="0.25">
      <c r="P71" s="52">
        <v>46054</v>
      </c>
      <c r="Q71" s="6">
        <v>28.69</v>
      </c>
      <c r="R71" s="6">
        <v>6909.51</v>
      </c>
      <c r="S71" s="6">
        <v>22668.21</v>
      </c>
      <c r="T71" s="6">
        <v>48977.919999999998</v>
      </c>
      <c r="U71" s="52">
        <v>46054</v>
      </c>
      <c r="V71" s="55">
        <f t="shared" si="1"/>
        <v>132.57855822550832</v>
      </c>
      <c r="W71" s="55">
        <f t="shared" si="2"/>
        <v>158.75391168888459</v>
      </c>
      <c r="X71" s="55">
        <f t="shared" si="3"/>
        <v>154.84458646673036</v>
      </c>
      <c r="Y71" s="55">
        <f t="shared" si="4"/>
        <v>142.23775216473098</v>
      </c>
    </row>
    <row r="72" spans="16:25" x14ac:dyDescent="0.25">
      <c r="P72" s="52">
        <v>46082</v>
      </c>
      <c r="Q72" s="6">
        <v>28.31</v>
      </c>
      <c r="R72" s="6">
        <v>6368.85</v>
      </c>
      <c r="S72" s="6">
        <v>20948.36</v>
      </c>
      <c r="T72" s="6">
        <v>45577.47</v>
      </c>
      <c r="U72" s="52">
        <v>46082</v>
      </c>
      <c r="V72" s="55">
        <f t="shared" si="1"/>
        <v>130.82255083179297</v>
      </c>
      <c r="W72" s="55">
        <f t="shared" si="2"/>
        <v>146.3316285032879</v>
      </c>
      <c r="X72" s="55">
        <f t="shared" si="3"/>
        <v>143.09643952284702</v>
      </c>
      <c r="Y72" s="55">
        <f t="shared" si="4"/>
        <v>132.36243764854575</v>
      </c>
    </row>
    <row r="73" spans="16:25" x14ac:dyDescent="0.25">
      <c r="P73" s="52">
        <v>46113</v>
      </c>
      <c r="Q73" s="6">
        <v>26.51</v>
      </c>
      <c r="R73" s="6">
        <v>7123.06</v>
      </c>
      <c r="S73" s="6">
        <v>24468.48</v>
      </c>
      <c r="T73" s="6">
        <v>49447.43</v>
      </c>
      <c r="U73" s="52">
        <v>46113</v>
      </c>
      <c r="V73" s="55">
        <f t="shared" si="1"/>
        <v>122.50462107208872</v>
      </c>
      <c r="W73" s="55">
        <f t="shared" si="2"/>
        <v>163.66046770243133</v>
      </c>
      <c r="X73" s="55">
        <f t="shared" si="3"/>
        <v>167.14207549115977</v>
      </c>
      <c r="Y73" s="55">
        <f t="shared" si="4"/>
        <v>143.60126549928793</v>
      </c>
    </row>
    <row r="74" spans="16:25" x14ac:dyDescent="0.25">
      <c r="P74" s="52">
        <v>46143</v>
      </c>
      <c r="Q74" s="6">
        <v>24.03</v>
      </c>
      <c r="R74" s="6">
        <v>7473.47</v>
      </c>
      <c r="S74" s="6">
        <v>26343.97</v>
      </c>
      <c r="T74" s="6">
        <v>50579.7</v>
      </c>
      <c r="U74" s="52">
        <v>46143</v>
      </c>
      <c r="V74" s="55">
        <f t="shared" si="1"/>
        <v>111.04436229205177</v>
      </c>
      <c r="W74" s="55">
        <f t="shared" si="2"/>
        <v>171.71153908012701</v>
      </c>
      <c r="X74" s="55">
        <f t="shared" si="3"/>
        <v>179.95338584484401</v>
      </c>
      <c r="Y74" s="55">
        <f t="shared" si="4"/>
        <v>146.88951333920352</v>
      </c>
    </row>
    <row r="75" spans="16:25" x14ac:dyDescent="0.25">
      <c r="P75" s="52">
        <v>46174</v>
      </c>
      <c r="Q75" s="56">
        <v>23.51</v>
      </c>
      <c r="R75" s="6">
        <v>7425.29</v>
      </c>
      <c r="S75" s="6">
        <v>25883.49</v>
      </c>
      <c r="T75" s="6">
        <v>51200.15</v>
      </c>
      <c r="U75" s="52">
        <v>46174</v>
      </c>
      <c r="V75" s="55">
        <f t="shared" si="1"/>
        <v>108.64140480591497</v>
      </c>
      <c r="W75" s="55">
        <f t="shared" si="2"/>
        <v>170.60454835789483</v>
      </c>
      <c r="X75" s="55">
        <f t="shared" si="3"/>
        <v>176.80788669973288</v>
      </c>
      <c r="Y75" s="55">
        <f t="shared" si="4"/>
        <v>148.69137453156549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48CB-91E7-417A-A6C8-869B288CC022}">
  <dimension ref="A1"/>
  <sheetViews>
    <sheetView showGridLines="0" workbookViewId="0">
      <selection activeCell="D3" sqref="D3:E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2026-08-31T23:29:15Z</dcterms:modified>
  <cp:category/>
  <cp:contentStatus/>
</cp:coreProperties>
</file>